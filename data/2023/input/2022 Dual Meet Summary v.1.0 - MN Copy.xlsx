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ylem\OneDrive\STEFAN\CSC\TSA\LEAGUES AND SCHEDULING\2020\"/>
    </mc:Choice>
  </mc:AlternateContent>
  <xr:revisionPtr revIDLastSave="85" documentId="8_{DCD18C85-16FF-4800-9EA8-8AFE8AA6ACAE}" xr6:coauthVersionLast="45" xr6:coauthVersionMax="45" xr10:uidLastSave="{276D6654-6EDD-42E3-817B-B893BA2FFAF8}"/>
  <bookViews>
    <workbookView xWindow="-120" yWindow="-120" windowWidth="38640" windowHeight="21240" tabRatio="697" activeTab="1" xr2:uid="{00000000-000D-0000-FFFF-FFFF00000000}"/>
  </bookViews>
  <sheets>
    <sheet name="South" sheetId="7" r:id="rId1"/>
    <sheet name="North" sheetId="8" r:id="rId2"/>
    <sheet name="Results" sheetId="34" r:id="rId3"/>
    <sheet name="Visuals" sheetId="28" r:id="rId4"/>
    <sheet name="Visual-South" sheetId="33" state="hidden" r:id="rId5"/>
    <sheet name="South Report" sheetId="26" r:id="rId6"/>
    <sheet name="North Report" sheetId="27" r:id="rId7"/>
    <sheet name="South Standings" sheetId="10" r:id="rId8"/>
    <sheet name="North Standings" sheetId="9" r:id="rId9"/>
    <sheet name="Notes" sheetId="16" r:id="rId10"/>
    <sheet name="Entry" sheetId="31" r:id="rId11"/>
  </sheets>
  <definedNames>
    <definedName name="_xlnm._FilterDatabase" localSheetId="2" hidden="1">Results!$H$1:$H$258</definedName>
    <definedName name="_xlnm.Print_Area" localSheetId="10">Entry!$A:$E</definedName>
    <definedName name="_xlnm.Print_Area" localSheetId="1">North!$A$1:$BJ$41</definedName>
    <definedName name="_xlnm.Print_Area" localSheetId="6">'North Report'!$B$1:$J$43</definedName>
    <definedName name="_xlnm.Print_Area" localSheetId="0">South!$A$1:$BV$53</definedName>
    <definedName name="_xlnm.Print_Area" localSheetId="5">'South Report'!$B$1:$J$54</definedName>
    <definedName name="_xlnm.Print_Titles" localSheetId="10">Entry!$1:$1</definedName>
    <definedName name="_xlnm.Print_Titles" localSheetId="1">North!$B:$T,North!$1:$3</definedName>
    <definedName name="Z_BDC744E3_8A98_4FFB_AA7D_7119F2F68EB6_.wvu.Cols" localSheetId="0" hidden="1">South!#REF!</definedName>
    <definedName name="Z_BDC744E3_8A98_4FFB_AA7D_7119F2F68EB6_.wvu.PrintArea" localSheetId="1" hidden="1">North!$AS$24:$BI$40</definedName>
    <definedName name="Z_BDC744E3_8A98_4FFB_AA7D_7119F2F68EB6_.wvu.PrintArea" localSheetId="0" hidden="1">South!$AS$24:$BP$47</definedName>
    <definedName name="Z_BDC744E3_8A98_4FFB_AA7D_7119F2F68EB6_.wvu.PrintTitles" localSheetId="1" hidden="1">North!$A:$T,North!$1:$3</definedName>
    <definedName name="Z_BDC744E3_8A98_4FFB_AA7D_7119F2F68EB6_.wvu.PrintTitles" localSheetId="0" hidden="1">South!$A:$S,South!$1:$3</definedName>
    <definedName name="Z_DE7C2479_4243_442D_8A3C_4D0E1EDB2109_.wvu.Cols" localSheetId="0" hidden="1">South!#REF!</definedName>
    <definedName name="Z_DE7C2479_4243_442D_8A3C_4D0E1EDB2109_.wvu.PrintArea" localSheetId="1" hidden="1">North!$AS$24:$BI$40</definedName>
    <definedName name="Z_DE7C2479_4243_442D_8A3C_4D0E1EDB2109_.wvu.PrintArea" localSheetId="0" hidden="1">South!$A$1:$AV$27</definedName>
    <definedName name="Z_DE7C2479_4243_442D_8A3C_4D0E1EDB2109_.wvu.PrintTitles" localSheetId="1" hidden="1">North!$A:$T,North!$1:$3</definedName>
    <definedName name="Z_DEF8AD2E_C46F_4190_A88E_C6B69C1F99BB_.wvu.Cols" localSheetId="0" hidden="1">South!#REF!</definedName>
    <definedName name="Z_DEF8AD2E_C46F_4190_A88E_C6B69C1F99BB_.wvu.PrintArea" localSheetId="1" hidden="1">North!$V$4:$AV$27</definedName>
    <definedName name="Z_DEF8AD2E_C46F_4190_A88E_C6B69C1F99BB_.wvu.PrintArea" localSheetId="0" hidden="1">South!$A$1:$AV$27</definedName>
    <definedName name="Z_DEF8AD2E_C46F_4190_A88E_C6B69C1F99BB_.wvu.PrintTitles" localSheetId="1" hidden="1">North!$A:$T,North!$1:$3</definedName>
    <definedName name="Z_E7597357_F01A_4EC3_9284_2CC61D1CC724_.wvu.Cols" localSheetId="0" hidden="1">South!#REF!</definedName>
    <definedName name="Z_E7597357_F01A_4EC3_9284_2CC61D1CC724_.wvu.PrintArea" localSheetId="1" hidden="1">North!$AS$24:$BI$40</definedName>
    <definedName name="Z_E7597357_F01A_4EC3_9284_2CC61D1CC724_.wvu.PrintArea" localSheetId="0" hidden="1">South!$A$1:$AV$27</definedName>
    <definedName name="Z_E7597357_F01A_4EC3_9284_2CC61D1CC724_.wvu.PrintTitles" localSheetId="1" hidden="1">North!$A:$T,North!$1:$3</definedName>
  </definedNames>
  <calcPr calcId="191029"/>
  <customWorkbookViews>
    <customWorkbookView name="N-Lower" guid="{DE7C2479-4243-442D-8A3C-4D0E1EDB2109}" maximized="1" xWindow="1" yWindow="1" windowWidth="1920" windowHeight="833" activeSheetId="8"/>
    <customWorkbookView name="N-Upper" guid="{DEF8AD2E-C46F-4190-A88E-C6B69C1F99BB}" maximized="1" xWindow="1" yWindow="1" windowWidth="1920" windowHeight="833" activeSheetId="8"/>
    <customWorkbookView name="S-Lower" guid="{BDC744E3-8A98-4FFB-AA7D-7119F2F68EB6}" maximized="1" xWindow="1" yWindow="1" windowWidth="1920" windowHeight="829" activeSheetId="7"/>
    <customWorkbookView name="S-Upper" guid="{E7597357-F01A-4EC3-9284-2CC61D1CC724}" maximized="1" xWindow="1" yWindow="1" windowWidth="1920" windowHeight="829" activeSheetId="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9" i="9" l="1"/>
  <c r="F39" i="9" s="1"/>
  <c r="E38" i="9"/>
  <c r="F38" i="9" s="1"/>
  <c r="E37" i="9"/>
  <c r="F37" i="9" s="1"/>
  <c r="E36" i="9"/>
  <c r="F36" i="9" s="1"/>
  <c r="E35" i="9"/>
  <c r="F35" i="9" s="1"/>
  <c r="E34" i="9"/>
  <c r="F34" i="9" s="1"/>
  <c r="E33" i="9"/>
  <c r="F33" i="9" s="1"/>
  <c r="E32" i="9"/>
  <c r="F32" i="9" s="1"/>
  <c r="E31" i="9"/>
  <c r="F31" i="9" s="1"/>
  <c r="E30" i="9"/>
  <c r="F30" i="9" s="1"/>
  <c r="E29" i="9"/>
  <c r="F29" i="9" s="1"/>
  <c r="E28" i="9"/>
  <c r="F28" i="9" s="1"/>
  <c r="E27" i="9"/>
  <c r="F27" i="9" s="1"/>
  <c r="E26" i="9"/>
  <c r="F26" i="9" s="1"/>
  <c r="E25" i="9"/>
  <c r="F25" i="9" s="1"/>
  <c r="E24" i="9"/>
  <c r="F24" i="9" s="1"/>
  <c r="E23" i="9"/>
  <c r="F23" i="9" s="1"/>
  <c r="E22" i="9"/>
  <c r="F22" i="9" s="1"/>
  <c r="E21" i="9"/>
  <c r="F21" i="9" s="1"/>
  <c r="E20" i="9"/>
  <c r="F20" i="9" s="1"/>
  <c r="E19" i="9"/>
  <c r="F19" i="9" s="1"/>
  <c r="E18" i="9"/>
  <c r="F18" i="9" s="1"/>
  <c r="E17" i="9"/>
  <c r="F17" i="9" s="1"/>
  <c r="E16" i="9"/>
  <c r="F16" i="9" s="1"/>
  <c r="E15" i="9"/>
  <c r="F15" i="9" s="1"/>
  <c r="E14" i="9"/>
  <c r="F14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E6" i="9"/>
  <c r="F6" i="9" s="1"/>
  <c r="E5" i="9"/>
  <c r="F5" i="9" s="1"/>
  <c r="E4" i="9"/>
  <c r="F4" i="9" s="1"/>
  <c r="E3" i="9"/>
  <c r="F3" i="9" s="1"/>
  <c r="E2" i="9"/>
  <c r="F2" i="9" s="1"/>
  <c r="J53" i="26"/>
  <c r="J54" i="26"/>
  <c r="I54" i="26"/>
  <c r="I53" i="26"/>
  <c r="L41" i="8"/>
  <c r="L40" i="8"/>
  <c r="L39" i="8"/>
  <c r="L38" i="8"/>
  <c r="L37" i="8"/>
  <c r="L36" i="8"/>
  <c r="L35" i="8"/>
  <c r="L34" i="8"/>
  <c r="L33" i="8"/>
  <c r="L32" i="8"/>
  <c r="L31" i="8"/>
  <c r="L30" i="8"/>
  <c r="BV49" i="7"/>
  <c r="BV47" i="7"/>
  <c r="BV53" i="7"/>
  <c r="BV52" i="7"/>
  <c r="BV51" i="7"/>
  <c r="BV50" i="7"/>
  <c r="BV48" i="7"/>
  <c r="BV46" i="7"/>
  <c r="BV45" i="7"/>
  <c r="CF53" i="7"/>
  <c r="CG53" i="7" s="1"/>
  <c r="BU53" i="7"/>
  <c r="BT53" i="7"/>
  <c r="R53" i="7" s="1"/>
  <c r="BS53" i="7"/>
  <c r="BR53" i="7"/>
  <c r="BQ53" i="7"/>
  <c r="BP53" i="7"/>
  <c r="BO53" i="7"/>
  <c r="BN53" i="7"/>
  <c r="BM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P53" i="7" s="1"/>
  <c r="L53" i="7"/>
  <c r="Y4" i="7"/>
  <c r="Y5" i="7"/>
  <c r="Y6" i="7"/>
  <c r="Y7" i="7"/>
  <c r="Y8" i="7"/>
  <c r="Y9" i="7"/>
  <c r="Y10" i="7"/>
  <c r="Y11" i="7"/>
  <c r="N53" i="7" l="1"/>
  <c r="S53" i="7"/>
  <c r="O53" i="7"/>
  <c r="Q53" i="7"/>
  <c r="T53" i="7"/>
  <c r="BW53" i="7"/>
  <c r="CC53" i="7"/>
  <c r="BE31" i="8"/>
  <c r="BD31" i="8"/>
  <c r="BC31" i="8"/>
  <c r="BB31" i="8"/>
  <c r="BA31" i="8"/>
  <c r="BE30" i="8"/>
  <c r="BD30" i="8"/>
  <c r="BC30" i="8"/>
  <c r="BB30" i="8"/>
  <c r="BA30" i="8"/>
  <c r="BE29" i="8"/>
  <c r="BD29" i="8"/>
  <c r="BC29" i="8"/>
  <c r="BB29" i="8"/>
  <c r="BA29" i="8"/>
  <c r="BE28" i="8"/>
  <c r="BD28" i="8"/>
  <c r="BC28" i="8"/>
  <c r="BB28" i="8"/>
  <c r="BA28" i="8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Y4" i="8"/>
  <c r="X4" i="8"/>
  <c r="W4" i="8"/>
  <c r="V4" i="8"/>
  <c r="Z4" i="8"/>
  <c r="AR4" i="8"/>
  <c r="BU52" i="7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BU51" i="7"/>
  <c r="BT51" i="7"/>
  <c r="BS51" i="7"/>
  <c r="BR51" i="7"/>
  <c r="BQ51" i="7"/>
  <c r="BP51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BU48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BU47" i="7"/>
  <c r="BT47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BU46" i="7"/>
  <c r="BT46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BU45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BU40" i="7"/>
  <c r="BT40" i="7"/>
  <c r="BS40" i="7"/>
  <c r="BR40" i="7"/>
  <c r="BQ40" i="7"/>
  <c r="BP40" i="7"/>
  <c r="BO40" i="7"/>
  <c r="BN40" i="7"/>
  <c r="BM40" i="7"/>
  <c r="BL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J11" i="7"/>
  <c r="AI11" i="7"/>
  <c r="AH11" i="7"/>
  <c r="AG11" i="7"/>
  <c r="AF11" i="7"/>
  <c r="AE11" i="7"/>
  <c r="AD11" i="7"/>
  <c r="AC11" i="7"/>
  <c r="AB11" i="7"/>
  <c r="AA11" i="7"/>
  <c r="Z11" i="7"/>
  <c r="AJ10" i="7"/>
  <c r="AI10" i="7"/>
  <c r="AH10" i="7"/>
  <c r="AG10" i="7"/>
  <c r="AF10" i="7"/>
  <c r="AE10" i="7"/>
  <c r="AD10" i="7"/>
  <c r="AC10" i="7"/>
  <c r="AB10" i="7"/>
  <c r="AA10" i="7"/>
  <c r="Z10" i="7"/>
  <c r="AJ9" i="7"/>
  <c r="AI9" i="7"/>
  <c r="AH9" i="7"/>
  <c r="AG9" i="7"/>
  <c r="AF9" i="7"/>
  <c r="AE9" i="7"/>
  <c r="AD9" i="7"/>
  <c r="AC9" i="7"/>
  <c r="AB9" i="7"/>
  <c r="AA9" i="7"/>
  <c r="Z9" i="7"/>
  <c r="AJ8" i="7"/>
  <c r="AI8" i="7"/>
  <c r="AH8" i="7"/>
  <c r="AG8" i="7"/>
  <c r="AF8" i="7"/>
  <c r="AE8" i="7"/>
  <c r="AD8" i="7"/>
  <c r="AC8" i="7"/>
  <c r="AB8" i="7"/>
  <c r="AA8" i="7"/>
  <c r="Z8" i="7"/>
  <c r="AF7" i="7"/>
  <c r="AE7" i="7"/>
  <c r="AD7" i="7"/>
  <c r="AC7" i="7"/>
  <c r="AB7" i="7"/>
  <c r="AA7" i="7"/>
  <c r="Z7" i="7"/>
  <c r="X7" i="7"/>
  <c r="W7" i="7"/>
  <c r="V7" i="7"/>
  <c r="AF6" i="7"/>
  <c r="AE6" i="7"/>
  <c r="AD6" i="7"/>
  <c r="AC6" i="7"/>
  <c r="AB6" i="7"/>
  <c r="AA6" i="7"/>
  <c r="Z6" i="7"/>
  <c r="X6" i="7"/>
  <c r="W6" i="7"/>
  <c r="V6" i="7"/>
  <c r="AF5" i="7"/>
  <c r="AE5" i="7"/>
  <c r="AD5" i="7"/>
  <c r="AC5" i="7"/>
  <c r="AB5" i="7"/>
  <c r="Z5" i="7"/>
  <c r="X5" i="7"/>
  <c r="W5" i="7"/>
  <c r="V5" i="7"/>
  <c r="AF4" i="7"/>
  <c r="AE4" i="7"/>
  <c r="AD4" i="7"/>
  <c r="AC4" i="7"/>
  <c r="AB4" i="7"/>
  <c r="AA4" i="7"/>
  <c r="Z4" i="7"/>
  <c r="X4" i="7"/>
  <c r="W4" i="7"/>
  <c r="V4" i="7"/>
  <c r="AA5" i="7"/>
  <c r="C1" i="7" l="1"/>
  <c r="P49" i="7"/>
  <c r="O49" i="7"/>
  <c r="N49" i="7"/>
  <c r="S47" i="7"/>
  <c r="R47" i="7"/>
  <c r="Q47" i="7"/>
  <c r="P51" i="7"/>
  <c r="O51" i="7"/>
  <c r="N51" i="7"/>
  <c r="S52" i="7"/>
  <c r="R52" i="7"/>
  <c r="Q52" i="7"/>
  <c r="S44" i="7"/>
  <c r="R44" i="7"/>
  <c r="Q44" i="7"/>
  <c r="Q48" i="7"/>
  <c r="S48" i="7"/>
  <c r="R48" i="7"/>
  <c r="S49" i="7"/>
  <c r="R49" i="7"/>
  <c r="Q49" i="7"/>
  <c r="P48" i="7"/>
  <c r="O48" i="7"/>
  <c r="N48" i="7"/>
  <c r="S46" i="7"/>
  <c r="R46" i="7"/>
  <c r="Q46" i="7"/>
  <c r="N50" i="7"/>
  <c r="P50" i="7"/>
  <c r="O50" i="7"/>
  <c r="S50" i="7"/>
  <c r="R50" i="7"/>
  <c r="Q50" i="7"/>
  <c r="S51" i="7"/>
  <c r="R51" i="7"/>
  <c r="Q51" i="7"/>
  <c r="R45" i="7"/>
  <c r="Q45" i="7"/>
  <c r="S45" i="7"/>
  <c r="O47" i="7"/>
  <c r="N47" i="7"/>
  <c r="P47" i="7"/>
  <c r="P52" i="7"/>
  <c r="O52" i="7"/>
  <c r="N52" i="7"/>
  <c r="F54" i="26"/>
  <c r="F53" i="26"/>
  <c r="F52" i="26"/>
  <c r="F51" i="26"/>
  <c r="F50" i="26"/>
  <c r="F47" i="26"/>
  <c r="I17" i="28" l="1"/>
  <c r="G17" i="28"/>
  <c r="C41" i="27" l="1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4" i="26"/>
  <c r="L39" i="7" l="1"/>
  <c r="CF39" i="7"/>
  <c r="CG39" i="7" s="1"/>
  <c r="P39" i="7" l="1"/>
  <c r="BW39" i="7"/>
  <c r="O39" i="7"/>
  <c r="R39" i="7"/>
  <c r="N39" i="7"/>
  <c r="CC39" i="7"/>
  <c r="Q39" i="7"/>
  <c r="T39" i="7"/>
  <c r="S39" i="7"/>
  <c r="R36" i="8" l="1"/>
  <c r="T38" i="8"/>
  <c r="S38" i="8"/>
  <c r="S37" i="8"/>
  <c r="R38" i="8"/>
  <c r="T37" i="8"/>
  <c r="S36" i="8"/>
  <c r="T36" i="8"/>
  <c r="R37" i="8"/>
  <c r="L7" i="8"/>
  <c r="H40" i="27" l="1"/>
  <c r="F46" i="26"/>
  <c r="F45" i="26"/>
  <c r="F44" i="26"/>
  <c r="F40" i="26"/>
  <c r="BU41" i="8" l="1"/>
  <c r="L14" i="8" l="1"/>
  <c r="S40" i="8" l="1"/>
  <c r="T41" i="8"/>
  <c r="R39" i="8"/>
  <c r="R40" i="8"/>
  <c r="S41" i="8"/>
  <c r="T39" i="8"/>
  <c r="R41" i="8"/>
  <c r="S39" i="8"/>
  <c r="T40" i="8"/>
  <c r="U41" i="8"/>
  <c r="P41" i="8"/>
  <c r="Q41" i="8"/>
  <c r="O41" i="8"/>
  <c r="BU5" i="8"/>
  <c r="BV5" i="8" s="1"/>
  <c r="BU6" i="8"/>
  <c r="BV6" i="8" s="1"/>
  <c r="BU7" i="8"/>
  <c r="BV7" i="8" s="1"/>
  <c r="BU8" i="8"/>
  <c r="BV8" i="8" s="1"/>
  <c r="BU9" i="8"/>
  <c r="BV9" i="8" s="1"/>
  <c r="BU10" i="8"/>
  <c r="BV10" i="8" s="1"/>
  <c r="BU11" i="8"/>
  <c r="BV11" i="8" s="1"/>
  <c r="BU12" i="8"/>
  <c r="BV12" i="8" s="1"/>
  <c r="BU13" i="8"/>
  <c r="BV13" i="8" s="1"/>
  <c r="BU14" i="8"/>
  <c r="BV14" i="8" s="1"/>
  <c r="BU15" i="8"/>
  <c r="BV15" i="8" s="1"/>
  <c r="BU16" i="8"/>
  <c r="BV16" i="8" s="1"/>
  <c r="BU17" i="8"/>
  <c r="BV17" i="8" s="1"/>
  <c r="BU18" i="8"/>
  <c r="BV18" i="8" s="1"/>
  <c r="BU19" i="8"/>
  <c r="BV19" i="8" s="1"/>
  <c r="BU20" i="8"/>
  <c r="BV20" i="8" s="1"/>
  <c r="BU21" i="8"/>
  <c r="BV21" i="8" s="1"/>
  <c r="BU22" i="8"/>
  <c r="BV22" i="8" s="1"/>
  <c r="BU23" i="8"/>
  <c r="BV23" i="8" s="1"/>
  <c r="BU24" i="8"/>
  <c r="BV24" i="8" s="1"/>
  <c r="BU25" i="8"/>
  <c r="BV25" i="8" s="1"/>
  <c r="BU26" i="8"/>
  <c r="BV26" i="8" s="1"/>
  <c r="BU27" i="8"/>
  <c r="BV27" i="8" s="1"/>
  <c r="BU28" i="8"/>
  <c r="BV28" i="8" s="1"/>
  <c r="BU29" i="8"/>
  <c r="BV29" i="8" s="1"/>
  <c r="BU30" i="8"/>
  <c r="BV30" i="8" s="1"/>
  <c r="BU31" i="8"/>
  <c r="BV31" i="8" s="1"/>
  <c r="BU32" i="8"/>
  <c r="BV32" i="8" s="1"/>
  <c r="BU33" i="8"/>
  <c r="BV33" i="8" s="1"/>
  <c r="BU34" i="8"/>
  <c r="BV34" i="8" s="1"/>
  <c r="BU35" i="8"/>
  <c r="BV35" i="8" s="1"/>
  <c r="BU36" i="8"/>
  <c r="BV36" i="8" s="1"/>
  <c r="BU37" i="8"/>
  <c r="BV37" i="8" s="1"/>
  <c r="BU38" i="8"/>
  <c r="BV38" i="8" s="1"/>
  <c r="BU39" i="8"/>
  <c r="BV39" i="8" s="1"/>
  <c r="BU40" i="8"/>
  <c r="BV40" i="8" s="1"/>
  <c r="BU4" i="8"/>
  <c r="BV4" i="8" s="1"/>
  <c r="CF5" i="7"/>
  <c r="CG5" i="7" s="1"/>
  <c r="CF6" i="7"/>
  <c r="CG6" i="7" s="1"/>
  <c r="CF7" i="7"/>
  <c r="CG7" i="7" s="1"/>
  <c r="CF8" i="7"/>
  <c r="CG8" i="7" s="1"/>
  <c r="CF9" i="7"/>
  <c r="CG9" i="7" s="1"/>
  <c r="CF10" i="7"/>
  <c r="CG10" i="7" s="1"/>
  <c r="CF11" i="7"/>
  <c r="CG11" i="7" s="1"/>
  <c r="CF12" i="7"/>
  <c r="CG12" i="7" s="1"/>
  <c r="CF13" i="7"/>
  <c r="CG13" i="7" s="1"/>
  <c r="CF14" i="7"/>
  <c r="CG14" i="7" s="1"/>
  <c r="CF15" i="7"/>
  <c r="CG15" i="7" s="1"/>
  <c r="CF16" i="7"/>
  <c r="CG16" i="7" s="1"/>
  <c r="CF17" i="7"/>
  <c r="CG17" i="7" s="1"/>
  <c r="CF18" i="7"/>
  <c r="CG18" i="7" s="1"/>
  <c r="CF19" i="7"/>
  <c r="CG19" i="7" s="1"/>
  <c r="CF20" i="7"/>
  <c r="CG20" i="7" s="1"/>
  <c r="CF21" i="7"/>
  <c r="CG21" i="7" s="1"/>
  <c r="CF22" i="7"/>
  <c r="CG22" i="7" s="1"/>
  <c r="CF23" i="7"/>
  <c r="CG23" i="7" s="1"/>
  <c r="CF24" i="7"/>
  <c r="CG24" i="7" s="1"/>
  <c r="CF25" i="7"/>
  <c r="CG25" i="7" s="1"/>
  <c r="CF26" i="7"/>
  <c r="CG26" i="7" s="1"/>
  <c r="CF27" i="7"/>
  <c r="CG27" i="7" s="1"/>
  <c r="CF28" i="7"/>
  <c r="CG28" i="7" s="1"/>
  <c r="CF29" i="7"/>
  <c r="CG29" i="7" s="1"/>
  <c r="CF30" i="7"/>
  <c r="CG30" i="7" s="1"/>
  <c r="CF31" i="7"/>
  <c r="CG31" i="7" s="1"/>
  <c r="CF32" i="7"/>
  <c r="CG32" i="7" s="1"/>
  <c r="CF33" i="7"/>
  <c r="CG33" i="7" s="1"/>
  <c r="CF34" i="7"/>
  <c r="CG34" i="7" s="1"/>
  <c r="CF35" i="7"/>
  <c r="CG35" i="7" s="1"/>
  <c r="CF36" i="7"/>
  <c r="CG36" i="7" s="1"/>
  <c r="CF37" i="7"/>
  <c r="CG37" i="7" s="1"/>
  <c r="CF38" i="7"/>
  <c r="CG38" i="7" s="1"/>
  <c r="CF40" i="7"/>
  <c r="CG40" i="7" s="1"/>
  <c r="CF41" i="7"/>
  <c r="CG41" i="7" s="1"/>
  <c r="CF42" i="7"/>
  <c r="CG42" i="7" s="1"/>
  <c r="CF43" i="7"/>
  <c r="CG43" i="7" s="1"/>
  <c r="CF44" i="7"/>
  <c r="CG44" i="7" s="1"/>
  <c r="CF45" i="7"/>
  <c r="CG45" i="7" s="1"/>
  <c r="CF46" i="7"/>
  <c r="CG46" i="7" s="1"/>
  <c r="CF47" i="7"/>
  <c r="CG47" i="7" s="1"/>
  <c r="CF48" i="7"/>
  <c r="CG48" i="7" s="1"/>
  <c r="CF49" i="7"/>
  <c r="CG49" i="7" s="1"/>
  <c r="CF50" i="7"/>
  <c r="CG50" i="7" s="1"/>
  <c r="CF51" i="7"/>
  <c r="CG51" i="7" s="1"/>
  <c r="CF52" i="7"/>
  <c r="CG52" i="7" s="1"/>
  <c r="CF4" i="7"/>
  <c r="CG4" i="7" s="1"/>
  <c r="R13" i="33"/>
  <c r="R37" i="33"/>
  <c r="O37" i="33"/>
  <c r="L37" i="33"/>
  <c r="I37" i="33"/>
  <c r="F37" i="33"/>
  <c r="B32" i="33" l="1"/>
  <c r="B31" i="33"/>
  <c r="B33" i="33"/>
  <c r="H7" i="33"/>
  <c r="I13" i="33" s="1"/>
  <c r="K7" i="33"/>
  <c r="N7" i="33"/>
  <c r="B9" i="33"/>
  <c r="C13" i="33" s="1"/>
  <c r="E9" i="33"/>
  <c r="F13" i="33" s="1"/>
  <c r="K9" i="33"/>
  <c r="N9" i="33"/>
  <c r="L13" i="33" l="1"/>
  <c r="O13" i="33"/>
  <c r="C37" i="33"/>
  <c r="S5" i="7"/>
  <c r="Q5" i="7"/>
  <c r="R5" i="7"/>
  <c r="Q7" i="7"/>
  <c r="R7" i="7"/>
  <c r="S7" i="7"/>
  <c r="Q6" i="7"/>
  <c r="R6" i="7"/>
  <c r="S6" i="7"/>
  <c r="R4" i="7"/>
  <c r="S4" i="7"/>
  <c r="Q4" i="7"/>
  <c r="C1" i="8" l="1"/>
  <c r="J35" i="8" s="1"/>
  <c r="CC6" i="7"/>
  <c r="CC10" i="7"/>
  <c r="CC12" i="7"/>
  <c r="CC14" i="7"/>
  <c r="CC16" i="7"/>
  <c r="CC20" i="7"/>
  <c r="CC22" i="7"/>
  <c r="CC24" i="7"/>
  <c r="CC26" i="7"/>
  <c r="CC30" i="7"/>
  <c r="CC34" i="7"/>
  <c r="CC38" i="7"/>
  <c r="CC40" i="7"/>
  <c r="CC43" i="7"/>
  <c r="CC46" i="7"/>
  <c r="CC48" i="7"/>
  <c r="CC52" i="7"/>
  <c r="BR7" i="8"/>
  <c r="BR12" i="8"/>
  <c r="BR14" i="8"/>
  <c r="BR16" i="8"/>
  <c r="BR18" i="8"/>
  <c r="BR20" i="8"/>
  <c r="BR22" i="8"/>
  <c r="BR24" i="8"/>
  <c r="BR26" i="8"/>
  <c r="BR28" i="8"/>
  <c r="BR30" i="8"/>
  <c r="BR32" i="8"/>
  <c r="BR34" i="8"/>
  <c r="BR35" i="8"/>
  <c r="CC7" i="7"/>
  <c r="CC32" i="7"/>
  <c r="CC36" i="7"/>
  <c r="CC50" i="7"/>
  <c r="BR10" i="8"/>
  <c r="CC5" i="7"/>
  <c r="CC17" i="7"/>
  <c r="CC42" i="7"/>
  <c r="CC45" i="7"/>
  <c r="BR9" i="8"/>
  <c r="CC18" i="7"/>
  <c r="BR8" i="8"/>
  <c r="BR37" i="8"/>
  <c r="CC28" i="7"/>
  <c r="BR5" i="8"/>
  <c r="CC9" i="7"/>
  <c r="CC4" i="7"/>
  <c r="BR40" i="8"/>
  <c r="BR36" i="8"/>
  <c r="CC8" i="7"/>
  <c r="CC11" i="7"/>
  <c r="CC13" i="7"/>
  <c r="CC15" i="7"/>
  <c r="CC19" i="7"/>
  <c r="CC21" i="7"/>
  <c r="CC23" i="7"/>
  <c r="CC25" i="7"/>
  <c r="CC27" i="7"/>
  <c r="CC29" i="7"/>
  <c r="CC31" i="7"/>
  <c r="CC33" i="7"/>
  <c r="CC35" i="7"/>
  <c r="CC37" i="7"/>
  <c r="CC41" i="7"/>
  <c r="CC44" i="7"/>
  <c r="CC47" i="7"/>
  <c r="CC49" i="7"/>
  <c r="CC51" i="7"/>
  <c r="BR4" i="8"/>
  <c r="BR6" i="8"/>
  <c r="BR11" i="8"/>
  <c r="BR13" i="8"/>
  <c r="BR15" i="8"/>
  <c r="BR17" i="8"/>
  <c r="BR19" i="8"/>
  <c r="BR21" i="8"/>
  <c r="BS21" i="8" s="1"/>
  <c r="BR23" i="8"/>
  <c r="BR25" i="8"/>
  <c r="BR27" i="8"/>
  <c r="BR29" i="8"/>
  <c r="BR31" i="8"/>
  <c r="BR33" i="8"/>
  <c r="BR39" i="8"/>
  <c r="BR38" i="8"/>
  <c r="O34" i="8"/>
  <c r="Q34" i="8"/>
  <c r="P34" i="8"/>
  <c r="U34" i="8"/>
  <c r="O35" i="8"/>
  <c r="Q35" i="8"/>
  <c r="P35" i="8"/>
  <c r="U35" i="8"/>
  <c r="P40" i="8"/>
  <c r="U40" i="8"/>
  <c r="Q40" i="8"/>
  <c r="O40" i="8"/>
  <c r="O36" i="8"/>
  <c r="Q36" i="8"/>
  <c r="P36" i="8"/>
  <c r="U36" i="8"/>
  <c r="O33" i="8"/>
  <c r="Q33" i="8"/>
  <c r="P33" i="8"/>
  <c r="U33" i="8"/>
  <c r="O39" i="8"/>
  <c r="U39" i="8"/>
  <c r="Q39" i="8"/>
  <c r="P39" i="8"/>
  <c r="O38" i="8"/>
  <c r="Q38" i="8"/>
  <c r="P38" i="8"/>
  <c r="U38" i="8"/>
  <c r="O37" i="8"/>
  <c r="Q37" i="8"/>
  <c r="P37" i="8"/>
  <c r="U37" i="8"/>
  <c r="O18" i="7"/>
  <c r="O22" i="7"/>
  <c r="O24" i="7"/>
  <c r="O30" i="7"/>
  <c r="O32" i="7"/>
  <c r="O34" i="7"/>
  <c r="O36" i="7"/>
  <c r="O38" i="7"/>
  <c r="O40" i="7"/>
  <c r="P10" i="7"/>
  <c r="N11" i="7"/>
  <c r="N13" i="7"/>
  <c r="P15" i="7"/>
  <c r="P6" i="7"/>
  <c r="O16" i="7"/>
  <c r="O20" i="7"/>
  <c r="O28" i="7"/>
  <c r="P43" i="7"/>
  <c r="O46" i="7"/>
  <c r="O26" i="7"/>
  <c r="N17" i="7"/>
  <c r="O42" i="7"/>
  <c r="N45" i="7"/>
  <c r="P19" i="7"/>
  <c r="N21" i="7"/>
  <c r="P23" i="7"/>
  <c r="N25" i="7"/>
  <c r="P27" i="7"/>
  <c r="N29" i="7"/>
  <c r="P31" i="7"/>
  <c r="N33" i="7"/>
  <c r="P35" i="7"/>
  <c r="N37" i="7"/>
  <c r="N41" i="7"/>
  <c r="O44" i="7"/>
  <c r="N9" i="7"/>
  <c r="N5" i="7"/>
  <c r="O12" i="7"/>
  <c r="O14" i="7"/>
  <c r="N12" i="7"/>
  <c r="N14" i="7"/>
  <c r="N16" i="7"/>
  <c r="N18" i="7"/>
  <c r="N20" i="7"/>
  <c r="N22" i="7"/>
  <c r="N24" i="7"/>
  <c r="N26" i="7"/>
  <c r="N28" i="7"/>
  <c r="N30" i="7"/>
  <c r="N32" i="7"/>
  <c r="N34" i="7"/>
  <c r="N36" i="7"/>
  <c r="N38" i="7"/>
  <c r="N40" i="7"/>
  <c r="N42" i="7"/>
  <c r="N44" i="7"/>
  <c r="N46" i="7"/>
  <c r="P14" i="7"/>
  <c r="P18" i="7"/>
  <c r="P22" i="7"/>
  <c r="P26" i="7"/>
  <c r="P30" i="7"/>
  <c r="P34" i="7"/>
  <c r="P38" i="7"/>
  <c r="P42" i="7"/>
  <c r="P46" i="7"/>
  <c r="N7" i="7"/>
  <c r="P8" i="7"/>
  <c r="O13" i="7"/>
  <c r="O15" i="7"/>
  <c r="O17" i="7"/>
  <c r="O19" i="7"/>
  <c r="O21" i="7"/>
  <c r="O23" i="7"/>
  <c r="O25" i="7"/>
  <c r="O27" i="7"/>
  <c r="O29" i="7"/>
  <c r="O31" i="7"/>
  <c r="O33" i="7"/>
  <c r="O35" i="7"/>
  <c r="O37" i="7"/>
  <c r="O41" i="7"/>
  <c r="O43" i="7"/>
  <c r="O45" i="7"/>
  <c r="P13" i="7"/>
  <c r="P17" i="7"/>
  <c r="P21" i="7"/>
  <c r="P25" i="7"/>
  <c r="P29" i="7"/>
  <c r="P33" i="7"/>
  <c r="P37" i="7"/>
  <c r="P41" i="7"/>
  <c r="P45" i="7"/>
  <c r="P4" i="7"/>
  <c r="N15" i="7"/>
  <c r="N19" i="7"/>
  <c r="N23" i="7"/>
  <c r="N27" i="7"/>
  <c r="N31" i="7"/>
  <c r="N35" i="7"/>
  <c r="N43" i="7"/>
  <c r="P12" i="7"/>
  <c r="P16" i="7"/>
  <c r="P20" i="7"/>
  <c r="P24" i="7"/>
  <c r="P28" i="7"/>
  <c r="P32" i="7"/>
  <c r="P36" i="7"/>
  <c r="P40" i="7"/>
  <c r="P44" i="7"/>
  <c r="O4" i="7"/>
  <c r="O6" i="7"/>
  <c r="O8" i="7"/>
  <c r="O10" i="7"/>
  <c r="P7" i="7"/>
  <c r="P11" i="7"/>
  <c r="N6" i="7"/>
  <c r="N8" i="7"/>
  <c r="N10" i="7"/>
  <c r="O5" i="7"/>
  <c r="O7" i="7"/>
  <c r="O9" i="7"/>
  <c r="O11" i="7"/>
  <c r="P5" i="7"/>
  <c r="P9" i="7"/>
  <c r="N4" i="7"/>
  <c r="T52" i="7"/>
  <c r="L47" i="7"/>
  <c r="F53" i="7" l="1"/>
  <c r="BW52" i="7"/>
  <c r="F39" i="26"/>
  <c r="L5" i="8"/>
  <c r="L8" i="8"/>
  <c r="F9" i="8" s="1"/>
  <c r="L22" i="8"/>
  <c r="L16" i="8"/>
  <c r="L12" i="8"/>
  <c r="L15" i="8"/>
  <c r="H14" i="8" s="1"/>
  <c r="L11" i="8"/>
  <c r="L10" i="8"/>
  <c r="L21" i="8"/>
  <c r="I19" i="8" s="1"/>
  <c r="L6" i="8"/>
  <c r="L18" i="8"/>
  <c r="L17" i="8"/>
  <c r="L19" i="8"/>
  <c r="H18" i="8" s="1"/>
  <c r="L20" i="8"/>
  <c r="L25" i="8"/>
  <c r="L13" i="8"/>
  <c r="L23" i="8"/>
  <c r="L26" i="8"/>
  <c r="L9" i="8"/>
  <c r="J6" i="8" s="1"/>
  <c r="L29" i="8"/>
  <c r="G39" i="8"/>
  <c r="L24" i="8"/>
  <c r="L27" i="8"/>
  <c r="L28" i="8"/>
  <c r="J28" i="8"/>
  <c r="E37" i="8"/>
  <c r="I38" i="8"/>
  <c r="J34" i="8"/>
  <c r="L4" i="8"/>
  <c r="F26" i="8" l="1"/>
  <c r="J4" i="8"/>
  <c r="H29" i="8"/>
  <c r="F30" i="8"/>
  <c r="I30" i="8"/>
  <c r="I23" i="8"/>
  <c r="F20" i="8"/>
  <c r="H10" i="8"/>
  <c r="G15" i="8"/>
  <c r="I25" i="8"/>
  <c r="I12" i="8"/>
  <c r="H13" i="8"/>
  <c r="J11" i="8"/>
  <c r="E17" i="8"/>
  <c r="F16" i="8"/>
  <c r="J17" i="8"/>
  <c r="H6" i="8"/>
  <c r="J30" i="8"/>
  <c r="I27" i="8"/>
  <c r="J20" i="8"/>
  <c r="G13" i="8"/>
  <c r="G8" i="8"/>
  <c r="E10" i="8"/>
  <c r="J38" i="8"/>
  <c r="F24" i="8"/>
  <c r="E36" i="8"/>
  <c r="I24" i="8"/>
  <c r="J40" i="8"/>
  <c r="I34" i="8"/>
  <c r="G36" i="8"/>
  <c r="J10" i="8"/>
  <c r="H16" i="8"/>
  <c r="I8" i="8"/>
  <c r="I14" i="8"/>
  <c r="I5" i="8"/>
  <c r="J37" i="8"/>
  <c r="J36" i="8"/>
  <c r="J39" i="8"/>
  <c r="I39" i="8"/>
  <c r="J31" i="8"/>
  <c r="E38" i="8"/>
  <c r="G30" i="8"/>
  <c r="E41" i="8"/>
  <c r="F31" i="8"/>
  <c r="H23" i="8"/>
  <c r="E35" i="8"/>
  <c r="J22" i="8"/>
  <c r="E33" i="8"/>
  <c r="J25" i="8"/>
  <c r="H27" i="8"/>
  <c r="G32" i="8"/>
  <c r="G29" i="8"/>
  <c r="H38" i="8"/>
  <c r="G19" i="8"/>
  <c r="G33" i="8"/>
  <c r="I33" i="8"/>
  <c r="H17" i="8"/>
  <c r="J15" i="8"/>
  <c r="F38" i="8"/>
  <c r="E28" i="8"/>
  <c r="H9" i="8"/>
  <c r="I26" i="8"/>
  <c r="F27" i="8"/>
  <c r="H30" i="8"/>
  <c r="J27" i="8"/>
  <c r="E12" i="8"/>
  <c r="F33" i="8"/>
  <c r="F11" i="8"/>
  <c r="I40" i="8"/>
  <c r="I37" i="8"/>
  <c r="E34" i="8"/>
  <c r="J33" i="8"/>
  <c r="E21" i="8"/>
  <c r="I16" i="8"/>
  <c r="G25" i="8"/>
  <c r="I36" i="8"/>
  <c r="I41" i="8"/>
  <c r="J29" i="8"/>
  <c r="J21" i="8"/>
  <c r="F41" i="8"/>
  <c r="H12" i="8"/>
  <c r="I11" i="8"/>
  <c r="F15" i="8"/>
  <c r="I15" i="8"/>
  <c r="J14" i="8"/>
  <c r="I35" i="8"/>
  <c r="H40" i="8"/>
  <c r="H41" i="8"/>
  <c r="G37" i="8"/>
  <c r="H39" i="8"/>
  <c r="G38" i="8"/>
  <c r="F36" i="8"/>
  <c r="H35" i="8"/>
  <c r="G40" i="8"/>
  <c r="G41" i="8"/>
  <c r="F40" i="8"/>
  <c r="F37" i="8"/>
  <c r="F39" i="8"/>
  <c r="J41" i="8"/>
  <c r="H37" i="8"/>
  <c r="H36" i="8"/>
  <c r="F34" i="8"/>
  <c r="H31" i="8"/>
  <c r="G34" i="8"/>
  <c r="E40" i="8"/>
  <c r="F35" i="8"/>
  <c r="H32" i="8"/>
  <c r="I31" i="8"/>
  <c r="J32" i="8"/>
  <c r="H34" i="8"/>
  <c r="G31" i="8"/>
  <c r="I29" i="8"/>
  <c r="F32" i="8"/>
  <c r="H33" i="8"/>
  <c r="G35" i="8"/>
  <c r="E39" i="8"/>
  <c r="I32" i="8"/>
  <c r="G28" i="8"/>
  <c r="I28" i="8"/>
  <c r="E30" i="8"/>
  <c r="J24" i="8"/>
  <c r="F29" i="8"/>
  <c r="H26" i="8"/>
  <c r="H25" i="8"/>
  <c r="J23" i="8"/>
  <c r="F28" i="8"/>
  <c r="G27" i="8"/>
  <c r="E29" i="8"/>
  <c r="E31" i="8"/>
  <c r="E32" i="8"/>
  <c r="J26" i="8"/>
  <c r="H28" i="8"/>
  <c r="E27" i="8"/>
  <c r="I22" i="8"/>
  <c r="G26" i="8"/>
  <c r="H24" i="8"/>
  <c r="J19" i="8"/>
  <c r="I20" i="8"/>
  <c r="I21" i="8"/>
  <c r="H22" i="8"/>
  <c r="E26" i="8"/>
  <c r="G24" i="8"/>
  <c r="F25" i="8"/>
  <c r="E25" i="8"/>
  <c r="G23" i="8"/>
  <c r="H21" i="8"/>
  <c r="E24" i="8"/>
  <c r="H20" i="8"/>
  <c r="G22" i="8"/>
  <c r="F23" i="8"/>
  <c r="J18" i="8"/>
  <c r="F21" i="8"/>
  <c r="G20" i="8"/>
  <c r="J16" i="8"/>
  <c r="E23" i="8"/>
  <c r="F22" i="8"/>
  <c r="I18" i="8"/>
  <c r="G21" i="8"/>
  <c r="H19" i="8"/>
  <c r="E22" i="8"/>
  <c r="I17" i="8"/>
  <c r="J9" i="8"/>
  <c r="F14" i="8"/>
  <c r="H11" i="8"/>
  <c r="E20" i="8"/>
  <c r="G18" i="8"/>
  <c r="F19" i="8"/>
  <c r="H15" i="8"/>
  <c r="E19" i="8"/>
  <c r="J13" i="8"/>
  <c r="G17" i="8"/>
  <c r="F18" i="8"/>
  <c r="G16" i="8"/>
  <c r="E18" i="8"/>
  <c r="I13" i="8"/>
  <c r="F17" i="8"/>
  <c r="J12" i="8"/>
  <c r="E15" i="8"/>
  <c r="I10" i="8"/>
  <c r="E14" i="8"/>
  <c r="G14" i="8"/>
  <c r="E16" i="8"/>
  <c r="G12" i="8"/>
  <c r="F13" i="8"/>
  <c r="J8" i="8"/>
  <c r="I9" i="8"/>
  <c r="J7" i="8"/>
  <c r="F12" i="8"/>
  <c r="G11" i="8"/>
  <c r="E13" i="8"/>
  <c r="G10" i="8"/>
  <c r="I7" i="8"/>
  <c r="H8" i="8"/>
  <c r="I4" i="8"/>
  <c r="E9" i="8"/>
  <c r="H5" i="8"/>
  <c r="F8" i="8"/>
  <c r="G7" i="8"/>
  <c r="E11" i="8"/>
  <c r="F10" i="8"/>
  <c r="H7" i="8"/>
  <c r="G9" i="8"/>
  <c r="I6" i="8"/>
  <c r="J5" i="8"/>
  <c r="F6" i="8"/>
  <c r="G5" i="8"/>
  <c r="E7" i="8"/>
  <c r="F7" i="8"/>
  <c r="E8" i="8"/>
  <c r="G6" i="8"/>
  <c r="H4" i="8"/>
  <c r="L48" i="7"/>
  <c r="G53" i="7" s="1"/>
  <c r="L52" i="7" l="1"/>
  <c r="L40" i="7"/>
  <c r="L44" i="7"/>
  <c r="H49" i="7" s="1"/>
  <c r="L50" i="7"/>
  <c r="H53" i="7" s="1"/>
  <c r="L45" i="7"/>
  <c r="L49" i="7"/>
  <c r="L51" i="7"/>
  <c r="I53" i="7" s="1"/>
  <c r="L31" i="7"/>
  <c r="L29" i="7"/>
  <c r="L30" i="7"/>
  <c r="L36" i="7"/>
  <c r="E39" i="7" s="1"/>
  <c r="L32" i="7"/>
  <c r="L46" i="7"/>
  <c r="E53" i="7" s="1"/>
  <c r="L41" i="7"/>
  <c r="I39" i="7" s="1"/>
  <c r="L37" i="7"/>
  <c r="F39" i="7" s="1"/>
  <c r="L27" i="7"/>
  <c r="L20" i="7"/>
  <c r="L42" i="7"/>
  <c r="J39" i="7" s="1"/>
  <c r="L43" i="7"/>
  <c r="L28" i="7"/>
  <c r="L35" i="7"/>
  <c r="L38" i="7"/>
  <c r="G39" i="7" s="1"/>
  <c r="L26" i="7"/>
  <c r="L33" i="7"/>
  <c r="L34" i="7"/>
  <c r="L23" i="7"/>
  <c r="L22" i="7"/>
  <c r="L19" i="7"/>
  <c r="L10" i="7"/>
  <c r="L25" i="7"/>
  <c r="L16" i="7"/>
  <c r="L21" i="7"/>
  <c r="L24" i="7"/>
  <c r="L15" i="7"/>
  <c r="L14" i="7"/>
  <c r="L13" i="7"/>
  <c r="L17" i="7"/>
  <c r="L18" i="7"/>
  <c r="L4" i="7"/>
  <c r="E7" i="7" s="1"/>
  <c r="L9" i="7"/>
  <c r="L6" i="7"/>
  <c r="L7" i="7"/>
  <c r="L11" i="7"/>
  <c r="L12" i="7"/>
  <c r="L8" i="7"/>
  <c r="L5" i="7"/>
  <c r="T50" i="7"/>
  <c r="T49" i="7"/>
  <c r="BZ53" i="7" l="1"/>
  <c r="CA53" i="7" s="1"/>
  <c r="BY53" i="7"/>
  <c r="I45" i="7"/>
  <c r="H39" i="7"/>
  <c r="BX39" i="7" s="1"/>
  <c r="G52" i="7"/>
  <c r="I44" i="7"/>
  <c r="F52" i="7"/>
  <c r="G48" i="7"/>
  <c r="H45" i="7"/>
  <c r="G49" i="7"/>
  <c r="G50" i="7"/>
  <c r="H47" i="7"/>
  <c r="H11" i="7"/>
  <c r="J9" i="7"/>
  <c r="G13" i="7"/>
  <c r="E15" i="7"/>
  <c r="I10" i="7"/>
  <c r="F14" i="7"/>
  <c r="E12" i="7"/>
  <c r="I7" i="7"/>
  <c r="H8" i="7"/>
  <c r="G10" i="7"/>
  <c r="F11" i="7"/>
  <c r="E16" i="7"/>
  <c r="F15" i="7"/>
  <c r="J10" i="7"/>
  <c r="G14" i="7"/>
  <c r="H12" i="7"/>
  <c r="I11" i="7"/>
  <c r="E24" i="7"/>
  <c r="I19" i="7"/>
  <c r="F23" i="7"/>
  <c r="J18" i="7"/>
  <c r="H20" i="7"/>
  <c r="G22" i="7"/>
  <c r="H18" i="7"/>
  <c r="F21" i="7"/>
  <c r="E22" i="7"/>
  <c r="I17" i="7"/>
  <c r="J16" i="7"/>
  <c r="G20" i="7"/>
  <c r="F35" i="7"/>
  <c r="J30" i="7"/>
  <c r="E36" i="7"/>
  <c r="I31" i="7"/>
  <c r="G34" i="7"/>
  <c r="H32" i="7"/>
  <c r="G29" i="7"/>
  <c r="I26" i="7"/>
  <c r="H27" i="7"/>
  <c r="F30" i="7"/>
  <c r="E31" i="7"/>
  <c r="J25" i="7"/>
  <c r="F29" i="7"/>
  <c r="H26" i="7"/>
  <c r="I25" i="7"/>
  <c r="E30" i="7"/>
  <c r="J24" i="7"/>
  <c r="G28" i="7"/>
  <c r="F34" i="7"/>
  <c r="H31" i="7"/>
  <c r="J29" i="7"/>
  <c r="E35" i="7"/>
  <c r="G33" i="7"/>
  <c r="I30" i="7"/>
  <c r="J28" i="7"/>
  <c r="F33" i="7"/>
  <c r="I29" i="7"/>
  <c r="E34" i="7"/>
  <c r="H30" i="7"/>
  <c r="G32" i="7"/>
  <c r="J44" i="7"/>
  <c r="I48" i="7"/>
  <c r="J43" i="7"/>
  <c r="H51" i="7"/>
  <c r="H52" i="7"/>
  <c r="J50" i="7"/>
  <c r="J47" i="7"/>
  <c r="J46" i="7"/>
  <c r="J48" i="7"/>
  <c r="J51" i="7"/>
  <c r="J8" i="7"/>
  <c r="I9" i="7"/>
  <c r="E14" i="7"/>
  <c r="F13" i="7"/>
  <c r="G12" i="7"/>
  <c r="H10" i="7"/>
  <c r="G15" i="7"/>
  <c r="E17" i="7"/>
  <c r="H13" i="7"/>
  <c r="I12" i="7"/>
  <c r="J11" i="7"/>
  <c r="F16" i="7"/>
  <c r="E25" i="7"/>
  <c r="H21" i="7"/>
  <c r="I20" i="7"/>
  <c r="J19" i="7"/>
  <c r="F24" i="7"/>
  <c r="G23" i="7"/>
  <c r="F28" i="7"/>
  <c r="H25" i="7"/>
  <c r="I24" i="7"/>
  <c r="E29" i="7"/>
  <c r="G27" i="7"/>
  <c r="J23" i="7"/>
  <c r="E50" i="7"/>
  <c r="E45" i="7"/>
  <c r="E49" i="7"/>
  <c r="I41" i="7"/>
  <c r="J40" i="7"/>
  <c r="H42" i="7"/>
  <c r="E40" i="7"/>
  <c r="G38" i="7"/>
  <c r="H36" i="7"/>
  <c r="J34" i="7"/>
  <c r="I35" i="7"/>
  <c r="G37" i="7"/>
  <c r="I34" i="7"/>
  <c r="F38" i="7"/>
  <c r="J33" i="7"/>
  <c r="H35" i="7"/>
  <c r="I52" i="7"/>
  <c r="J45" i="7"/>
  <c r="I49" i="7"/>
  <c r="I46" i="7"/>
  <c r="I50" i="7"/>
  <c r="F45" i="7"/>
  <c r="I42" i="7"/>
  <c r="F50" i="7"/>
  <c r="J41" i="7"/>
  <c r="F46" i="7"/>
  <c r="E47" i="7"/>
  <c r="F7" i="7"/>
  <c r="E8" i="7"/>
  <c r="F9" i="7"/>
  <c r="E10" i="7"/>
  <c r="G8" i="7"/>
  <c r="J15" i="7"/>
  <c r="F20" i="7"/>
  <c r="I16" i="7"/>
  <c r="G19" i="7"/>
  <c r="H17" i="7"/>
  <c r="E21" i="7"/>
  <c r="I13" i="7"/>
  <c r="G16" i="7"/>
  <c r="F17" i="7"/>
  <c r="H14" i="7"/>
  <c r="J12" i="7"/>
  <c r="E18" i="7"/>
  <c r="J22" i="7"/>
  <c r="I23" i="7"/>
  <c r="E28" i="7"/>
  <c r="F27" i="7"/>
  <c r="H24" i="7"/>
  <c r="G26" i="7"/>
  <c r="J20" i="7"/>
  <c r="I21" i="7"/>
  <c r="H22" i="7"/>
  <c r="G24" i="7"/>
  <c r="F25" i="7"/>
  <c r="E26" i="7"/>
  <c r="H37" i="7"/>
  <c r="J35" i="7"/>
  <c r="I36" i="7"/>
  <c r="E41" i="7"/>
  <c r="F40" i="7"/>
  <c r="F44" i="7"/>
  <c r="H41" i="7"/>
  <c r="G43" i="7"/>
  <c r="E46" i="7"/>
  <c r="I40" i="7"/>
  <c r="H40" i="7"/>
  <c r="J38" i="7"/>
  <c r="F43" i="7"/>
  <c r="G42" i="7"/>
  <c r="E44" i="7"/>
  <c r="J27" i="7"/>
  <c r="I28" i="7"/>
  <c r="E33" i="7"/>
  <c r="F32" i="7"/>
  <c r="G31" i="7"/>
  <c r="H29" i="7"/>
  <c r="I47" i="7"/>
  <c r="G51" i="7"/>
  <c r="H48" i="7"/>
  <c r="H46" i="7"/>
  <c r="I43" i="7"/>
  <c r="F42" i="7"/>
  <c r="I38" i="7"/>
  <c r="J37" i="7"/>
  <c r="G41" i="7"/>
  <c r="E43" i="7"/>
  <c r="G9" i="7"/>
  <c r="F10" i="7"/>
  <c r="E11" i="7"/>
  <c r="H7" i="7"/>
  <c r="F8" i="7"/>
  <c r="E9" i="7"/>
  <c r="G7" i="7"/>
  <c r="J14" i="7"/>
  <c r="H16" i="7"/>
  <c r="I15" i="7"/>
  <c r="E20" i="7"/>
  <c r="F19" i="7"/>
  <c r="G18" i="7"/>
  <c r="F26" i="7"/>
  <c r="H23" i="7"/>
  <c r="J21" i="7"/>
  <c r="E27" i="7"/>
  <c r="G25" i="7"/>
  <c r="I22" i="7"/>
  <c r="E13" i="7"/>
  <c r="H9" i="7"/>
  <c r="I8" i="7"/>
  <c r="F12" i="7"/>
  <c r="G11" i="7"/>
  <c r="J7" i="7"/>
  <c r="E37" i="7"/>
  <c r="F36" i="7"/>
  <c r="H33" i="7"/>
  <c r="I32" i="7"/>
  <c r="G35" i="7"/>
  <c r="J31" i="7"/>
  <c r="H34" i="7"/>
  <c r="I33" i="7"/>
  <c r="J32" i="7"/>
  <c r="F37" i="7"/>
  <c r="G36" i="7"/>
  <c r="E38" i="7"/>
  <c r="J17" i="7"/>
  <c r="G21" i="7"/>
  <c r="F22" i="7"/>
  <c r="H19" i="7"/>
  <c r="E23" i="7"/>
  <c r="I18" i="7"/>
  <c r="F51" i="7"/>
  <c r="G45" i="7"/>
  <c r="F49" i="7"/>
  <c r="J42" i="7"/>
  <c r="E52" i="7"/>
  <c r="H44" i="7"/>
  <c r="E32" i="7"/>
  <c r="I27" i="7"/>
  <c r="H28" i="7"/>
  <c r="J26" i="7"/>
  <c r="G30" i="7"/>
  <c r="F31" i="7"/>
  <c r="G44" i="7"/>
  <c r="H43" i="7"/>
  <c r="E48" i="7"/>
  <c r="G46" i="7"/>
  <c r="F47" i="7"/>
  <c r="E51" i="7"/>
  <c r="J36" i="7"/>
  <c r="I37" i="7"/>
  <c r="H38" i="7"/>
  <c r="G40" i="7"/>
  <c r="E42" i="7"/>
  <c r="F41" i="7"/>
  <c r="J13" i="7"/>
  <c r="E19" i="7"/>
  <c r="F18" i="7"/>
  <c r="H15" i="7"/>
  <c r="G17" i="7"/>
  <c r="I14" i="7"/>
  <c r="H4" i="7"/>
  <c r="J4" i="7"/>
  <c r="G5" i="7"/>
  <c r="J5" i="7"/>
  <c r="I4" i="7"/>
  <c r="I6" i="7"/>
  <c r="G6" i="7"/>
  <c r="J6" i="7"/>
  <c r="T51" i="7"/>
  <c r="T48" i="7"/>
  <c r="BZ39" i="7" l="1"/>
  <c r="CA39" i="7" s="1"/>
  <c r="BY39" i="7"/>
  <c r="BZ52" i="7"/>
  <c r="BZ43" i="7"/>
  <c r="BZ10" i="7"/>
  <c r="BZ31" i="7"/>
  <c r="BZ28" i="7"/>
  <c r="BZ49" i="7"/>
  <c r="BZ14" i="7"/>
  <c r="BZ19" i="7"/>
  <c r="BZ51" i="7"/>
  <c r="BZ38" i="7"/>
  <c r="BZ27" i="7"/>
  <c r="BZ41" i="7"/>
  <c r="BZ26" i="7"/>
  <c r="BZ18" i="7"/>
  <c r="BZ17" i="7"/>
  <c r="BZ34" i="7"/>
  <c r="BZ30" i="7"/>
  <c r="BZ13" i="7"/>
  <c r="BZ44" i="7"/>
  <c r="BZ36" i="7"/>
  <c r="BZ16" i="7"/>
  <c r="BZ15" i="7"/>
  <c r="BZ20" i="7"/>
  <c r="BZ11" i="7"/>
  <c r="BZ33" i="7"/>
  <c r="BZ21" i="7"/>
  <c r="BZ45" i="7"/>
  <c r="BZ29" i="7"/>
  <c r="BZ35" i="7"/>
  <c r="BZ12" i="7"/>
  <c r="BZ47" i="7"/>
  <c r="BZ40" i="7"/>
  <c r="BZ42" i="7"/>
  <c r="BZ48" i="7"/>
  <c r="BZ32" i="7"/>
  <c r="BZ23" i="7"/>
  <c r="BZ37" i="7"/>
  <c r="BZ9" i="7"/>
  <c r="BZ46" i="7"/>
  <c r="BZ8" i="7"/>
  <c r="BZ50" i="7"/>
  <c r="BZ25" i="7"/>
  <c r="BZ22" i="7"/>
  <c r="BZ24" i="7"/>
  <c r="BX50" i="7"/>
  <c r="BX9" i="7"/>
  <c r="BX47" i="7"/>
  <c r="BX29" i="7"/>
  <c r="BX44" i="7"/>
  <c r="BX26" i="7"/>
  <c r="BX18" i="7"/>
  <c r="BX30" i="7"/>
  <c r="BX48" i="7"/>
  <c r="BX25" i="7"/>
  <c r="BX41" i="7"/>
  <c r="BX28" i="7"/>
  <c r="BX34" i="7"/>
  <c r="BX36" i="7"/>
  <c r="BX12" i="7"/>
  <c r="BX42" i="7"/>
  <c r="BX32" i="7"/>
  <c r="BX37" i="7"/>
  <c r="BX13" i="7"/>
  <c r="BX35" i="7"/>
  <c r="BX45" i="7"/>
  <c r="BX14" i="7"/>
  <c r="BX31" i="7"/>
  <c r="BX22" i="7"/>
  <c r="BX24" i="7"/>
  <c r="BX16" i="7"/>
  <c r="BX15" i="7"/>
  <c r="BX49" i="7"/>
  <c r="BX23" i="7"/>
  <c r="BX27" i="7"/>
  <c r="BX20" i="7"/>
  <c r="BX11" i="7"/>
  <c r="BX17" i="7"/>
  <c r="BX21" i="7"/>
  <c r="BX40" i="7"/>
  <c r="BX19" i="7"/>
  <c r="BX43" i="7"/>
  <c r="BX33" i="7"/>
  <c r="BX46" i="7"/>
  <c r="BX10" i="7"/>
  <c r="BX38" i="7"/>
  <c r="BX7" i="7"/>
  <c r="BX8" i="7"/>
  <c r="H41" i="27"/>
  <c r="T47" i="7" l="1"/>
  <c r="T45" i="7" l="1"/>
  <c r="T44" i="7"/>
  <c r="BK25" i="8" l="1"/>
  <c r="BW40" i="7"/>
  <c r="BW24" i="7"/>
  <c r="BW12" i="7"/>
  <c r="BW46" i="7"/>
  <c r="BK16" i="8"/>
  <c r="BK15" i="8"/>
  <c r="BK29" i="8"/>
  <c r="BK21" i="8"/>
  <c r="BK10" i="8"/>
  <c r="BK31" i="8"/>
  <c r="BK33" i="8"/>
  <c r="BK17" i="8"/>
  <c r="BK7" i="8"/>
  <c r="BK19" i="8"/>
  <c r="BK23" i="8"/>
  <c r="BW42" i="7"/>
  <c r="BW9" i="7"/>
  <c r="BW7" i="7"/>
  <c r="BW37" i="7"/>
  <c r="BW25" i="7"/>
  <c r="BW18" i="7"/>
  <c r="BW20" i="7"/>
  <c r="BW17" i="7"/>
  <c r="BW10" i="7"/>
  <c r="BW26" i="7"/>
  <c r="BW33" i="7"/>
  <c r="BW44" i="7"/>
  <c r="BK22" i="8"/>
  <c r="BK28" i="8"/>
  <c r="BK9" i="8"/>
  <c r="BK13" i="8"/>
  <c r="BK5" i="8"/>
  <c r="BK20" i="8"/>
  <c r="BK4" i="8"/>
  <c r="BK6" i="8"/>
  <c r="BW31" i="7"/>
  <c r="BW6" i="7"/>
  <c r="BK27" i="8"/>
  <c r="BK40" i="8"/>
  <c r="BK32" i="8"/>
  <c r="BW16" i="7"/>
  <c r="BW13" i="7"/>
  <c r="BW32" i="7"/>
  <c r="BW38" i="7"/>
  <c r="BW48" i="7"/>
  <c r="BW45" i="7"/>
  <c r="BW34" i="7"/>
  <c r="BW14" i="7"/>
  <c r="BW41" i="7"/>
  <c r="BW8" i="7"/>
  <c r="BW22" i="7"/>
  <c r="BW36" i="7"/>
  <c r="BW51" i="7"/>
  <c r="BK14" i="8"/>
  <c r="BK24" i="8"/>
  <c r="BK30" i="8"/>
  <c r="BW50" i="7"/>
  <c r="BK38" i="8"/>
  <c r="BK18" i="8"/>
  <c r="BK26" i="8"/>
  <c r="BW49" i="7"/>
  <c r="BW35" i="7"/>
  <c r="BW11" i="7"/>
  <c r="BW47" i="7"/>
  <c r="BW23" i="7"/>
  <c r="BW43" i="7"/>
  <c r="BW30" i="7"/>
  <c r="BW21" i="7"/>
  <c r="BW27" i="7"/>
  <c r="BW19" i="7"/>
  <c r="BW29" i="7"/>
  <c r="BW28" i="7"/>
  <c r="BW15" i="7"/>
  <c r="BK34" i="8"/>
  <c r="BW5" i="7"/>
  <c r="BK11" i="8"/>
  <c r="BK8" i="8"/>
  <c r="BK35" i="8"/>
  <c r="BK37" i="8"/>
  <c r="BK39" i="8"/>
  <c r="BK12" i="8"/>
  <c r="BW4" i="7"/>
  <c r="BK36" i="8"/>
  <c r="R29" i="7"/>
  <c r="P11" i="8"/>
  <c r="O11" i="8"/>
  <c r="Q11" i="8"/>
  <c r="S11" i="8"/>
  <c r="T11" i="8"/>
  <c r="U11" i="8"/>
  <c r="R11" i="8"/>
  <c r="O25" i="8"/>
  <c r="P25" i="8"/>
  <c r="Q25" i="8"/>
  <c r="U25" i="8"/>
  <c r="R4" i="8"/>
  <c r="S4" i="8"/>
  <c r="T4" i="8"/>
  <c r="Q8" i="8"/>
  <c r="O8" i="8"/>
  <c r="P8" i="8"/>
  <c r="U8" i="8"/>
  <c r="T26" i="8"/>
  <c r="R26" i="8"/>
  <c r="S26" i="8"/>
  <c r="R35" i="8"/>
  <c r="S35" i="8"/>
  <c r="T35" i="8"/>
  <c r="S6" i="8"/>
  <c r="R6" i="8"/>
  <c r="T6" i="8"/>
  <c r="P19" i="8"/>
  <c r="O19" i="8"/>
  <c r="Q19" i="8"/>
  <c r="S19" i="8"/>
  <c r="T19" i="8"/>
  <c r="U19" i="8"/>
  <c r="R19" i="8"/>
  <c r="O22" i="8"/>
  <c r="P22" i="8"/>
  <c r="Q22" i="8"/>
  <c r="U22" i="8"/>
  <c r="S14" i="8"/>
  <c r="R14" i="8"/>
  <c r="T14" i="8"/>
  <c r="Q28" i="8"/>
  <c r="O28" i="8"/>
  <c r="P28" i="8"/>
  <c r="U28" i="8"/>
  <c r="S17" i="8"/>
  <c r="T17" i="8"/>
  <c r="R17" i="8"/>
  <c r="O9" i="8"/>
  <c r="P9" i="8"/>
  <c r="Q9" i="8"/>
  <c r="U9" i="8"/>
  <c r="P13" i="8"/>
  <c r="Q13" i="8"/>
  <c r="O13" i="8"/>
  <c r="U13" i="8"/>
  <c r="P5" i="8"/>
  <c r="Q5" i="8"/>
  <c r="O5" i="8"/>
  <c r="U5" i="8"/>
  <c r="Q20" i="8"/>
  <c r="O20" i="8"/>
  <c r="P20" i="8"/>
  <c r="U20" i="8"/>
  <c r="Q4" i="8"/>
  <c r="P4" i="8"/>
  <c r="O4" i="8"/>
  <c r="U4" i="8"/>
  <c r="O26" i="8"/>
  <c r="Q26" i="8"/>
  <c r="P26" i="8"/>
  <c r="U26" i="8"/>
  <c r="Q16" i="8"/>
  <c r="O16" i="8"/>
  <c r="P16" i="8"/>
  <c r="U16" i="8"/>
  <c r="P15" i="8"/>
  <c r="Q15" i="8"/>
  <c r="O15" i="8"/>
  <c r="S15" i="8"/>
  <c r="T15" i="8"/>
  <c r="U15" i="8"/>
  <c r="R15" i="8"/>
  <c r="P29" i="8"/>
  <c r="O29" i="8"/>
  <c r="Q29" i="8"/>
  <c r="U29" i="8"/>
  <c r="P21" i="8"/>
  <c r="Q21" i="8"/>
  <c r="O21" i="8"/>
  <c r="U21" i="8"/>
  <c r="O10" i="8"/>
  <c r="Q10" i="8"/>
  <c r="P10" i="8"/>
  <c r="S10" i="8"/>
  <c r="R10" i="8"/>
  <c r="T10" i="8"/>
  <c r="U10" i="8"/>
  <c r="P27" i="8"/>
  <c r="O27" i="8"/>
  <c r="Q27" i="8"/>
  <c r="R27" i="8"/>
  <c r="S27" i="8"/>
  <c r="T27" i="8"/>
  <c r="U27" i="8"/>
  <c r="S8" i="8"/>
  <c r="R8" i="8"/>
  <c r="T8" i="8"/>
  <c r="S32" i="8"/>
  <c r="R32" i="8"/>
  <c r="T32" i="8"/>
  <c r="T34" i="8"/>
  <c r="R34" i="8"/>
  <c r="S34" i="8"/>
  <c r="P31" i="8"/>
  <c r="O31" i="8"/>
  <c r="Q31" i="8"/>
  <c r="S31" i="8"/>
  <c r="T31" i="8"/>
  <c r="R31" i="8"/>
  <c r="U31" i="8"/>
  <c r="S12" i="8"/>
  <c r="R12" i="8"/>
  <c r="T12" i="8"/>
  <c r="O17" i="8"/>
  <c r="P17" i="8"/>
  <c r="Q17" i="8"/>
  <c r="U17" i="8"/>
  <c r="P7" i="8"/>
  <c r="Q7" i="8"/>
  <c r="O7" i="8"/>
  <c r="S7" i="8"/>
  <c r="T7" i="8"/>
  <c r="U7" i="8"/>
  <c r="R7" i="8"/>
  <c r="S18" i="8"/>
  <c r="R18" i="8"/>
  <c r="T18" i="8"/>
  <c r="Q32" i="8"/>
  <c r="O32" i="8"/>
  <c r="P32" i="8"/>
  <c r="U32" i="8"/>
  <c r="R30" i="8"/>
  <c r="S30" i="8"/>
  <c r="T30" i="8"/>
  <c r="S21" i="8"/>
  <c r="T21" i="8"/>
  <c r="R21" i="8"/>
  <c r="S16" i="8"/>
  <c r="R16" i="8"/>
  <c r="T16" i="8"/>
  <c r="S25" i="8"/>
  <c r="R25" i="8"/>
  <c r="T25" i="8"/>
  <c r="S22" i="8"/>
  <c r="R22" i="8"/>
  <c r="T22" i="8"/>
  <c r="T29" i="8"/>
  <c r="R29" i="8"/>
  <c r="S29" i="8"/>
  <c r="Q12" i="8"/>
  <c r="O12" i="8"/>
  <c r="P12" i="8"/>
  <c r="U12" i="8"/>
  <c r="P23" i="8"/>
  <c r="Q23" i="8"/>
  <c r="O23" i="8"/>
  <c r="S23" i="8"/>
  <c r="T23" i="8"/>
  <c r="R23" i="8"/>
  <c r="U23" i="8"/>
  <c r="S20" i="8"/>
  <c r="R20" i="8"/>
  <c r="T20" i="8"/>
  <c r="S5" i="8"/>
  <c r="T5" i="8"/>
  <c r="R5" i="8"/>
  <c r="S24" i="8"/>
  <c r="R24" i="8"/>
  <c r="T24" i="8"/>
  <c r="T28" i="8"/>
  <c r="R28" i="8"/>
  <c r="S28" i="8"/>
  <c r="O14" i="8"/>
  <c r="P14" i="8"/>
  <c r="Q14" i="8"/>
  <c r="U14" i="8"/>
  <c r="Q24" i="8"/>
  <c r="O24" i="8"/>
  <c r="P24" i="8"/>
  <c r="U24" i="8"/>
  <c r="O30" i="8"/>
  <c r="P30" i="8"/>
  <c r="Q30" i="8"/>
  <c r="U30" i="8"/>
  <c r="S9" i="8"/>
  <c r="T9" i="8"/>
  <c r="R9" i="8"/>
  <c r="S33" i="8"/>
  <c r="T33" i="8"/>
  <c r="R33" i="8"/>
  <c r="S13" i="8"/>
  <c r="T13" i="8"/>
  <c r="R13" i="8"/>
  <c r="O18" i="8"/>
  <c r="Q18" i="8"/>
  <c r="P18" i="8"/>
  <c r="U18" i="8"/>
  <c r="O6" i="8"/>
  <c r="P6" i="8"/>
  <c r="Q6" i="8"/>
  <c r="U6" i="8"/>
  <c r="T5" i="7"/>
  <c r="T6" i="7"/>
  <c r="T35" i="7"/>
  <c r="R35" i="7"/>
  <c r="S35" i="7"/>
  <c r="Q35" i="7"/>
  <c r="S22" i="7"/>
  <c r="Q22" i="7"/>
  <c r="R22" i="7"/>
  <c r="S18" i="7"/>
  <c r="Q18" i="7"/>
  <c r="R18" i="7"/>
  <c r="S33" i="7"/>
  <c r="Q33" i="7"/>
  <c r="R33" i="7"/>
  <c r="S23" i="7"/>
  <c r="T23" i="7"/>
  <c r="Q23" i="7"/>
  <c r="R23" i="7"/>
  <c r="Q37" i="7"/>
  <c r="R37" i="7"/>
  <c r="S37" i="7"/>
  <c r="S9" i="7"/>
  <c r="Q9" i="7"/>
  <c r="R9" i="7"/>
  <c r="R43" i="7"/>
  <c r="S43" i="7"/>
  <c r="Q43" i="7"/>
  <c r="T43" i="7"/>
  <c r="T30" i="7"/>
  <c r="T21" i="7"/>
  <c r="Q29" i="7"/>
  <c r="S29" i="7"/>
  <c r="S27" i="7"/>
  <c r="T27" i="7"/>
  <c r="Q27" i="7"/>
  <c r="R27" i="7"/>
  <c r="S19" i="7"/>
  <c r="T19" i="7"/>
  <c r="Q19" i="7"/>
  <c r="R19" i="7"/>
  <c r="T29" i="7"/>
  <c r="T28" i="7"/>
  <c r="Q42" i="7"/>
  <c r="R42" i="7"/>
  <c r="S42" i="7"/>
  <c r="S15" i="7"/>
  <c r="T15" i="7"/>
  <c r="Q15" i="7"/>
  <c r="R15" i="7"/>
  <c r="Q41" i="7"/>
  <c r="R41" i="7"/>
  <c r="S41" i="7"/>
  <c r="S26" i="7"/>
  <c r="Q26" i="7"/>
  <c r="R26" i="7"/>
  <c r="T40" i="7"/>
  <c r="T24" i="7"/>
  <c r="T46" i="7"/>
  <c r="T12" i="7"/>
  <c r="T37" i="7"/>
  <c r="T25" i="7"/>
  <c r="T42" i="7"/>
  <c r="T18" i="7"/>
  <c r="R32" i="7"/>
  <c r="Q32" i="7"/>
  <c r="S32" i="7"/>
  <c r="S36" i="7"/>
  <c r="Q36" i="7"/>
  <c r="R36" i="7"/>
  <c r="T20" i="7"/>
  <c r="S8" i="7"/>
  <c r="Q8" i="7"/>
  <c r="R8" i="7"/>
  <c r="T17" i="7"/>
  <c r="S28" i="7"/>
  <c r="Q28" i="7"/>
  <c r="R28" i="7"/>
  <c r="T10" i="7"/>
  <c r="T26" i="7"/>
  <c r="T33" i="7"/>
  <c r="S40" i="7"/>
  <c r="Q40" i="7"/>
  <c r="R40" i="7"/>
  <c r="S11" i="7"/>
  <c r="T11" i="7"/>
  <c r="Q11" i="7"/>
  <c r="R11" i="7"/>
  <c r="T9" i="7"/>
  <c r="R34" i="7"/>
  <c r="S34" i="7"/>
  <c r="Q34" i="7"/>
  <c r="S21" i="7"/>
  <c r="Q21" i="7"/>
  <c r="R21" i="7"/>
  <c r="T31" i="7"/>
  <c r="S31" i="7"/>
  <c r="Q31" i="7"/>
  <c r="R31" i="7"/>
  <c r="R30" i="7"/>
  <c r="S30" i="7"/>
  <c r="Q30" i="7"/>
  <c r="S10" i="7"/>
  <c r="Q10" i="7"/>
  <c r="R10" i="7"/>
  <c r="S14" i="7"/>
  <c r="Q14" i="7"/>
  <c r="R14" i="7"/>
  <c r="Q38" i="7"/>
  <c r="R38" i="7"/>
  <c r="S38" i="7"/>
  <c r="S13" i="7"/>
  <c r="Q13" i="7"/>
  <c r="R13" i="7"/>
  <c r="S25" i="7"/>
  <c r="Q25" i="7"/>
  <c r="R25" i="7"/>
  <c r="S17" i="7"/>
  <c r="Q17" i="7"/>
  <c r="R17" i="7"/>
  <c r="T16" i="7"/>
  <c r="T13" i="7"/>
  <c r="S20" i="7"/>
  <c r="Q20" i="7"/>
  <c r="R20" i="7"/>
  <c r="T32" i="7"/>
  <c r="T38" i="7"/>
  <c r="T34" i="7"/>
  <c r="T14" i="7"/>
  <c r="T41" i="7"/>
  <c r="T8" i="7"/>
  <c r="T22" i="7"/>
  <c r="T36" i="7"/>
  <c r="S12" i="7"/>
  <c r="Q12" i="7"/>
  <c r="R12" i="7"/>
  <c r="S24" i="7"/>
  <c r="Q24" i="7"/>
  <c r="R24" i="7"/>
  <c r="S16" i="7"/>
  <c r="Q16" i="7"/>
  <c r="R16" i="7"/>
  <c r="T4" i="7"/>
  <c r="T7" i="7"/>
  <c r="H6" i="7"/>
  <c r="F6" i="7" l="1"/>
  <c r="BX6" i="7" s="1"/>
  <c r="H5" i="7"/>
  <c r="I5" i="7"/>
  <c r="BX5" i="7" l="1"/>
  <c r="BN32" i="8"/>
  <c r="BL32" i="8"/>
  <c r="BM32" i="8"/>
  <c r="BM14" i="8"/>
  <c r="BN14" i="8"/>
  <c r="BL14" i="8"/>
  <c r="BM11" i="8"/>
  <c r="BL11" i="8"/>
  <c r="BN11" i="8"/>
  <c r="BN18" i="8"/>
  <c r="BL18" i="8"/>
  <c r="BM18" i="8"/>
  <c r="BN23" i="8"/>
  <c r="BL23" i="8"/>
  <c r="BM23" i="8"/>
  <c r="BN33" i="8"/>
  <c r="BL33" i="8"/>
  <c r="BM33" i="8"/>
  <c r="BN15" i="8"/>
  <c r="BM15" i="8"/>
  <c r="BL15" i="8"/>
  <c r="BL20" i="8"/>
  <c r="BN20" i="8"/>
  <c r="BM20" i="8"/>
  <c r="BN19" i="8"/>
  <c r="BM19" i="8"/>
  <c r="BL19" i="8"/>
  <c r="BN29" i="8"/>
  <c r="BM29" i="8"/>
  <c r="BL29" i="8"/>
  <c r="BM26" i="8"/>
  <c r="BL26" i="8"/>
  <c r="BN26" i="8"/>
  <c r="BN25" i="8"/>
  <c r="BM25" i="8"/>
  <c r="BL25" i="8"/>
  <c r="BL13" i="8"/>
  <c r="BM13" i="8"/>
  <c r="BN13" i="8"/>
  <c r="BN10" i="8"/>
  <c r="BL10" i="8"/>
  <c r="BM10" i="8"/>
  <c r="BL16" i="8"/>
  <c r="BM16" i="8"/>
  <c r="BN16" i="8"/>
  <c r="BN9" i="8"/>
  <c r="BL9" i="8"/>
  <c r="BM9" i="8"/>
  <c r="BL6" i="8"/>
  <c r="BM6" i="8"/>
  <c r="BN6" i="8"/>
  <c r="BN17" i="8"/>
  <c r="BL17" i="8"/>
  <c r="BM17" i="8"/>
  <c r="BM21" i="8"/>
  <c r="BL21" i="8"/>
  <c r="BN21" i="8"/>
  <c r="BN22" i="8"/>
  <c r="BL22" i="8"/>
  <c r="BM22" i="8"/>
  <c r="BN28" i="8"/>
  <c r="BM28" i="8"/>
  <c r="BL28" i="8"/>
  <c r="BL5" i="8"/>
  <c r="BM5" i="8"/>
  <c r="BN5" i="8"/>
  <c r="BM27" i="8"/>
  <c r="BL27" i="8"/>
  <c r="BN27" i="8"/>
  <c r="BN12" i="8"/>
  <c r="BM12" i="8"/>
  <c r="BL12" i="8"/>
  <c r="BN24" i="8"/>
  <c r="BM24" i="8"/>
  <c r="BL24" i="8"/>
  <c r="BM38" i="8"/>
  <c r="BN38" i="8"/>
  <c r="BL38" i="8"/>
  <c r="BN40" i="8"/>
  <c r="BM40" i="8"/>
  <c r="BL40" i="8"/>
  <c r="BN39" i="8"/>
  <c r="BM39" i="8"/>
  <c r="BL39" i="8"/>
  <c r="BL36" i="8"/>
  <c r="BN36" i="8"/>
  <c r="BM36" i="8"/>
  <c r="BN7" i="8"/>
  <c r="BM7" i="8"/>
  <c r="BL7" i="8"/>
  <c r="BN31" i="8"/>
  <c r="BM31" i="8"/>
  <c r="BL31" i="8"/>
  <c r="BN37" i="8"/>
  <c r="BM37" i="8"/>
  <c r="BL37" i="8"/>
  <c r="BM35" i="8"/>
  <c r="BL35" i="8"/>
  <c r="BN35" i="8"/>
  <c r="BN34" i="8"/>
  <c r="BL34" i="8"/>
  <c r="BM34" i="8"/>
  <c r="BN30" i="8"/>
  <c r="BM30" i="8"/>
  <c r="BL30" i="8"/>
  <c r="BM8" i="8"/>
  <c r="BL8" i="8"/>
  <c r="BN8" i="8"/>
  <c r="BY7" i="7"/>
  <c r="BZ7" i="7"/>
  <c r="BZ5" i="7"/>
  <c r="BY5" i="7"/>
  <c r="BZ6" i="7"/>
  <c r="BY6" i="7"/>
  <c r="BY18" i="7"/>
  <c r="BY34" i="7"/>
  <c r="BY13" i="7"/>
  <c r="BY29" i="7"/>
  <c r="BY37" i="7"/>
  <c r="BY12" i="7"/>
  <c r="BY20" i="7"/>
  <c r="BY28" i="7"/>
  <c r="BY44" i="7"/>
  <c r="BY15" i="7"/>
  <c r="BY31" i="7"/>
  <c r="BY46" i="7"/>
  <c r="BY8" i="7"/>
  <c r="BY16" i="7"/>
  <c r="BY24" i="7"/>
  <c r="BY32" i="7"/>
  <c r="BY40" i="7"/>
  <c r="BY11" i="7"/>
  <c r="BY19" i="7"/>
  <c r="BY27" i="7"/>
  <c r="BY35" i="7"/>
  <c r="BY43" i="7"/>
  <c r="BY49" i="7"/>
  <c r="BY10" i="7"/>
  <c r="BY26" i="7"/>
  <c r="BY42" i="7"/>
  <c r="BY51" i="7"/>
  <c r="BY21" i="7"/>
  <c r="BY45" i="7"/>
  <c r="BY48" i="7"/>
  <c r="BY36" i="7"/>
  <c r="BY23" i="7"/>
  <c r="BY47" i="7"/>
  <c r="BY14" i="7"/>
  <c r="BY22" i="7"/>
  <c r="BY30" i="7"/>
  <c r="BY38" i="7"/>
  <c r="BY50" i="7"/>
  <c r="BY9" i="7"/>
  <c r="BY17" i="7"/>
  <c r="BY25" i="7"/>
  <c r="BY33" i="7"/>
  <c r="BY41" i="7"/>
  <c r="BM4" i="8"/>
  <c r="BL4" i="8"/>
  <c r="BN4" i="8"/>
  <c r="BZ4" i="7"/>
  <c r="BX4" i="7"/>
  <c r="BY4" i="7"/>
  <c r="F6" i="26"/>
  <c r="F20" i="26"/>
  <c r="F13" i="26"/>
  <c r="F48" i="26"/>
  <c r="F23" i="26"/>
  <c r="F35" i="27"/>
  <c r="F33" i="27"/>
  <c r="F13" i="27"/>
  <c r="F25" i="27"/>
  <c r="F14" i="26"/>
  <c r="F35" i="26"/>
  <c r="F10" i="26"/>
  <c r="F43" i="26"/>
  <c r="F5" i="26"/>
  <c r="F9" i="27"/>
  <c r="F5" i="27"/>
  <c r="F20" i="27"/>
  <c r="F29" i="27"/>
  <c r="F27" i="27"/>
  <c r="F34" i="26"/>
  <c r="F28" i="26"/>
  <c r="F15" i="26"/>
  <c r="F22" i="26"/>
  <c r="F36" i="26"/>
  <c r="F11" i="26"/>
  <c r="F30" i="26"/>
  <c r="F21" i="26"/>
  <c r="F38" i="26"/>
  <c r="F33" i="26"/>
  <c r="F31" i="26"/>
  <c r="F21" i="27"/>
  <c r="F14" i="27"/>
  <c r="F30" i="27"/>
  <c r="F10" i="27"/>
  <c r="F24" i="27"/>
  <c r="F16" i="27"/>
  <c r="F23" i="27"/>
  <c r="F26" i="27"/>
  <c r="F36" i="27"/>
  <c r="F24" i="26"/>
  <c r="F4" i="26"/>
  <c r="H4" i="26" s="1"/>
  <c r="F27" i="26"/>
  <c r="F16" i="26"/>
  <c r="F25" i="26"/>
  <c r="F32" i="26"/>
  <c r="F11" i="27"/>
  <c r="F4" i="27"/>
  <c r="F18" i="27"/>
  <c r="F7" i="27"/>
  <c r="F31" i="27"/>
  <c r="F49" i="26"/>
  <c r="F41" i="26"/>
  <c r="F17" i="26"/>
  <c r="F28" i="27"/>
  <c r="F15" i="27"/>
  <c r="F19" i="27"/>
  <c r="F7" i="26"/>
  <c r="F9" i="26"/>
  <c r="F19" i="26"/>
  <c r="F26" i="26"/>
  <c r="F29" i="26"/>
  <c r="F18" i="26"/>
  <c r="F8" i="26"/>
  <c r="F42" i="26"/>
  <c r="F12" i="26"/>
  <c r="F37" i="26"/>
  <c r="F6" i="27"/>
  <c r="F37" i="27"/>
  <c r="F17" i="27"/>
  <c r="F34" i="27"/>
  <c r="F38" i="27"/>
  <c r="F22" i="27"/>
  <c r="F8" i="27"/>
  <c r="H39" i="27"/>
  <c r="F12" i="27"/>
  <c r="F32" i="27"/>
  <c r="BO25" i="8" l="1"/>
  <c r="BO21" i="8"/>
  <c r="BO29" i="8"/>
  <c r="BO13" i="8"/>
  <c r="BO36" i="8"/>
  <c r="BO23" i="8"/>
  <c r="BO18" i="8"/>
  <c r="BO22" i="8"/>
  <c r="BO35" i="8"/>
  <c r="BN43" i="8"/>
  <c r="BO10" i="8"/>
  <c r="BO11" i="8"/>
  <c r="BO28" i="8"/>
  <c r="BO8" i="8"/>
  <c r="BO30" i="8"/>
  <c r="BO6" i="8"/>
  <c r="BO5" i="8"/>
  <c r="BO14" i="8"/>
  <c r="BM43" i="8"/>
  <c r="BO34" i="8"/>
  <c r="BO12" i="8"/>
  <c r="BO38" i="8"/>
  <c r="BO4" i="8"/>
  <c r="BL43" i="8"/>
  <c r="BO15" i="8"/>
  <c r="BO33" i="8"/>
  <c r="BO37" i="8"/>
  <c r="BO39" i="8"/>
  <c r="BO19" i="8"/>
  <c r="BO40" i="8"/>
  <c r="BO32" i="8"/>
  <c r="BO20" i="8"/>
  <c r="BO7" i="8"/>
  <c r="BO9" i="8"/>
  <c r="BO31" i="8"/>
  <c r="BO26" i="8"/>
  <c r="BO17" i="8"/>
  <c r="BO16" i="8"/>
  <c r="BO27" i="8"/>
  <c r="BO24" i="8"/>
  <c r="CA48" i="7"/>
  <c r="CA44" i="7"/>
  <c r="CA42" i="7"/>
  <c r="CA45" i="7"/>
  <c r="CA49" i="7"/>
  <c r="CA47" i="7"/>
  <c r="CA41" i="7"/>
  <c r="CA43" i="7"/>
  <c r="CA50" i="7"/>
  <c r="CA46" i="7"/>
  <c r="CA18" i="7"/>
  <c r="CA10" i="7"/>
  <c r="CA35" i="7"/>
  <c r="CA5" i="7"/>
  <c r="CA6" i="7"/>
  <c r="CA30" i="7"/>
  <c r="CA17" i="7"/>
  <c r="CA25" i="7"/>
  <c r="CA29" i="7"/>
  <c r="CA12" i="7"/>
  <c r="CA27" i="7"/>
  <c r="CA19" i="7"/>
  <c r="CA26" i="7"/>
  <c r="CA14" i="7"/>
  <c r="CA37" i="7"/>
  <c r="CA16" i="7"/>
  <c r="CA7" i="7"/>
  <c r="CA38" i="7"/>
  <c r="CA28" i="7"/>
  <c r="CA15" i="7"/>
  <c r="CA31" i="7"/>
  <c r="CA33" i="7"/>
  <c r="CA4" i="7"/>
  <c r="CA9" i="7"/>
  <c r="CA11" i="7"/>
  <c r="CA24" i="7"/>
  <c r="CA32" i="7"/>
  <c r="CA22" i="7"/>
  <c r="CA34" i="7"/>
  <c r="CA8" i="7"/>
  <c r="CA13" i="7"/>
  <c r="CA36" i="7"/>
  <c r="CA21" i="7"/>
  <c r="CA23" i="7"/>
  <c r="CA40" i="7"/>
  <c r="CA20" i="7"/>
  <c r="BL44" i="8" l="1"/>
  <c r="A1" i="8" l="1"/>
  <c r="D40" i="27" l="1"/>
  <c r="D36" i="27"/>
  <c r="D32" i="27"/>
  <c r="D28" i="27"/>
  <c r="D24" i="27"/>
  <c r="D20" i="27"/>
  <c r="D16" i="27"/>
  <c r="D12" i="27"/>
  <c r="D8" i="27"/>
  <c r="D4" i="27"/>
  <c r="B40" i="27"/>
  <c r="B36" i="27"/>
  <c r="B32" i="27"/>
  <c r="B28" i="27"/>
  <c r="B24" i="27"/>
  <c r="B20" i="27"/>
  <c r="B16" i="27"/>
  <c r="B12" i="27"/>
  <c r="B8" i="27"/>
  <c r="B4" i="27"/>
  <c r="D39" i="27"/>
  <c r="D38" i="27"/>
  <c r="D34" i="27"/>
  <c r="D30" i="27"/>
  <c r="D26" i="27"/>
  <c r="D22" i="27"/>
  <c r="D18" i="27"/>
  <c r="D14" i="27"/>
  <c r="D10" i="27"/>
  <c r="D6" i="27"/>
  <c r="B38" i="27"/>
  <c r="B34" i="27"/>
  <c r="B30" i="27"/>
  <c r="B26" i="27"/>
  <c r="B22" i="27"/>
  <c r="B18" i="27"/>
  <c r="B14" i="27"/>
  <c r="B10" i="27"/>
  <c r="B6" i="27"/>
  <c r="D37" i="27"/>
  <c r="D29" i="27"/>
  <c r="D21" i="27"/>
  <c r="D13" i="27"/>
  <c r="D5" i="27"/>
  <c r="B39" i="27"/>
  <c r="B31" i="27"/>
  <c r="B23" i="27"/>
  <c r="B15" i="27"/>
  <c r="B7" i="27"/>
  <c r="D27" i="27"/>
  <c r="D19" i="27"/>
  <c r="D11" i="27"/>
  <c r="B37" i="27"/>
  <c r="B29" i="27"/>
  <c r="B21" i="27"/>
  <c r="B13" i="27"/>
  <c r="B5" i="27"/>
  <c r="D35" i="27"/>
  <c r="D33" i="27"/>
  <c r="D25" i="27"/>
  <c r="D17" i="27"/>
  <c r="D9" i="27"/>
  <c r="B35" i="27"/>
  <c r="B27" i="27"/>
  <c r="B19" i="27"/>
  <c r="B11" i="27"/>
  <c r="D41" i="27"/>
  <c r="D31" i="27"/>
  <c r="D23" i="27"/>
  <c r="D15" i="27"/>
  <c r="D7" i="27"/>
  <c r="B41" i="27"/>
  <c r="B33" i="27"/>
  <c r="B25" i="27"/>
  <c r="B17" i="27"/>
  <c r="B9" i="27"/>
  <c r="CA52" i="7"/>
  <c r="BZ54" i="7"/>
  <c r="BZ59" i="7" s="1"/>
  <c r="BY52" i="7"/>
  <c r="J25" i="27" l="1"/>
  <c r="I25" i="27"/>
  <c r="J9" i="27"/>
  <c r="I9" i="27"/>
  <c r="J41" i="27"/>
  <c r="I41" i="27"/>
  <c r="J27" i="27"/>
  <c r="I27" i="27"/>
  <c r="J13" i="27"/>
  <c r="I13" i="27"/>
  <c r="J15" i="27"/>
  <c r="I15" i="27"/>
  <c r="J18" i="27"/>
  <c r="I18" i="27"/>
  <c r="J34" i="27"/>
  <c r="I34" i="27"/>
  <c r="J4" i="27"/>
  <c r="I4" i="27"/>
  <c r="J20" i="27"/>
  <c r="I20" i="27"/>
  <c r="J36" i="27"/>
  <c r="I36" i="27"/>
  <c r="J17" i="27"/>
  <c r="I17" i="27"/>
  <c r="J35" i="27"/>
  <c r="I35" i="27"/>
  <c r="J21" i="27"/>
  <c r="I21" i="27"/>
  <c r="J23" i="27"/>
  <c r="I23" i="27"/>
  <c r="J6" i="27"/>
  <c r="I6" i="27"/>
  <c r="J22" i="27"/>
  <c r="I22" i="27"/>
  <c r="J38" i="27"/>
  <c r="I38" i="27"/>
  <c r="J8" i="27"/>
  <c r="I8" i="27"/>
  <c r="J24" i="27"/>
  <c r="I24" i="27"/>
  <c r="J40" i="27"/>
  <c r="I40" i="27"/>
  <c r="J11" i="27"/>
  <c r="I11" i="27"/>
  <c r="J29" i="27"/>
  <c r="I29" i="27"/>
  <c r="J31" i="27"/>
  <c r="I31" i="27"/>
  <c r="J10" i="27"/>
  <c r="I10" i="27"/>
  <c r="J26" i="27"/>
  <c r="I26" i="27"/>
  <c r="J12" i="27"/>
  <c r="I12" i="27"/>
  <c r="J28" i="27"/>
  <c r="I28" i="27"/>
  <c r="J33" i="27"/>
  <c r="I33" i="27"/>
  <c r="J19" i="27"/>
  <c r="I19" i="27"/>
  <c r="J5" i="27"/>
  <c r="I5" i="27"/>
  <c r="J37" i="27"/>
  <c r="I37" i="27"/>
  <c r="J7" i="27"/>
  <c r="I7" i="27"/>
  <c r="J39" i="27"/>
  <c r="I39" i="27"/>
  <c r="J14" i="27"/>
  <c r="I14" i="27"/>
  <c r="J30" i="27"/>
  <c r="I30" i="27"/>
  <c r="J16" i="27"/>
  <c r="I16" i="27"/>
  <c r="J32" i="27"/>
  <c r="I32" i="27"/>
  <c r="G18" i="27"/>
  <c r="H18" i="27" s="1"/>
  <c r="L18" i="27"/>
  <c r="E18" i="27"/>
  <c r="G32" i="27"/>
  <c r="H32" i="27" s="1"/>
  <c r="L32" i="27"/>
  <c r="E32" i="27"/>
  <c r="G23" i="27"/>
  <c r="H23" i="27" s="1"/>
  <c r="L23" i="27"/>
  <c r="E23" i="27"/>
  <c r="G31" i="27"/>
  <c r="H31" i="27" s="1"/>
  <c r="L31" i="27"/>
  <c r="E31" i="27"/>
  <c r="G25" i="27"/>
  <c r="H25" i="27" s="1"/>
  <c r="L25" i="27"/>
  <c r="E25" i="27"/>
  <c r="G11" i="27"/>
  <c r="H11" i="27" s="1"/>
  <c r="L11" i="27"/>
  <c r="E11" i="27"/>
  <c r="G5" i="27"/>
  <c r="H5" i="27" s="1"/>
  <c r="L5" i="27"/>
  <c r="E5" i="27"/>
  <c r="G37" i="27"/>
  <c r="H37" i="27" s="1"/>
  <c r="L37" i="27"/>
  <c r="E37" i="27"/>
  <c r="G14" i="27"/>
  <c r="H14" i="27" s="1"/>
  <c r="L14" i="27"/>
  <c r="E14" i="27"/>
  <c r="G30" i="27"/>
  <c r="H30" i="27" s="1"/>
  <c r="L30" i="27"/>
  <c r="E30" i="27"/>
  <c r="G12" i="27"/>
  <c r="H12" i="27" s="1"/>
  <c r="L12" i="27"/>
  <c r="E12" i="27"/>
  <c r="G28" i="27"/>
  <c r="H28" i="27" s="1"/>
  <c r="L28" i="27"/>
  <c r="E28" i="27"/>
  <c r="L41" i="27"/>
  <c r="E41" i="27"/>
  <c r="G13" i="27"/>
  <c r="H13" i="27" s="1"/>
  <c r="L13" i="27"/>
  <c r="E13" i="27"/>
  <c r="G16" i="27"/>
  <c r="H16" i="27" s="1"/>
  <c r="L16" i="27"/>
  <c r="E16" i="27"/>
  <c r="G15" i="27"/>
  <c r="H15" i="27" s="1"/>
  <c r="L15" i="27"/>
  <c r="E15" i="27"/>
  <c r="G9" i="27"/>
  <c r="H9" i="27" s="1"/>
  <c r="L9" i="27"/>
  <c r="E9" i="27"/>
  <c r="G35" i="27"/>
  <c r="H35" i="27" s="1"/>
  <c r="L35" i="27"/>
  <c r="E35" i="27"/>
  <c r="G27" i="27"/>
  <c r="H27" i="27" s="1"/>
  <c r="L27" i="27"/>
  <c r="E27" i="27"/>
  <c r="G21" i="27"/>
  <c r="H21" i="27" s="1"/>
  <c r="L21" i="27"/>
  <c r="E21" i="27"/>
  <c r="G6" i="27"/>
  <c r="H6" i="27" s="1"/>
  <c r="L6" i="27"/>
  <c r="E6" i="27"/>
  <c r="G22" i="27"/>
  <c r="H22" i="27" s="1"/>
  <c r="L22" i="27"/>
  <c r="E22" i="27"/>
  <c r="G38" i="27"/>
  <c r="H38" i="27" s="1"/>
  <c r="L38" i="27"/>
  <c r="E38" i="27"/>
  <c r="G4" i="27"/>
  <c r="H4" i="27" s="1"/>
  <c r="L4" i="27"/>
  <c r="E4" i="27"/>
  <c r="G20" i="27"/>
  <c r="H20" i="27" s="1"/>
  <c r="L20" i="27"/>
  <c r="E20" i="27"/>
  <c r="G36" i="27"/>
  <c r="H36" i="27" s="1"/>
  <c r="L36" i="27"/>
  <c r="E36" i="27"/>
  <c r="G7" i="27"/>
  <c r="H7" i="27" s="1"/>
  <c r="L7" i="27"/>
  <c r="E7" i="27"/>
  <c r="G33" i="27"/>
  <c r="H33" i="27" s="1"/>
  <c r="L33" i="27"/>
  <c r="E33" i="27"/>
  <c r="G19" i="27"/>
  <c r="H19" i="27" s="1"/>
  <c r="L19" i="27"/>
  <c r="E19" i="27"/>
  <c r="G34" i="27"/>
  <c r="H34" i="27" s="1"/>
  <c r="L34" i="27"/>
  <c r="E34" i="27"/>
  <c r="G17" i="27"/>
  <c r="H17" i="27" s="1"/>
  <c r="L17" i="27"/>
  <c r="E17" i="27"/>
  <c r="G29" i="27"/>
  <c r="H29" i="27" s="1"/>
  <c r="L29" i="27"/>
  <c r="E29" i="27"/>
  <c r="G10" i="27"/>
  <c r="H10" i="27" s="1"/>
  <c r="L10" i="27"/>
  <c r="E10" i="27"/>
  <c r="G26" i="27"/>
  <c r="H26" i="27" s="1"/>
  <c r="L26" i="27"/>
  <c r="E26" i="27"/>
  <c r="L39" i="27"/>
  <c r="E39" i="27"/>
  <c r="G8" i="27"/>
  <c r="H8" i="27" s="1"/>
  <c r="L8" i="27"/>
  <c r="E8" i="27"/>
  <c r="G24" i="27"/>
  <c r="H24" i="27" s="1"/>
  <c r="L24" i="27"/>
  <c r="E24" i="27"/>
  <c r="E40" i="27"/>
  <c r="L40" i="27"/>
  <c r="BY54" i="7"/>
  <c r="CA51" i="7"/>
  <c r="CA55" i="7" s="1"/>
  <c r="BX54" i="7"/>
  <c r="BX55" i="7" s="1"/>
  <c r="A1" i="7" s="1"/>
  <c r="D49" i="26" l="1"/>
  <c r="D45" i="26"/>
  <c r="D41" i="26"/>
  <c r="D37" i="26"/>
  <c r="D33" i="26"/>
  <c r="D29" i="26"/>
  <c r="D25" i="26"/>
  <c r="D21" i="26"/>
  <c r="D17" i="26"/>
  <c r="D13" i="26"/>
  <c r="D9" i="26"/>
  <c r="D5" i="26"/>
  <c r="B50" i="26"/>
  <c r="B46" i="26"/>
  <c r="B42" i="26"/>
  <c r="B38" i="26"/>
  <c r="B34" i="26"/>
  <c r="B30" i="26"/>
  <c r="B26" i="26"/>
  <c r="B22" i="26"/>
  <c r="B18" i="26"/>
  <c r="B14" i="26"/>
  <c r="B9" i="26"/>
  <c r="B6" i="26"/>
  <c r="D52" i="26"/>
  <c r="D44" i="26"/>
  <c r="D51" i="26"/>
  <c r="D47" i="26"/>
  <c r="D43" i="26"/>
  <c r="D39" i="26"/>
  <c r="D35" i="26"/>
  <c r="D31" i="26"/>
  <c r="D27" i="26"/>
  <c r="D23" i="26"/>
  <c r="D19" i="26"/>
  <c r="D15" i="26"/>
  <c r="D11" i="26"/>
  <c r="D7" i="26"/>
  <c r="B52" i="26"/>
  <c r="B48" i="26"/>
  <c r="B44" i="26"/>
  <c r="B40" i="26"/>
  <c r="B36" i="26"/>
  <c r="B32" i="26"/>
  <c r="B28" i="26"/>
  <c r="B24" i="26"/>
  <c r="B20" i="26"/>
  <c r="B16" i="26"/>
  <c r="B12" i="26"/>
  <c r="B4" i="26"/>
  <c r="B10" i="26"/>
  <c r="D46" i="26"/>
  <c r="D36" i="26"/>
  <c r="D28" i="26"/>
  <c r="D20" i="26"/>
  <c r="D12" i="26"/>
  <c r="D4" i="26"/>
  <c r="B45" i="26"/>
  <c r="B37" i="26"/>
  <c r="B29" i="26"/>
  <c r="B21" i="26"/>
  <c r="B13" i="26"/>
  <c r="B7" i="26"/>
  <c r="D10" i="26"/>
  <c r="B43" i="26"/>
  <c r="B27" i="26"/>
  <c r="B11" i="26"/>
  <c r="D22" i="26"/>
  <c r="B39" i="26"/>
  <c r="B15" i="26"/>
  <c r="D42" i="26"/>
  <c r="D34" i="26"/>
  <c r="D26" i="26"/>
  <c r="D18" i="26"/>
  <c r="B51" i="26"/>
  <c r="B35" i="26"/>
  <c r="B19" i="26"/>
  <c r="D6" i="26"/>
  <c r="B23" i="26"/>
  <c r="D50" i="26"/>
  <c r="D40" i="26"/>
  <c r="D32" i="26"/>
  <c r="D24" i="26"/>
  <c r="D16" i="26"/>
  <c r="D8" i="26"/>
  <c r="B49" i="26"/>
  <c r="B41" i="26"/>
  <c r="B33" i="26"/>
  <c r="B25" i="26"/>
  <c r="B17" i="26"/>
  <c r="B8" i="26"/>
  <c r="D48" i="26"/>
  <c r="D38" i="26"/>
  <c r="D30" i="26"/>
  <c r="D14" i="26"/>
  <c r="B47" i="26"/>
  <c r="B31" i="26"/>
  <c r="B5" i="26"/>
  <c r="CA54" i="7"/>
  <c r="CA56" i="7" s="1"/>
  <c r="BX59" i="7"/>
  <c r="BX60" i="7" s="1"/>
  <c r="J47" i="26" l="1"/>
  <c r="I47" i="26"/>
  <c r="J33" i="26"/>
  <c r="I33" i="26"/>
  <c r="J16" i="26"/>
  <c r="I16" i="26"/>
  <c r="J48" i="26"/>
  <c r="I48" i="26"/>
  <c r="J6" i="26"/>
  <c r="I6" i="26"/>
  <c r="J38" i="26"/>
  <c r="I38" i="26"/>
  <c r="J9" i="26"/>
  <c r="I9" i="26"/>
  <c r="J49" i="26"/>
  <c r="I49" i="26"/>
  <c r="J15" i="26"/>
  <c r="I15" i="26"/>
  <c r="J13" i="26"/>
  <c r="I13" i="26"/>
  <c r="J24" i="26"/>
  <c r="I24" i="26"/>
  <c r="J14" i="26"/>
  <c r="I14" i="26"/>
  <c r="J46" i="26"/>
  <c r="I46" i="26"/>
  <c r="J42" i="26"/>
  <c r="I42" i="26"/>
  <c r="J19" i="26"/>
  <c r="I19" i="26"/>
  <c r="J39" i="26"/>
  <c r="I39" i="26"/>
  <c r="J21" i="26"/>
  <c r="I21" i="26"/>
  <c r="J28" i="26"/>
  <c r="I28" i="26"/>
  <c r="J18" i="26"/>
  <c r="I18" i="26"/>
  <c r="J50" i="26"/>
  <c r="I50" i="26"/>
  <c r="J41" i="26"/>
  <c r="I41" i="26"/>
  <c r="J52" i="26"/>
  <c r="I52" i="26"/>
  <c r="J35" i="26"/>
  <c r="I35" i="26"/>
  <c r="J29" i="26"/>
  <c r="I29" i="26"/>
  <c r="J32" i="26"/>
  <c r="I32" i="26"/>
  <c r="J22" i="26"/>
  <c r="I22" i="26"/>
  <c r="J23" i="26"/>
  <c r="I23" i="26"/>
  <c r="J8" i="26"/>
  <c r="I8" i="26"/>
  <c r="J51" i="26"/>
  <c r="I51" i="26"/>
  <c r="J11" i="26"/>
  <c r="I11" i="26"/>
  <c r="J37" i="26"/>
  <c r="I37" i="26"/>
  <c r="J10" i="26"/>
  <c r="I10" i="26"/>
  <c r="J36" i="26"/>
  <c r="I36" i="26"/>
  <c r="J26" i="26"/>
  <c r="I26" i="26"/>
  <c r="I7" i="26"/>
  <c r="J7" i="26"/>
  <c r="J17" i="26"/>
  <c r="I17" i="26"/>
  <c r="J27" i="26"/>
  <c r="I27" i="26"/>
  <c r="J45" i="26"/>
  <c r="I45" i="26"/>
  <c r="J4" i="26"/>
  <c r="I4" i="26"/>
  <c r="J40" i="26"/>
  <c r="I40" i="26"/>
  <c r="J30" i="26"/>
  <c r="I30" i="26"/>
  <c r="J20" i="26"/>
  <c r="I20" i="26"/>
  <c r="I5" i="26"/>
  <c r="J5" i="26"/>
  <c r="J31" i="26"/>
  <c r="I31" i="26"/>
  <c r="J25" i="26"/>
  <c r="I25" i="26"/>
  <c r="J43" i="26"/>
  <c r="I43" i="26"/>
  <c r="J12" i="26"/>
  <c r="I12" i="26"/>
  <c r="J44" i="26"/>
  <c r="I44" i="26"/>
  <c r="J34" i="26"/>
  <c r="I34" i="26"/>
  <c r="G14" i="26"/>
  <c r="H14" i="26" s="1"/>
  <c r="L14" i="26"/>
  <c r="E14" i="26"/>
  <c r="G20" i="26"/>
  <c r="H20" i="26" s="1"/>
  <c r="L20" i="26"/>
  <c r="E20" i="26"/>
  <c r="G35" i="26"/>
  <c r="H35" i="26" s="1"/>
  <c r="L35" i="26"/>
  <c r="E35" i="26"/>
  <c r="G25" i="26"/>
  <c r="H25" i="26" s="1"/>
  <c r="L25" i="26"/>
  <c r="E25" i="26"/>
  <c r="G48" i="26"/>
  <c r="H48" i="26" s="1"/>
  <c r="L48" i="26"/>
  <c r="E48" i="26"/>
  <c r="G16" i="26"/>
  <c r="H16" i="26" s="1"/>
  <c r="L16" i="26"/>
  <c r="E16" i="26"/>
  <c r="G50" i="26"/>
  <c r="H50" i="26" s="1"/>
  <c r="L50" i="26"/>
  <c r="E50" i="26"/>
  <c r="G34" i="26"/>
  <c r="H34" i="26" s="1"/>
  <c r="L34" i="26"/>
  <c r="E34" i="26"/>
  <c r="G22" i="26"/>
  <c r="H22" i="26" s="1"/>
  <c r="L22" i="26"/>
  <c r="E22" i="26"/>
  <c r="G10" i="26"/>
  <c r="H10" i="26" s="1"/>
  <c r="L10" i="26"/>
  <c r="E10" i="26"/>
  <c r="G12" i="26"/>
  <c r="H12" i="26" s="1"/>
  <c r="L12" i="26"/>
  <c r="E12" i="26"/>
  <c r="G46" i="26"/>
  <c r="H46" i="26" s="1"/>
  <c r="L46" i="26"/>
  <c r="E46" i="26"/>
  <c r="G15" i="26"/>
  <c r="H15" i="26" s="1"/>
  <c r="L15" i="26"/>
  <c r="E15" i="26"/>
  <c r="G31" i="26"/>
  <c r="H31" i="26" s="1"/>
  <c r="L31" i="26"/>
  <c r="E31" i="26"/>
  <c r="G47" i="26"/>
  <c r="H47" i="26" s="1"/>
  <c r="L47" i="26"/>
  <c r="E47" i="26"/>
  <c r="G5" i="26"/>
  <c r="H5" i="26" s="1"/>
  <c r="L5" i="26"/>
  <c r="E5" i="26"/>
  <c r="G21" i="26"/>
  <c r="H21" i="26" s="1"/>
  <c r="L21" i="26"/>
  <c r="E21" i="26"/>
  <c r="G37" i="26"/>
  <c r="H37" i="26" s="1"/>
  <c r="L37" i="26"/>
  <c r="E37" i="26"/>
  <c r="G24" i="26"/>
  <c r="H24" i="26" s="1"/>
  <c r="L24" i="26"/>
  <c r="E24" i="26"/>
  <c r="G42" i="26"/>
  <c r="H42" i="26" s="1"/>
  <c r="L42" i="26"/>
  <c r="E42" i="26"/>
  <c r="G19" i="26"/>
  <c r="H19" i="26" s="1"/>
  <c r="L19" i="26"/>
  <c r="E19" i="26"/>
  <c r="G41" i="26"/>
  <c r="H41" i="26" s="1"/>
  <c r="L41" i="26"/>
  <c r="E41" i="26"/>
  <c r="G30" i="26"/>
  <c r="H30" i="26" s="1"/>
  <c r="L30" i="26"/>
  <c r="E30" i="26"/>
  <c r="G32" i="26"/>
  <c r="H32" i="26" s="1"/>
  <c r="L32" i="26"/>
  <c r="E32" i="26"/>
  <c r="G6" i="26"/>
  <c r="H6" i="26" s="1"/>
  <c r="L6" i="26"/>
  <c r="E6" i="26"/>
  <c r="G18" i="26"/>
  <c r="H18" i="26" s="1"/>
  <c r="L18" i="26"/>
  <c r="E18" i="26"/>
  <c r="G28" i="26"/>
  <c r="H28" i="26" s="1"/>
  <c r="L28" i="26"/>
  <c r="E28" i="26"/>
  <c r="G7" i="26"/>
  <c r="H7" i="26" s="1"/>
  <c r="L7" i="26"/>
  <c r="E7" i="26"/>
  <c r="G23" i="26"/>
  <c r="H23" i="26" s="1"/>
  <c r="L23" i="26"/>
  <c r="E23" i="26"/>
  <c r="G39" i="26"/>
  <c r="H39" i="26" s="1"/>
  <c r="L39" i="26"/>
  <c r="E39" i="26"/>
  <c r="G44" i="26"/>
  <c r="H44" i="26" s="1"/>
  <c r="L44" i="26"/>
  <c r="E44" i="26"/>
  <c r="G13" i="26"/>
  <c r="H13" i="26" s="1"/>
  <c r="L13" i="26"/>
  <c r="E13" i="26"/>
  <c r="G29" i="26"/>
  <c r="H29" i="26" s="1"/>
  <c r="L29" i="26"/>
  <c r="E29" i="26"/>
  <c r="G45" i="26"/>
  <c r="H45" i="26" s="1"/>
  <c r="L45" i="26"/>
  <c r="E45" i="26"/>
  <c r="G51" i="26"/>
  <c r="H51" i="26" s="1"/>
  <c r="L51" i="26"/>
  <c r="E51" i="26"/>
  <c r="G9" i="26"/>
  <c r="H9" i="26" s="1"/>
  <c r="L9" i="26"/>
  <c r="E9" i="26"/>
  <c r="G38" i="26"/>
  <c r="H38" i="26" s="1"/>
  <c r="L38" i="26"/>
  <c r="E38" i="26"/>
  <c r="G8" i="26"/>
  <c r="H8" i="26" s="1"/>
  <c r="L8" i="26"/>
  <c r="E8" i="26"/>
  <c r="G40" i="26"/>
  <c r="H40" i="26" s="1"/>
  <c r="L40" i="26"/>
  <c r="E40" i="26"/>
  <c r="G26" i="26"/>
  <c r="H26" i="26" s="1"/>
  <c r="L26" i="26"/>
  <c r="E26" i="26"/>
  <c r="L4" i="26"/>
  <c r="E4" i="26"/>
  <c r="G36" i="26"/>
  <c r="H36" i="26" s="1"/>
  <c r="L36" i="26"/>
  <c r="E36" i="26"/>
  <c r="G11" i="26"/>
  <c r="H11" i="26" s="1"/>
  <c r="L11" i="26"/>
  <c r="E11" i="26"/>
  <c r="G27" i="26"/>
  <c r="H27" i="26" s="1"/>
  <c r="L27" i="26"/>
  <c r="E27" i="26"/>
  <c r="G43" i="26"/>
  <c r="H43" i="26" s="1"/>
  <c r="L43" i="26"/>
  <c r="E43" i="26"/>
  <c r="G52" i="26"/>
  <c r="H52" i="26" s="1"/>
  <c r="L52" i="26"/>
  <c r="E52" i="26"/>
  <c r="G17" i="26"/>
  <c r="H17" i="26" s="1"/>
  <c r="L17" i="26"/>
  <c r="E17" i="26"/>
  <c r="G33" i="26"/>
  <c r="H33" i="26" s="1"/>
  <c r="L33" i="26"/>
  <c r="E33" i="26"/>
  <c r="G49" i="26"/>
  <c r="H49" i="26" s="1"/>
  <c r="L49" i="26"/>
  <c r="E49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Stringfellow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Michael Stringfellow:</t>
        </r>
        <r>
          <rPr>
            <sz val="9"/>
            <color indexed="81"/>
            <rFont val="Tahoma"/>
            <family val="2"/>
          </rPr>
          <t xml:space="preserve">
This column is used in the Rank Justified by HTH Result section.
***Do NOT Delete***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STRINGFELLOW</author>
  </authors>
  <commentList>
    <comment ref="B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MICHAEL STRINGFELLOW:</t>
        </r>
        <r>
          <rPr>
            <sz val="9"/>
            <color indexed="81"/>
            <rFont val="Tahoma"/>
            <family val="2"/>
          </rPr>
          <t xml:space="preserve">
This column is used in the "North Report" tab  in the VLOOKUP formula that pulls in the team records from this tab.</t>
        </r>
      </text>
    </comment>
  </commentList>
</comments>
</file>

<file path=xl/sharedStrings.xml><?xml version="1.0" encoding="utf-8"?>
<sst xmlns="http://schemas.openxmlformats.org/spreadsheetml/2006/main" count="2484" uniqueCount="798">
  <si>
    <t>Lakemont</t>
  </si>
  <si>
    <t>Oak Park</t>
  </si>
  <si>
    <t>Wellsley</t>
  </si>
  <si>
    <t>Park at West Lake</t>
  </si>
  <si>
    <t>Seven Oaks</t>
  </si>
  <si>
    <t>Lake Park</t>
  </si>
  <si>
    <t>Greystone</t>
  </si>
  <si>
    <t>Springdale</t>
  </si>
  <si>
    <t>University Club</t>
  </si>
  <si>
    <t>Wood Valley</t>
  </si>
  <si>
    <t>Prestonwood</t>
  </si>
  <si>
    <t>Lochmere</t>
  </si>
  <si>
    <t>Scottish Hills</t>
  </si>
  <si>
    <t>Scotts Mill</t>
  </si>
  <si>
    <t>Silverton</t>
  </si>
  <si>
    <t>Cary Park</t>
  </si>
  <si>
    <t>Dutchman Downs</t>
  </si>
  <si>
    <t>Cary</t>
  </si>
  <si>
    <t>Sunset Ridge</t>
  </si>
  <si>
    <t>Walden Creek</t>
  </si>
  <si>
    <t>Olive Chapel</t>
  </si>
  <si>
    <t>Apex</t>
  </si>
  <si>
    <t>Devereaux</t>
  </si>
  <si>
    <t>Park Village</t>
  </si>
  <si>
    <t>The Reserve</t>
  </si>
  <si>
    <t>Medfield</t>
  </si>
  <si>
    <t>Weatherstone</t>
  </si>
  <si>
    <t>Highcroft</t>
  </si>
  <si>
    <t>Glenridge</t>
  </si>
  <si>
    <t>Oxxford Hunt</t>
  </si>
  <si>
    <t>Brookstone</t>
  </si>
  <si>
    <t>Eagle Ridge</t>
  </si>
  <si>
    <t>Crooked Creek</t>
  </si>
  <si>
    <t>Garner</t>
  </si>
  <si>
    <t>Charleston Village</t>
  </si>
  <si>
    <t>Weldon Ridge</t>
  </si>
  <si>
    <t>Haddon Hall</t>
  </si>
  <si>
    <t>Carpenter Village</t>
  </si>
  <si>
    <t>Bentwinds</t>
  </si>
  <si>
    <t>TAC</t>
  </si>
  <si>
    <t>Wellington Park</t>
  </si>
  <si>
    <t>Division</t>
  </si>
  <si>
    <t>N1</t>
  </si>
  <si>
    <t>Rank</t>
  </si>
  <si>
    <t>W</t>
  </si>
  <si>
    <t>L</t>
  </si>
  <si>
    <t>T</t>
  </si>
  <si>
    <t>NC</t>
  </si>
  <si>
    <t>Northbrook</t>
  </si>
  <si>
    <t>Harrington Grove</t>
  </si>
  <si>
    <t>Quail Hollow</t>
  </si>
  <si>
    <t>Summerfield North</t>
  </si>
  <si>
    <t>Heritage of Wake Forest</t>
  </si>
  <si>
    <t>Stonebridge</t>
  </si>
  <si>
    <t>North Hills</t>
  </si>
  <si>
    <t>Bedford at Falls River</t>
  </si>
  <si>
    <t>North Raleigh</t>
  </si>
  <si>
    <t>Manchester</t>
  </si>
  <si>
    <t>Durant Trails</t>
  </si>
  <si>
    <t>Hedingham</t>
  </si>
  <si>
    <t>Southall</t>
  </si>
  <si>
    <t>Black Horse Run</t>
  </si>
  <si>
    <t>Meredith Townes</t>
  </si>
  <si>
    <t>Granite Falls</t>
  </si>
  <si>
    <t>Hawthorne</t>
  </si>
  <si>
    <t>Hasentree</t>
  </si>
  <si>
    <t>Wendell</t>
  </si>
  <si>
    <t>Crabtree</t>
  </si>
  <si>
    <t>S1</t>
  </si>
  <si>
    <t>Div</t>
  </si>
  <si>
    <t>Coachman's Trail</t>
  </si>
  <si>
    <t>Kildaire Farms</t>
  </si>
  <si>
    <t>TCC</t>
  </si>
  <si>
    <t>Clubworx</t>
  </si>
  <si>
    <t>Record</t>
  </si>
  <si>
    <t>Overall</t>
  </si>
  <si>
    <t>Proposed</t>
  </si>
  <si>
    <t>Change</t>
  </si>
  <si>
    <t>Abbington</t>
  </si>
  <si>
    <t>N O R T H      L E A G U E</t>
  </si>
  <si>
    <t>S O U T H      L E A G U E</t>
  </si>
  <si>
    <t>Preston Village</t>
  </si>
  <si>
    <t>Amberly</t>
  </si>
  <si>
    <t>Kitts Creek</t>
  </si>
  <si>
    <t>Greenway Club</t>
  </si>
  <si>
    <t>Jewish Community Center</t>
  </si>
  <si>
    <t>Banbury Woods &amp; Hunters Landing</t>
  </si>
  <si>
    <t>Club Name</t>
  </si>
  <si>
    <t>League</t>
  </si>
  <si>
    <t>Website Entry:</t>
  </si>
  <si>
    <t>Add League</t>
  </si>
  <si>
    <t>Rearrange columns to match web site.</t>
  </si>
  <si>
    <t>Sort by Club Name</t>
  </si>
  <si>
    <t>Enter 0 for Size</t>
  </si>
  <si>
    <t/>
  </si>
  <si>
    <t>Brighton Forest</t>
  </si>
  <si>
    <t>Shepherds Vineyard</t>
  </si>
  <si>
    <t>Regency</t>
  </si>
  <si>
    <t>Bella Casa</t>
  </si>
  <si>
    <t>Twelve Oaks</t>
  </si>
  <si>
    <t>Renaissance Park</t>
  </si>
  <si>
    <t>C/P from the New Year Sort tabs into the "Entry" tab.</t>
  </si>
  <si>
    <t>South</t>
  </si>
  <si>
    <t>North</t>
  </si>
  <si>
    <t>Life Time Fitness Cary</t>
  </si>
  <si>
    <t>WoodCreek</t>
  </si>
  <si>
    <t>Planter's Walk</t>
  </si>
  <si>
    <t>HTH</t>
  </si>
  <si>
    <t>Yes</t>
  </si>
  <si>
    <t>No</t>
  </si>
  <si>
    <t>Poss</t>
  </si>
  <si>
    <t>Percent</t>
  </si>
  <si>
    <t>RECORDS</t>
  </si>
  <si>
    <t>Harmony</t>
  </si>
  <si>
    <t>Mandatory</t>
  </si>
  <si>
    <t>Size</t>
  </si>
  <si>
    <t>You can "Submit" partial info and come back to finish later. (As long as each team record is complete.)</t>
  </si>
  <si>
    <t>NOT Adjusted for Forfeits</t>
  </si>
  <si>
    <t>Zebulon</t>
  </si>
  <si>
    <t>Up 3</t>
  </si>
  <si>
    <t>Up 2</t>
  </si>
  <si>
    <t>Up 1</t>
  </si>
  <si>
    <t>NOT Adjusted for Forfeits or ties</t>
  </si>
  <si>
    <t>COPD</t>
  </si>
  <si>
    <t>MS</t>
  </si>
  <si>
    <t>Comm</t>
  </si>
  <si>
    <t>Diff</t>
  </si>
  <si>
    <t>NOT UPDATED</t>
  </si>
  <si>
    <t>Life Time Athletic Raleigh</t>
  </si>
  <si>
    <t>Brier Creek Country Club</t>
  </si>
  <si>
    <t>Raleigh Racquet Club</t>
  </si>
  <si>
    <t>Rank Justified by HTH result</t>
  </si>
  <si>
    <t>Dn 1</t>
  </si>
  <si>
    <t>Dn 2</t>
  </si>
  <si>
    <t>Dn 3</t>
  </si>
  <si>
    <t>Updated</t>
  </si>
  <si>
    <t>Similar in strength to Glenridge</t>
  </si>
  <si>
    <t>Should be below Brookstone</t>
  </si>
  <si>
    <t>No Common opp with Garner</t>
  </si>
  <si>
    <t>Should be below Highcroft - COPD</t>
  </si>
  <si>
    <t>No Common opp with TCC or Park Village (So stay below)</t>
  </si>
  <si>
    <t>Clubworx has stronger COPD than Amberly</t>
  </si>
  <si>
    <t xml:space="preserve"> Stronger COPD than Lifetime</t>
  </si>
  <si>
    <t>**Any New Teams to be added here…</t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</si>
  <si>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</si>
  <si>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6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</si>
  <si>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</si>
  <si>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</si>
  <si>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</si>
  <si>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</si>
  <si>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</si>
  <si>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</si>
  <si>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</si>
  <si>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</si>
  <si>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</si>
  <si>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</si>
  <si>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</si>
  <si>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6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</si>
  <si>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</si>
  <si>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</si>
  <si>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</si>
  <si>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Riverwood</t>
  </si>
  <si>
    <t>BYE</t>
  </si>
  <si>
    <t>South Issue:</t>
  </si>
  <si>
    <t>H Hall must be above The Reserve</t>
  </si>
  <si>
    <t>H Hall should be above DD even though they lost by 18 due to COPD: +203</t>
  </si>
  <si>
    <t>Wellsley should stay above the H Hall based on 54 pt win</t>
  </si>
  <si>
    <t xml:space="preserve">Dutchman </t>
  </si>
  <si>
    <t>Reserve</t>
  </si>
  <si>
    <t>Wellsley should be above DD despite 6pt loss based on COPD of +262</t>
  </si>
  <si>
    <t xml:space="preserve"> UPDATED</t>
  </si>
  <si>
    <t>Holly Glen</t>
  </si>
  <si>
    <t>NA</t>
  </si>
  <si>
    <t>MacGregor Downs</t>
  </si>
  <si>
    <t>Meet Dates</t>
  </si>
  <si>
    <t>Winner</t>
  </si>
  <si>
    <t>Wscore</t>
  </si>
  <si>
    <t>Loser</t>
  </si>
  <si>
    <t>Lscore</t>
  </si>
  <si>
    <t>Status</t>
  </si>
  <si>
    <t>Concat1</t>
  </si>
  <si>
    <t>Concat2</t>
  </si>
  <si>
    <t>ScoreDiff</t>
  </si>
  <si>
    <t>2019-06-11</t>
  </si>
  <si>
    <t xml:space="preserve"> Abbington</t>
  </si>
  <si>
    <t>Completed Full Meet</t>
  </si>
  <si>
    <t>Olive Chapel Abbington</t>
  </si>
  <si>
    <t>Abbington Olive Chapel</t>
  </si>
  <si>
    <t xml:space="preserve"> Apex</t>
  </si>
  <si>
    <t>Seven Oaks Apex</t>
  </si>
  <si>
    <t>Apex Seven Oaks</t>
  </si>
  <si>
    <t xml:space="preserve"> Bedford Falls River</t>
  </si>
  <si>
    <t>North Hills Bedford at Falls River</t>
  </si>
  <si>
    <t>Bedford at Falls River North Hills</t>
  </si>
  <si>
    <t xml:space="preserve"> Northbrook</t>
  </si>
  <si>
    <t>Completed Shortened Meet</t>
  </si>
  <si>
    <t>Brier Creek Country Club Northbrook</t>
  </si>
  <si>
    <t>Northbrook Brier Creek Country Club</t>
  </si>
  <si>
    <t xml:space="preserve"> Harmony</t>
  </si>
  <si>
    <t>Brighton Forest Harmony</t>
  </si>
  <si>
    <t>Harmony Brighton Forest</t>
  </si>
  <si>
    <t xml:space="preserve"> Cary</t>
  </si>
  <si>
    <t>Weatherstone Cary</t>
  </si>
  <si>
    <t>Cary Weatherstone</t>
  </si>
  <si>
    <t xml:space="preserve"> Medfield</t>
  </si>
  <si>
    <t>Cary Park Medfield</t>
  </si>
  <si>
    <t>Medfield Cary Park</t>
  </si>
  <si>
    <t xml:space="preserve"> Highcroft</t>
  </si>
  <si>
    <t>Clubworx Highcroft</t>
  </si>
  <si>
    <t>Highcroft Clubworx</t>
  </si>
  <si>
    <t xml:space="preserve"> Banbury Woods &amp; Hunters Landing</t>
  </si>
  <si>
    <t>Crabtree Banbury Woods &amp; Hunters Landing</t>
  </si>
  <si>
    <t>Banbury Woods &amp; Hunters Landing Crabtree</t>
  </si>
  <si>
    <t xml:space="preserve"> Crooked Creek</t>
  </si>
  <si>
    <t>Charleston Village Crooked Creek</t>
  </si>
  <si>
    <t>Crooked Creek Charleston Village</t>
  </si>
  <si>
    <t xml:space="preserve"> Bentwinds</t>
  </si>
  <si>
    <t>Devereaux Bentwinds</t>
  </si>
  <si>
    <t>Bentwinds Devereaux</t>
  </si>
  <si>
    <t xml:space="preserve"> Durant Trails</t>
  </si>
  <si>
    <t>Hasentree Durant Trails</t>
  </si>
  <si>
    <t>Durant Trails Hasentree</t>
  </si>
  <si>
    <t xml:space="preserve"> Dutchman Downs</t>
  </si>
  <si>
    <t>Wellsley Dutchman Downs</t>
  </si>
  <si>
    <t>Dutchman Downs Wellsley</t>
  </si>
  <si>
    <t xml:space="preserve"> Garner</t>
  </si>
  <si>
    <t>WoodCreek Garner</t>
  </si>
  <si>
    <t>Garner WoodCreek</t>
  </si>
  <si>
    <t xml:space="preserve"> Glenridge</t>
  </si>
  <si>
    <t>Twelve Oaks Glenridge</t>
  </si>
  <si>
    <t>Glenridge Twelve Oaks</t>
  </si>
  <si>
    <t xml:space="preserve"> Greenway Club</t>
  </si>
  <si>
    <t>Granite Falls Greenway Club</t>
  </si>
  <si>
    <t>Greenway Club Granite Falls</t>
  </si>
  <si>
    <t xml:space="preserve"> Greystone</t>
  </si>
  <si>
    <t>Meredith Townes Greystone</t>
  </si>
  <si>
    <t>Greystone Meredith Townes</t>
  </si>
  <si>
    <t xml:space="preserve"> Lakemont</t>
  </si>
  <si>
    <t>Hawthorne Lakemont</t>
  </si>
  <si>
    <t>Lakemont Hawthorne</t>
  </si>
  <si>
    <t xml:space="preserve"> Hedingham</t>
  </si>
  <si>
    <t>Black Horse Run Hedingham</t>
  </si>
  <si>
    <t>Hedingham Black Horse Run</t>
  </si>
  <si>
    <t xml:space="preserve"> Heritage of Wake Forest</t>
  </si>
  <si>
    <t>Riverwood Heritage of Wake Forest</t>
  </si>
  <si>
    <t>Heritage of Wake Forest Riverwood</t>
  </si>
  <si>
    <t xml:space="preserve"> Kildaire Farms</t>
  </si>
  <si>
    <t>Carpenter Village Kildaire Farms</t>
  </si>
  <si>
    <t>Kildaire Farms Carpenter Village</t>
  </si>
  <si>
    <t xml:space="preserve"> Holly Glen</t>
  </si>
  <si>
    <t>Kitts Creek Holly Glen</t>
  </si>
  <si>
    <t>Holly Glen Kitts Creek</t>
  </si>
  <si>
    <t xml:space="preserve"> Lake Park</t>
  </si>
  <si>
    <t>Manchester Lake Park</t>
  </si>
  <si>
    <t>Lake Park Manchester</t>
  </si>
  <si>
    <t xml:space="preserve"> Zebulon</t>
  </si>
  <si>
    <t>Life Time Athletic Raleigh Zebulon</t>
  </si>
  <si>
    <t>Zebulon Life Time Athletic Raleigh</t>
  </si>
  <si>
    <t xml:space="preserve"> Oxxford Hunt</t>
  </si>
  <si>
    <t>Life Time Fitness Cary Oxxford Hunt</t>
  </si>
  <si>
    <t>Oxxford Hunt Life Time Fitness Cary</t>
  </si>
  <si>
    <t xml:space="preserve"> Lochmere</t>
  </si>
  <si>
    <t>Scottish Hills Lochmere</t>
  </si>
  <si>
    <t>Lochmere Scottish Hills</t>
  </si>
  <si>
    <t xml:space="preserve"> Stonebridge</t>
  </si>
  <si>
    <t>North Raleigh Stonebridge</t>
  </si>
  <si>
    <t>Stonebridge North Raleigh</t>
  </si>
  <si>
    <t xml:space="preserve"> Oak Park</t>
  </si>
  <si>
    <t>Jewish Community Center Oak Park</t>
  </si>
  <si>
    <t>Oak Park Jewish Community Center</t>
  </si>
  <si>
    <t xml:space="preserve"> Park West Lake</t>
  </si>
  <si>
    <t>Amberly Park at West Lake</t>
  </si>
  <si>
    <t>Park at West Lake Amberly</t>
  </si>
  <si>
    <t xml:space="preserve"> Park Village</t>
  </si>
  <si>
    <t>Brookstone Park Village</t>
  </si>
  <si>
    <t>Park Village Brookstone</t>
  </si>
  <si>
    <t xml:space="preserve"> Planter's Walk</t>
  </si>
  <si>
    <t>Wendell Planter's Walk</t>
  </si>
  <si>
    <t>Planter's Walk Wendell</t>
  </si>
  <si>
    <t xml:space="preserve"> Harrington Grove</t>
  </si>
  <si>
    <t>Quail Hollow Harrington Grove</t>
  </si>
  <si>
    <t>Harrington Grove Quail Hollow</t>
  </si>
  <si>
    <t xml:space="preserve"> Regency</t>
  </si>
  <si>
    <t>Silverton Regency</t>
  </si>
  <si>
    <t>Regency Silverton</t>
  </si>
  <si>
    <t xml:space="preserve"> Scotts Mill</t>
  </si>
  <si>
    <t>Walden Creek Scotts Mill</t>
  </si>
  <si>
    <t>Scotts Mill Walden Creek</t>
  </si>
  <si>
    <t xml:space="preserve"> Shepherds Vineyard</t>
  </si>
  <si>
    <t>University Club Shepherds Vineyard</t>
  </si>
  <si>
    <t>Shepherds Vineyard University Club</t>
  </si>
  <si>
    <t xml:space="preserve"> Raleigh Racquet Club</t>
  </si>
  <si>
    <t>Southall Raleigh Racquet Club</t>
  </si>
  <si>
    <t>Raleigh Racquet Club Southall</t>
  </si>
  <si>
    <t xml:space="preserve"> Summerfield North</t>
  </si>
  <si>
    <t>Coachman's Trail Summerfield North</t>
  </si>
  <si>
    <t>Summerfield North Coachman's Trail</t>
  </si>
  <si>
    <t xml:space="preserve"> Prestonwood</t>
  </si>
  <si>
    <t>Sunset Ridge Prestonwood</t>
  </si>
  <si>
    <t>Prestonwood Sunset Ridge</t>
  </si>
  <si>
    <t xml:space="preserve"> TCC</t>
  </si>
  <si>
    <t>Preston Village TCC</t>
  </si>
  <si>
    <t>TCC Preston Village</t>
  </si>
  <si>
    <t xml:space="preserve"> The Reserve</t>
  </si>
  <si>
    <t>Haddon Hall The Reserve</t>
  </si>
  <si>
    <t>The Reserve Haddon Hall</t>
  </si>
  <si>
    <t xml:space="preserve"> Bella Casa</t>
  </si>
  <si>
    <t>Weldon Ridge Bella Casa</t>
  </si>
  <si>
    <t>Bella Casa Weldon Ridge</t>
  </si>
  <si>
    <t xml:space="preserve"> Renaissance Park</t>
  </si>
  <si>
    <t>Wellington Park Renaissance Park</t>
  </si>
  <si>
    <t>Renaissance Park Wellington Park</t>
  </si>
  <si>
    <t xml:space="preserve"> Springdale</t>
  </si>
  <si>
    <t>Wood Valley Springdale</t>
  </si>
  <si>
    <t>Springdale Wood Valley</t>
  </si>
  <si>
    <t>2019-06-18</t>
  </si>
  <si>
    <t>Amberly TCC</t>
  </si>
  <si>
    <t>TCC Amberly</t>
  </si>
  <si>
    <t>Bella Casa Garner</t>
  </si>
  <si>
    <t>Garner Bella Casa</t>
  </si>
  <si>
    <t xml:space="preserve"> Brighton Forest</t>
  </si>
  <si>
    <t>Bentwinds Brighton Forest</t>
  </si>
  <si>
    <t>Brighton Forest Bentwinds</t>
  </si>
  <si>
    <t>Black Horse Run Heritage of Wake Forest</t>
  </si>
  <si>
    <t>Heritage of Wake Forest Black Horse Run</t>
  </si>
  <si>
    <t xml:space="preserve"> Clubworx</t>
  </si>
  <si>
    <t>Brookstone Clubworx</t>
  </si>
  <si>
    <t>Clubworx Brookstone</t>
  </si>
  <si>
    <t>Carpenter Village Glenridge</t>
  </si>
  <si>
    <t>Glenridge Carpenter Village</t>
  </si>
  <si>
    <t>Coachman's Trail Durant Trails</t>
  </si>
  <si>
    <t>Durant Trails Coachman's Trail</t>
  </si>
  <si>
    <t>Granite Falls Greystone</t>
  </si>
  <si>
    <t>Greystone Granite Falls</t>
  </si>
  <si>
    <t>Haddon Hall Dutchman Downs</t>
  </si>
  <si>
    <t>Dutchman Downs Haddon Hall</t>
  </si>
  <si>
    <t>Devereaux Harmony</t>
  </si>
  <si>
    <t>Harmony Devereaux</t>
  </si>
  <si>
    <t>Hawthorne Banbury Woods &amp; Hunters Landing</t>
  </si>
  <si>
    <t>Banbury Woods &amp; Hunters Landing Hawthorne</t>
  </si>
  <si>
    <t>Riverwood Hedingham</t>
  </si>
  <si>
    <t>Hedingham Riverwood</t>
  </si>
  <si>
    <t>Highcroft Park Village</t>
  </si>
  <si>
    <t>Park Village Highcroft</t>
  </si>
  <si>
    <t>Eagle Ridge Holly Glen</t>
  </si>
  <si>
    <t>Holly Glen Eagle Ridge</t>
  </si>
  <si>
    <t>Jewish Community Center Zebulon</t>
  </si>
  <si>
    <t>Zebulon Jewish Community Center</t>
  </si>
  <si>
    <t xml:space="preserve"> Crabtree</t>
  </si>
  <si>
    <t>Lakemont Crabtree</t>
  </si>
  <si>
    <t>Crabtree Lakemont</t>
  </si>
  <si>
    <t xml:space="preserve"> North Raleigh</t>
  </si>
  <si>
    <t>Manchester North Raleigh</t>
  </si>
  <si>
    <t>North Raleigh Manchester</t>
  </si>
  <si>
    <t>Sunset Ridge Medfield</t>
  </si>
  <si>
    <t>Medfield Sunset Ridge</t>
  </si>
  <si>
    <t>Meredith Townes Greenway Club</t>
  </si>
  <si>
    <t>Greenway Club Meredith Townes</t>
  </si>
  <si>
    <t xml:space="preserve"> Brier Creek Country Club</t>
  </si>
  <si>
    <t>North Hills Brier Creek Country Club</t>
  </si>
  <si>
    <t>Brier Creek Country Club North Hills</t>
  </si>
  <si>
    <t>Northbrook Bedford at Falls River</t>
  </si>
  <si>
    <t>Bedford at Falls River Northbrook</t>
  </si>
  <si>
    <t xml:space="preserve"> Life Time Athletic Raleigh</t>
  </si>
  <si>
    <t>Oak Park Life Time Athletic Raleigh</t>
  </si>
  <si>
    <t>Life Time Athletic Raleigh Oak Park</t>
  </si>
  <si>
    <t>Olive Chapel Lochmere</t>
  </si>
  <si>
    <t>Lochmere Olive Chapel</t>
  </si>
  <si>
    <t>Southall Planter's Walk</t>
  </si>
  <si>
    <t>Planter's Walk Southall</t>
  </si>
  <si>
    <t xml:space="preserve"> Preston Village</t>
  </si>
  <si>
    <t>Park at West Lake Preston Village</t>
  </si>
  <si>
    <t>Preston Village Park at West Lake</t>
  </si>
  <si>
    <t>Cary Park Prestonwood</t>
  </si>
  <si>
    <t>Prestonwood Cary Park</t>
  </si>
  <si>
    <t>Wendell Raleigh Racquet Club</t>
  </si>
  <si>
    <t>Raleigh Racquet Club Wendell</t>
  </si>
  <si>
    <t>Oxxford Hunt Regency</t>
  </si>
  <si>
    <t>Regency Oxxford Hunt</t>
  </si>
  <si>
    <t>Crooked Creek Renaissance Park</t>
  </si>
  <si>
    <t>Renaissance Park Crooked Creek</t>
  </si>
  <si>
    <t>Scottish Hills Abbington</t>
  </si>
  <si>
    <t>Abbington Scottish Hills</t>
  </si>
  <si>
    <t>Cary Scotts Mill</t>
  </si>
  <si>
    <t>Scotts Mill Cary</t>
  </si>
  <si>
    <t>Seven Oaks Shepherds Vineyard</t>
  </si>
  <si>
    <t>Shepherds Vineyard Seven Oaks</t>
  </si>
  <si>
    <t xml:space="preserve"> Life Time Fitness Cary</t>
  </si>
  <si>
    <t>Silverton Life Time Fitness Cary</t>
  </si>
  <si>
    <t>Life Time Fitness Cary Silverton</t>
  </si>
  <si>
    <t>Quail Hollow Springdale</t>
  </si>
  <si>
    <t>Springdale Quail Hollow</t>
  </si>
  <si>
    <t>Stonebridge Lake Park</t>
  </si>
  <si>
    <t>Lake Park Stonebridge</t>
  </si>
  <si>
    <t>Twelve Oaks Kildaire Farms</t>
  </si>
  <si>
    <t>Kildaire Farms Twelve Oaks</t>
  </si>
  <si>
    <t>University Club Apex</t>
  </si>
  <si>
    <t>Apex University Club</t>
  </si>
  <si>
    <t xml:space="preserve"> Weatherstone</t>
  </si>
  <si>
    <t>Walden Creek Weatherstone</t>
  </si>
  <si>
    <t>Weatherstone Walden Creek</t>
  </si>
  <si>
    <t xml:space="preserve"> WoodCreek</t>
  </si>
  <si>
    <t>Weldon Ridge WoodCreek</t>
  </si>
  <si>
    <t>WoodCreek Weldon Ridge</t>
  </si>
  <si>
    <t xml:space="preserve"> Wellington Park</t>
  </si>
  <si>
    <t>Charleston Village Wellington Park</t>
  </si>
  <si>
    <t>Wellington Park Charleston Village</t>
  </si>
  <si>
    <t>Wellsley The Reserve</t>
  </si>
  <si>
    <t>The Reserve Wellsley</t>
  </si>
  <si>
    <t xml:space="preserve"> Wood Valley</t>
  </si>
  <si>
    <t>Harrington Grove Wood Valley</t>
  </si>
  <si>
    <t>Wood Valley Harrington Grove</t>
  </si>
  <si>
    <t>2019-06-25</t>
  </si>
  <si>
    <t>Prestonwood Abbington</t>
  </si>
  <si>
    <t>Abbington Prestonwood</t>
  </si>
  <si>
    <t xml:space="preserve"> Sunset Ridge</t>
  </si>
  <si>
    <t>Apex Sunset Ridge</t>
  </si>
  <si>
    <t>Sunset Ridge Apex</t>
  </si>
  <si>
    <t>Coachman's Trail Banbury Woods &amp; Hunters Landing</t>
  </si>
  <si>
    <t>Banbury Woods &amp; Hunters Landing Coachman's Trail</t>
  </si>
  <si>
    <t>Preston Village Bella Casa</t>
  </si>
  <si>
    <t>Bella Casa Preston Village</t>
  </si>
  <si>
    <t>Twelve Oaks Brighton Forest</t>
  </si>
  <si>
    <t>Brighton Forest Twelve Oaks</t>
  </si>
  <si>
    <t>Brookstone Regency</t>
  </si>
  <si>
    <t>Regency Brookstone</t>
  </si>
  <si>
    <t>Olive Chapel Cary</t>
  </si>
  <si>
    <t>Cary Olive Chapel</t>
  </si>
  <si>
    <t>Cary Park Shepherds Vineyard</t>
  </si>
  <si>
    <t>Shepherds Vineyard Cary Park</t>
  </si>
  <si>
    <t>Charleston Village Harmony</t>
  </si>
  <si>
    <t>Harmony Charleston Village</t>
  </si>
  <si>
    <t>Clubworx TCC</t>
  </si>
  <si>
    <t>TCC Clubworx</t>
  </si>
  <si>
    <t>Crabtree Oak Park</t>
  </si>
  <si>
    <t>Oak Park Crabtree</t>
  </si>
  <si>
    <t>Holly Glen Crooked Creek</t>
  </si>
  <si>
    <t>Crooked Creek Holly Glen</t>
  </si>
  <si>
    <t xml:space="preserve"> Devereaux</t>
  </si>
  <si>
    <t>Carpenter Village Devereaux</t>
  </si>
  <si>
    <t>Devereaux Carpenter Village</t>
  </si>
  <si>
    <t>Eagle Ridge Bentwinds</t>
  </si>
  <si>
    <t>Bentwinds Eagle Ridge</t>
  </si>
  <si>
    <t>Glenridge Garner</t>
  </si>
  <si>
    <t>Garner Glenridge</t>
  </si>
  <si>
    <t xml:space="preserve"> University Club</t>
  </si>
  <si>
    <t>Granite Falls University Club</t>
  </si>
  <si>
    <t>University Club Granite Falls</t>
  </si>
  <si>
    <t>North Hills Greystone</t>
  </si>
  <si>
    <t>Greystone North Hills</t>
  </si>
  <si>
    <t xml:space="preserve"> Haddon Hall</t>
  </si>
  <si>
    <t>Scotts Mill Haddon Hall</t>
  </si>
  <si>
    <t>Haddon Hall Scotts Mill</t>
  </si>
  <si>
    <t>Brier Creek Country Club Harrington Grove</t>
  </si>
  <si>
    <t>Harrington Grove Brier Creek Country Club</t>
  </si>
  <si>
    <t>Heritage of Wake Forest Durant Trails</t>
  </si>
  <si>
    <t>Durant Trails Heritage of Wake Forest</t>
  </si>
  <si>
    <t>Highcroft Life Time Fitness Cary</t>
  </si>
  <si>
    <t>Life Time Fitness Cary Highcroft</t>
  </si>
  <si>
    <t>Jewish Community Center Raleigh Racquet Club</t>
  </si>
  <si>
    <t>Raleigh Racquet Club Jewish Community Center</t>
  </si>
  <si>
    <t>Weldon Ridge Kildaire Farms</t>
  </si>
  <si>
    <t>Kildaire Farms Weldon Ridge</t>
  </si>
  <si>
    <t>Kitts Creek Wellington Park</t>
  </si>
  <si>
    <t>Wellington Park Kitts Creek</t>
  </si>
  <si>
    <t>Black Horse Run Lake Park</t>
  </si>
  <si>
    <t>Lake Park Black Horse Run</t>
  </si>
  <si>
    <t>Hasentree Lakemont</t>
  </si>
  <si>
    <t>Lakemont Hasentree</t>
  </si>
  <si>
    <t xml:space="preserve"> Southall</t>
  </si>
  <si>
    <t>Life Time Athletic Raleigh Southall</t>
  </si>
  <si>
    <t>Southall Life Time Athletic Raleigh</t>
  </si>
  <si>
    <t>Medfield Lochmere</t>
  </si>
  <si>
    <t>Lochmere Medfield</t>
  </si>
  <si>
    <t xml:space="preserve"> Manchester</t>
  </si>
  <si>
    <t>Quail Hollow Manchester</t>
  </si>
  <si>
    <t>Manchester Quail Hollow</t>
  </si>
  <si>
    <t>Greenway Club Northbrook</t>
  </si>
  <si>
    <t>Northbrook Greenway Club</t>
  </si>
  <si>
    <t>Oxxford Hunt Dutchman Downs</t>
  </si>
  <si>
    <t>Dutchman Downs Oxxford Hunt</t>
  </si>
  <si>
    <t>Park at West Lake Park Village</t>
  </si>
  <si>
    <t>Park Village Park at West Lake</t>
  </si>
  <si>
    <t>Riverwood North Raleigh</t>
  </si>
  <si>
    <t>North Raleigh Riverwood</t>
  </si>
  <si>
    <t xml:space="preserve"> Meredith Townes</t>
  </si>
  <si>
    <t>Seven Oaks Meredith Townes</t>
  </si>
  <si>
    <t>Meredith Townes Seven Oaks</t>
  </si>
  <si>
    <t>Springdale Bedford at Falls River</t>
  </si>
  <si>
    <t>Bedford at Falls River Springdale</t>
  </si>
  <si>
    <t>Stonebridge Wood Valley</t>
  </si>
  <si>
    <t>Wood Valley Stonebridge</t>
  </si>
  <si>
    <t>Hedingham Summerfield North</t>
  </si>
  <si>
    <t>Summerfield North Hedingham</t>
  </si>
  <si>
    <t>Silverton The Reserve</t>
  </si>
  <si>
    <t>The Reserve Silverton</t>
  </si>
  <si>
    <t xml:space="preserve"> Walden Creek</t>
  </si>
  <si>
    <t>Scottish Hills Walden Creek</t>
  </si>
  <si>
    <t>Walden Creek Scottish Hills</t>
  </si>
  <si>
    <t xml:space="preserve"> Wellsley</t>
  </si>
  <si>
    <t>Weatherstone Wellsley</t>
  </si>
  <si>
    <t>Wellsley Weatherstone</t>
  </si>
  <si>
    <t xml:space="preserve"> Wendell</t>
  </si>
  <si>
    <t>Hawthorne Wendell</t>
  </si>
  <si>
    <t>Wendell Hawthorne</t>
  </si>
  <si>
    <t xml:space="preserve"> Amberly</t>
  </si>
  <si>
    <t>WoodCreek Amberly</t>
  </si>
  <si>
    <t>Amberly WoodCreek</t>
  </si>
  <si>
    <t>Planter's Walk Zebulon</t>
  </si>
  <si>
    <t>Zebulon Planter's Walk</t>
  </si>
  <si>
    <t>2019-07-02</t>
  </si>
  <si>
    <t>Amberly Park Village</t>
  </si>
  <si>
    <t>Park Village Amberly</t>
  </si>
  <si>
    <t>Apex Meredith Townes</t>
  </si>
  <si>
    <t>Meredith Townes Apex</t>
  </si>
  <si>
    <t>Oak Park Banbury Woods &amp; Hunters Landing</t>
  </si>
  <si>
    <t>Banbury Woods &amp; Hunters Landing Oak Park</t>
  </si>
  <si>
    <t>Bedford at Falls River Wood Valley</t>
  </si>
  <si>
    <t>Wood Valley Bedford at Falls River</t>
  </si>
  <si>
    <t>Black Horse Run Summerfield North</t>
  </si>
  <si>
    <t>Summerfield North Black Horse Run</t>
  </si>
  <si>
    <t>Brier Creek Country Club Greenway Club</t>
  </si>
  <si>
    <t>Greenway Club Brier Creek Country Club</t>
  </si>
  <si>
    <t>Carpenter Village Bentwinds</t>
  </si>
  <si>
    <t>Bentwinds Carpenter Village</t>
  </si>
  <si>
    <t>Charleston Village Brighton Forest</t>
  </si>
  <si>
    <t>Brighton Forest Charleston Village</t>
  </si>
  <si>
    <t xml:space="preserve"> Coachman's Trail</t>
  </si>
  <si>
    <t>Hedingham Coachman's Trail</t>
  </si>
  <si>
    <t>Coachman's Trail Hedingham</t>
  </si>
  <si>
    <t>Lakemont Durant Trails</t>
  </si>
  <si>
    <t>Durant Trails Lakemont</t>
  </si>
  <si>
    <t xml:space="preserve"> Kitts Creek</t>
  </si>
  <si>
    <t>Eagle Ridge Kitts Creek</t>
  </si>
  <si>
    <t>Kitts Creek Eagle Ridge</t>
  </si>
  <si>
    <t>Harmony Renaissance Park</t>
  </si>
  <si>
    <t>Renaissance Park Harmony</t>
  </si>
  <si>
    <t>Harrington Grove Manchester</t>
  </si>
  <si>
    <t>Manchester Harrington Grove</t>
  </si>
  <si>
    <t xml:space="preserve"> Hawthorne</t>
  </si>
  <si>
    <t>Hasentree Hawthorne</t>
  </si>
  <si>
    <t>Hawthorne Hasentree</t>
  </si>
  <si>
    <t>Kildaire Farms Devereaux</t>
  </si>
  <si>
    <t>Devereaux Kildaire Farms</t>
  </si>
  <si>
    <t>Jewish Community Center Life Time Athletic Raleigh</t>
  </si>
  <si>
    <t>Life Time Athletic Raleigh Jewish Community Center</t>
  </si>
  <si>
    <t>Life Time Fitness Cary Clubworx</t>
  </si>
  <si>
    <t>Clubworx Life Time Fitness Cary</t>
  </si>
  <si>
    <t>Shepherds Vineyard Medfield</t>
  </si>
  <si>
    <t>Medfield Shepherds Vineyard</t>
  </si>
  <si>
    <t>North Hills Springdale</t>
  </si>
  <si>
    <t>Springdale North Hills</t>
  </si>
  <si>
    <t>North Raleigh Heritage of Wake Forest</t>
  </si>
  <si>
    <t>Heritage of Wake Forest North Raleigh</t>
  </si>
  <si>
    <t>Granite Falls Northbrook</t>
  </si>
  <si>
    <t>Northbrook Granite Falls</t>
  </si>
  <si>
    <t>Highcroft Oxxford Hunt</t>
  </si>
  <si>
    <t>Oxxford Hunt Highcroft</t>
  </si>
  <si>
    <t>Brookstone Park at West Lake</t>
  </si>
  <si>
    <t>Park at West Lake Brookstone</t>
  </si>
  <si>
    <t>Weldon Ridge Preston Village</t>
  </si>
  <si>
    <t>Preston Village Weldon Ridge</t>
  </si>
  <si>
    <t xml:space="preserve"> Olive Chapel</t>
  </si>
  <si>
    <t>Prestonwood Olive Chapel</t>
  </si>
  <si>
    <t>Olive Chapel Prestonwood</t>
  </si>
  <si>
    <t>Quail Hollow Lake Park</t>
  </si>
  <si>
    <t>Lake Park Quail Hollow</t>
  </si>
  <si>
    <t>Raleigh Racquet Club Planter's Walk</t>
  </si>
  <si>
    <t>Planter's Walk Raleigh Racquet Club</t>
  </si>
  <si>
    <t>Riverwood Stonebridge</t>
  </si>
  <si>
    <t>Stonebridge Riverwood</t>
  </si>
  <si>
    <t>Scottish Hills Scotts Mill</t>
  </si>
  <si>
    <t>Scotts Mill Scottish Hills</t>
  </si>
  <si>
    <t>Seven Oaks Greystone</t>
  </si>
  <si>
    <t>Greystone Seven Oaks</t>
  </si>
  <si>
    <t xml:space="preserve"> Silverton</t>
  </si>
  <si>
    <t>Haddon Hall Silverton</t>
  </si>
  <si>
    <t>Silverton Haddon Hall</t>
  </si>
  <si>
    <t>Sunset Ridge Abbington</t>
  </si>
  <si>
    <t>Abbington Sunset Ridge</t>
  </si>
  <si>
    <t>Bella Casa TCC</t>
  </si>
  <si>
    <t>TCC Bella Casa</t>
  </si>
  <si>
    <t>The Reserve Regency</t>
  </si>
  <si>
    <t>Regency The Reserve</t>
  </si>
  <si>
    <t>Twelve Oaks Garner</t>
  </si>
  <si>
    <t>Garner Twelve Oaks</t>
  </si>
  <si>
    <t xml:space="preserve"> Cary Park</t>
  </si>
  <si>
    <t>University Club Cary Park</t>
  </si>
  <si>
    <t>Cary Park University Club</t>
  </si>
  <si>
    <t>Walden Creek Lochmere</t>
  </si>
  <si>
    <t>Lochmere Walden Creek</t>
  </si>
  <si>
    <t>Weatherstone Dutchman Downs</t>
  </si>
  <si>
    <t>Dutchman Downs Weatherstone</t>
  </si>
  <si>
    <t>Crooked Creek Wellington Park</t>
  </si>
  <si>
    <t>Wellington Park Crooked Creek</t>
  </si>
  <si>
    <t>Cary Wellsley</t>
  </si>
  <si>
    <t>Wellsley Cary</t>
  </si>
  <si>
    <t>Wendell Southall</t>
  </si>
  <si>
    <t>Southall Wendell</t>
  </si>
  <si>
    <t>WoodCreek Glenridge</t>
  </si>
  <si>
    <t>Glenridge WoodCreek</t>
  </si>
  <si>
    <t>Crabtree Zebulon</t>
  </si>
  <si>
    <t>Zebulon Crabtree</t>
  </si>
  <si>
    <t>2019-07-09</t>
  </si>
  <si>
    <t>Amberly Bella Casa</t>
  </si>
  <si>
    <t>Bella Casa Amberly</t>
  </si>
  <si>
    <t>Hasentree Banbury Woods &amp; Hunters Landing</t>
  </si>
  <si>
    <t>Banbury Woods &amp; Hunters Landing Hasentree</t>
  </si>
  <si>
    <t xml:space="preserve"> Charleston Village</t>
  </si>
  <si>
    <t>Bentwinds Charleston Village</t>
  </si>
  <si>
    <t>Charleston Village Bentwinds</t>
  </si>
  <si>
    <t>Brier Creek Country Club Springdale</t>
  </si>
  <si>
    <t>Springdale Brier Creek Country Club</t>
  </si>
  <si>
    <t xml:space="preserve"> Carpenter Village</t>
  </si>
  <si>
    <t>Brighton Forest Carpenter Village</t>
  </si>
  <si>
    <t>Carpenter Village Brighton Forest</t>
  </si>
  <si>
    <t>Cary Park Apex</t>
  </si>
  <si>
    <t>Apex Cary Park</t>
  </si>
  <si>
    <t>Clubworx Park at West Lake</t>
  </si>
  <si>
    <t>Park at West Lake Clubworx</t>
  </si>
  <si>
    <t>Lakemont Coachman's Trail</t>
  </si>
  <si>
    <t>Coachman's Trail Lakemont</t>
  </si>
  <si>
    <t>Crabtree Wendell</t>
  </si>
  <si>
    <t>Wendell Crabtree</t>
  </si>
  <si>
    <t>Dutchman Downs Silverton</t>
  </si>
  <si>
    <t>Silverton Dutchman Downs</t>
  </si>
  <si>
    <t>Garner Kildaire Farms</t>
  </si>
  <si>
    <t>Kildaire Farms Garner</t>
  </si>
  <si>
    <t>Weldon Ridge Glenridge</t>
  </si>
  <si>
    <t>Glenridge Weldon Ridge</t>
  </si>
  <si>
    <t xml:space="preserve"> Seven Oaks</t>
  </si>
  <si>
    <t>Granite Falls Seven Oaks</t>
  </si>
  <si>
    <t>Seven Oaks Granite Falls</t>
  </si>
  <si>
    <t>North Hills Greenway Club</t>
  </si>
  <si>
    <t>Greenway Club North Hills</t>
  </si>
  <si>
    <t>Greystone Northbrook</t>
  </si>
  <si>
    <t>Northbrook Greystone</t>
  </si>
  <si>
    <t>Weatherstone Haddon Hall</t>
  </si>
  <si>
    <t>Haddon Hall Weatherstone</t>
  </si>
  <si>
    <t>Eagle Ridge Harmony</t>
  </si>
  <si>
    <t>Harmony Eagle Ridge</t>
  </si>
  <si>
    <t>Harrington Grove Bedford at Falls River</t>
  </si>
  <si>
    <t>Bedford at Falls River Harrington Grove</t>
  </si>
  <si>
    <t>Hedingham Durant Trails</t>
  </si>
  <si>
    <t>Durant Trails Hedingham</t>
  </si>
  <si>
    <t>Highcroft Regency</t>
  </si>
  <si>
    <t>Regency Highcroft</t>
  </si>
  <si>
    <t>Holly Glen Wellington Park</t>
  </si>
  <si>
    <t>Wellington Park Holly Glen</t>
  </si>
  <si>
    <t>Jewish Community Center Planter's Walk</t>
  </si>
  <si>
    <t>Planter's Walk Jewish Community Center</t>
  </si>
  <si>
    <t>Brookstone Life Time Fitness Cary</t>
  </si>
  <si>
    <t>Life Time Fitness Cary Brookstone</t>
  </si>
  <si>
    <t>Prestonwood Lochmere</t>
  </si>
  <si>
    <t>Lochmere Prestonwood</t>
  </si>
  <si>
    <t>Manchester Wood Valley</t>
  </si>
  <si>
    <t>Wood Valley Manchester</t>
  </si>
  <si>
    <t>Medfield Abbington</t>
  </si>
  <si>
    <t>Abbington Medfield</t>
  </si>
  <si>
    <t>University Club Meredith Townes</t>
  </si>
  <si>
    <t>Meredith Townes University Club</t>
  </si>
  <si>
    <t xml:space="preserve"> Black Horse Run</t>
  </si>
  <si>
    <t>North Raleigh Black Horse Run</t>
  </si>
  <si>
    <t>Black Horse Run North Raleigh</t>
  </si>
  <si>
    <t>Hawthorne Oak Park</t>
  </si>
  <si>
    <t>Oak Park Hawthorne</t>
  </si>
  <si>
    <t>Walden Creek Olive Chapel</t>
  </si>
  <si>
    <t>Olive Chapel Walden Creek</t>
  </si>
  <si>
    <t>The Reserve Oxxford Hunt</t>
  </si>
  <si>
    <t>Oxxford Hunt The Reserve</t>
  </si>
  <si>
    <t>Quail Hollow Stonebridge</t>
  </si>
  <si>
    <t>Stonebridge Quail Hollow</t>
  </si>
  <si>
    <t>Life Time Athletic Raleigh Raleigh Racquet Club</t>
  </si>
  <si>
    <t>Raleigh Racquet Club Life Time Athletic Raleigh</t>
  </si>
  <si>
    <t>Kitts Creek Renaissance Park</t>
  </si>
  <si>
    <t>Renaissance Park Kitts Creek</t>
  </si>
  <si>
    <t>Riverwood Lake Park</t>
  </si>
  <si>
    <t>Lake Park Riverwood</t>
  </si>
  <si>
    <t>Scottish Hills Cary</t>
  </si>
  <si>
    <t>Cary Scottish Hills</t>
  </si>
  <si>
    <t>Scotts Mill Wellsley</t>
  </si>
  <si>
    <t>Wellsley Scotts Mill</t>
  </si>
  <si>
    <t>Sunset Ridge Shepherds Vineyard</t>
  </si>
  <si>
    <t>Shepherds Vineyard Sunset Ridge</t>
  </si>
  <si>
    <t>Southall Zebulon</t>
  </si>
  <si>
    <t>Zebulon Southall</t>
  </si>
  <si>
    <t>Heritage of Wake Forest Summerfield North</t>
  </si>
  <si>
    <t>Summerfield North Heritage of Wake Forest</t>
  </si>
  <si>
    <t>Park Village TCC</t>
  </si>
  <si>
    <t>TCC Park Village</t>
  </si>
  <si>
    <t>Twelve Oaks Devereaux</t>
  </si>
  <si>
    <t>Devereaux Twelve Oaks</t>
  </si>
  <si>
    <t>WoodCreek Preston Village</t>
  </si>
  <si>
    <t>Preston Village WoodCreek</t>
  </si>
  <si>
    <t>2019-07-16</t>
  </si>
  <si>
    <t>Lochmere Abbington</t>
  </si>
  <si>
    <t>Abbington Lochmere</t>
  </si>
  <si>
    <t>Brier Creek Country Club Bedford at Falls River</t>
  </si>
  <si>
    <t>Bedford at Falls River Brier Creek Country Club</t>
  </si>
  <si>
    <t>WoodCreek Bella Casa</t>
  </si>
  <si>
    <t>Bella Casa WoodCreek</t>
  </si>
  <si>
    <t>Bentwinds Harmony</t>
  </si>
  <si>
    <t>Harmony Bentwinds</t>
  </si>
  <si>
    <t>Riverwood Black Horse Run</t>
  </si>
  <si>
    <t>Black Horse Run Riverwood</t>
  </si>
  <si>
    <t xml:space="preserve"> Brookstone</t>
  </si>
  <si>
    <t>Highcroft Brookstone</t>
  </si>
  <si>
    <t>Brookstone Highcroft</t>
  </si>
  <si>
    <t>Twelve Oaks Carpenter Village</t>
  </si>
  <si>
    <t>Carpenter Village Twelve Oaks</t>
  </si>
  <si>
    <t>Walden Creek Cary</t>
  </si>
  <si>
    <t>Cary Walden Creek</t>
  </si>
  <si>
    <t xml:space="preserve"> Eagle Ridge</t>
  </si>
  <si>
    <t>Charleston Village Eagle Ridge</t>
  </si>
  <si>
    <t>Eagle Ridge Charleston Village</t>
  </si>
  <si>
    <t>Brighton Forest Devereaux</t>
  </si>
  <si>
    <t>Devereaux Brighton Forest</t>
  </si>
  <si>
    <t>Summerfield North Durant Trails</t>
  </si>
  <si>
    <t>Durant Trails Summerfield North</t>
  </si>
  <si>
    <t>The Reserve Dutchman Downs</t>
  </si>
  <si>
    <t>Dutchman Downs The Reserve</t>
  </si>
  <si>
    <t>Glenridge Kildaire Farms</t>
  </si>
  <si>
    <t>Kildaire Farms Glenridge</t>
  </si>
  <si>
    <t>Greystone Greenway Club</t>
  </si>
  <si>
    <t>Greenway Club Greystone</t>
  </si>
  <si>
    <t>Hasentree Coachman's Trail</t>
  </si>
  <si>
    <t>Coachman's Trail Hasentree</t>
  </si>
  <si>
    <t>Hawthorne Crabtree</t>
  </si>
  <si>
    <t>Crabtree Hawthorne</t>
  </si>
  <si>
    <t>Heritage of Wake Forest Hedingham</t>
  </si>
  <si>
    <t>Hedingham Heritage of Wake Forest</t>
  </si>
  <si>
    <t>Kitts Creek Crooked Creek</t>
  </si>
  <si>
    <t>Crooked Creek Kitts Creek</t>
  </si>
  <si>
    <t>North Raleigh Lake Park</t>
  </si>
  <si>
    <t>Lake Park North Raleigh</t>
  </si>
  <si>
    <t>Lakemont Banbury Woods &amp; Hunters Landing</t>
  </si>
  <si>
    <t>Banbury Woods &amp; Hunters Landing Lakemont</t>
  </si>
  <si>
    <t>Granite Falls Meredith Townes</t>
  </si>
  <si>
    <t>Meredith Townes Granite Falls</t>
  </si>
  <si>
    <t>North Hills Northbrook</t>
  </si>
  <si>
    <t>Northbrook North Hills</t>
  </si>
  <si>
    <t>Scottish Hills Olive Chapel</t>
  </si>
  <si>
    <t>Olive Chapel Scottish Hills</t>
  </si>
  <si>
    <t>Park at West Lake TCC</t>
  </si>
  <si>
    <t>TCC Park at West Lake</t>
  </si>
  <si>
    <t>Clubworx Park Village</t>
  </si>
  <si>
    <t>Park Village Clubworx</t>
  </si>
  <si>
    <t>Life Time Athletic Raleigh Planter's Walk</t>
  </si>
  <si>
    <t>Planter's Walk Life Time Athletic Raleigh</t>
  </si>
  <si>
    <t>Amberly Preston Village</t>
  </si>
  <si>
    <t>Preston Village Amberly</t>
  </si>
  <si>
    <t>Prestonwood Medfield</t>
  </si>
  <si>
    <t>Medfield Prestonwood</t>
  </si>
  <si>
    <t>Life Time Fitness Cary Regency</t>
  </si>
  <si>
    <t>Regency Life Time Fitness Cary</t>
  </si>
  <si>
    <t>Holly Glen Renaissance Park</t>
  </si>
  <si>
    <t>Renaissance Park Holly Glen</t>
  </si>
  <si>
    <t>Apex Shepherds Vineyard</t>
  </si>
  <si>
    <t>Shepherds Vineyard Apex</t>
  </si>
  <si>
    <t>Silverton Oxxford Hunt</t>
  </si>
  <si>
    <t>Oxxford Hunt Silverton</t>
  </si>
  <si>
    <t>Jewish Community Center Southall</t>
  </si>
  <si>
    <t>Southall Jewish Community Center</t>
  </si>
  <si>
    <t>Harrington Grove Springdale</t>
  </si>
  <si>
    <t>Springdale Harrington Grove</t>
  </si>
  <si>
    <t>Stonebridge Manchester</t>
  </si>
  <si>
    <t>Manchester Stonebridge</t>
  </si>
  <si>
    <t>Cary Park Sunset Ridge</t>
  </si>
  <si>
    <t>Sunset Ridge Cary Park</t>
  </si>
  <si>
    <t>Seven Oaks University Club</t>
  </si>
  <si>
    <t>University Club Seven Oaks</t>
  </si>
  <si>
    <t>Scotts Mill Weatherstone</t>
  </si>
  <si>
    <t>Weatherstone Scotts Mill</t>
  </si>
  <si>
    <t>Weldon Ridge Garner</t>
  </si>
  <si>
    <t>Garner Weldon Ridge</t>
  </si>
  <si>
    <t>Haddon Hall Wellsley</t>
  </si>
  <si>
    <t>Wellsley Haddon Hall</t>
  </si>
  <si>
    <t>Oak Park Wendell</t>
  </si>
  <si>
    <t>Wendell Oak Park</t>
  </si>
  <si>
    <t xml:space="preserve"> Quail Hollow</t>
  </si>
  <si>
    <t>Wood Valley Quail Hollow</t>
  </si>
  <si>
    <t>Quail Hollow Wood Valley</t>
  </si>
  <si>
    <t>Zebulon Raleigh Racquet Club</t>
  </si>
  <si>
    <t>Raleigh Racquet Club Zebulon</t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</si>
  <si>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1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</si>
  <si>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1</t>
    </r>
  </si>
  <si>
    <t>NORTH  -  UPDATED for 2019</t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</si>
  <si>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</si>
  <si>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</si>
  <si>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</si>
  <si>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</si>
  <si>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</si>
  <si>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</si>
  <si>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</si>
  <si>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SOUTH  -  UPDATED for 2019</t>
  </si>
  <si>
    <t>LEN</t>
  </si>
  <si>
    <t>Trimmed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</si>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</sst>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%"/>
    <numFmt numFmtId="167" formatCode="0.000%"/>
  </numFmts>
  <fonts count="3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2"/>
      <color rgb="FF0070C0"/>
      <name val="'Arial','Verdana','sans-serif'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2"/>
      <name val="Arial"/>
      <family val="2"/>
    </font>
    <font>
      <sz val="8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8"/>
      <color theme="0" tint="-0.14999847407452621"/>
      <name val="Arial"/>
      <family val="2"/>
    </font>
    <font>
      <sz val="16"/>
      <color theme="4" tint="-0.249977111117893"/>
      <name val="Calibri"/>
      <family val="2"/>
      <scheme val="minor"/>
    </font>
    <font>
      <sz val="10"/>
      <color theme="1"/>
      <name val="'Arial','Verdana','sans-serif'"/>
    </font>
    <font>
      <sz val="10"/>
      <color rgb="FF0000FF"/>
      <name val="'Arial','Verdana','sans-serif'"/>
    </font>
    <font>
      <sz val="10"/>
      <color rgb="FF008000"/>
      <name val="'Arial','Verdana','sans-serif'"/>
    </font>
    <font>
      <sz val="10"/>
      <color rgb="FFFF0000"/>
      <name val="'Arial','Verdana','sans-serif'"/>
    </font>
    <font>
      <sz val="10"/>
      <color rgb="FFFFA500"/>
      <name val="'Arial','Verdana','sans-serif'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</cellStyleXfs>
  <cellXfs count="195">
    <xf numFmtId="0" fontId="0" fillId="0" borderId="0" xfId="0"/>
    <xf numFmtId="0" fontId="2" fillId="0" borderId="0" xfId="1" applyAlignment="1">
      <alignment horizontal="center" textRotation="90"/>
    </xf>
    <xf numFmtId="0" fontId="3" fillId="0" borderId="0" xfId="1" applyFont="1" applyFill="1" applyAlignment="1">
      <alignment horizontal="center"/>
    </xf>
    <xf numFmtId="0" fontId="3" fillId="0" borderId="0" xfId="1" applyFont="1" applyAlignment="1">
      <alignment horizontal="center" textRotation="90"/>
    </xf>
    <xf numFmtId="0" fontId="3" fillId="0" borderId="0" xfId="1" applyFont="1" applyFill="1" applyAlignment="1">
      <alignment horizontal="center" textRotation="90"/>
    </xf>
    <xf numFmtId="0" fontId="5" fillId="0" borderId="0" xfId="1" applyFont="1" applyFill="1" applyAlignment="1">
      <alignment horizontal="center" textRotation="90"/>
    </xf>
    <xf numFmtId="0" fontId="6" fillId="0" borderId="0" xfId="1" applyFont="1" applyFill="1" applyAlignment="1">
      <alignment horizontal="center" textRotation="90"/>
    </xf>
    <xf numFmtId="0" fontId="5" fillId="0" borderId="0" xfId="1" applyFont="1" applyFill="1" applyBorder="1" applyAlignment="1">
      <alignment horizontal="center" textRotation="90"/>
    </xf>
    <xf numFmtId="0" fontId="2" fillId="0" borderId="0" xfId="1" applyFill="1" applyAlignment="1">
      <alignment horizontal="center"/>
    </xf>
    <xf numFmtId="0" fontId="3" fillId="0" borderId="0" xfId="1" applyFont="1" applyFill="1" applyAlignment="1">
      <alignment horizontal="right"/>
    </xf>
    <xf numFmtId="0" fontId="4" fillId="0" borderId="0" xfId="1" applyFont="1" applyFill="1" applyAlignment="1">
      <alignment horizontal="center"/>
    </xf>
    <xf numFmtId="0" fontId="2" fillId="0" borderId="0" xfId="1" applyFill="1"/>
    <xf numFmtId="0" fontId="7" fillId="0" borderId="0" xfId="1" applyFont="1" applyFill="1" applyAlignment="1">
      <alignment horizontal="center"/>
    </xf>
    <xf numFmtId="0" fontId="3" fillId="0" borderId="0" xfId="1" applyFont="1" applyFill="1" applyBorder="1" applyAlignment="1">
      <alignment horizontal="center" textRotation="90"/>
    </xf>
    <xf numFmtId="0" fontId="3" fillId="0" borderId="0" xfId="1" applyFont="1" applyFill="1" applyBorder="1" applyAlignment="1">
      <alignment horizontal="center"/>
    </xf>
    <xf numFmtId="0" fontId="2" fillId="0" borderId="0" xfId="1" applyAlignment="1">
      <alignment horizontal="center"/>
    </xf>
    <xf numFmtId="0" fontId="5" fillId="0" borderId="0" xfId="1" applyFont="1" applyFill="1"/>
    <xf numFmtId="0" fontId="3" fillId="0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0" xfId="1" applyFont="1" applyFill="1"/>
    <xf numFmtId="0" fontId="3" fillId="0" borderId="0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Fill="1" applyAlignment="1">
      <alignment horizontal="center" textRotation="90"/>
    </xf>
    <xf numFmtId="0" fontId="4" fillId="0" borderId="0" xfId="1" applyFont="1" applyAlignment="1">
      <alignment horizontal="center"/>
    </xf>
    <xf numFmtId="0" fontId="3" fillId="0" borderId="0" xfId="1" applyFont="1"/>
    <xf numFmtId="0" fontId="2" fillId="0" borderId="0" xfId="1" applyFill="1" applyBorder="1" applyAlignment="1">
      <alignment horizontal="center"/>
    </xf>
    <xf numFmtId="0" fontId="3" fillId="0" borderId="0" xfId="1" applyFont="1" applyFill="1" applyBorder="1"/>
    <xf numFmtId="0" fontId="5" fillId="0" borderId="0" xfId="0" applyFont="1" applyFill="1" applyAlignment="1">
      <alignment horizontal="left"/>
    </xf>
    <xf numFmtId="0" fontId="5" fillId="0" borderId="0" xfId="0" applyFont="1" applyFill="1"/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10" fillId="0" borderId="7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3" xfId="1" applyFont="1" applyFill="1" applyBorder="1" applyAlignment="1">
      <alignment horizontal="center"/>
    </xf>
    <xf numFmtId="0" fontId="3" fillId="0" borderId="10" xfId="1" applyFont="1" applyFill="1" applyBorder="1"/>
    <xf numFmtId="0" fontId="3" fillId="0" borderId="3" xfId="1" applyFont="1" applyFill="1" applyBorder="1"/>
    <xf numFmtId="0" fontId="2" fillId="0" borderId="0" xfId="1" applyAlignment="1">
      <alignment horizontal="center" vertical="top"/>
    </xf>
    <xf numFmtId="0" fontId="13" fillId="0" borderId="0" xfId="0" applyFont="1"/>
    <xf numFmtId="0" fontId="2" fillId="0" borderId="0" xfId="1" applyFill="1" applyAlignment="1">
      <alignment horizontal="center" vertical="top"/>
    </xf>
    <xf numFmtId="0" fontId="0" fillId="0" borderId="0" xfId="0" quotePrefix="1"/>
    <xf numFmtId="0" fontId="6" fillId="0" borderId="0" xfId="1" applyFont="1" applyFill="1"/>
    <xf numFmtId="0" fontId="5" fillId="0" borderId="0" xfId="1" applyFont="1" applyFill="1" applyAlignment="1">
      <alignment horizontal="left"/>
    </xf>
    <xf numFmtId="0" fontId="5" fillId="0" borderId="0" xfId="0" applyFont="1" applyFill="1" applyAlignment="1">
      <alignment horizontal="left" vertical="top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0" xfId="1" quotePrefix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3" fillId="0" borderId="4" xfId="1" applyFont="1" applyFill="1" applyBorder="1" applyAlignment="1">
      <alignment horizontal="center"/>
    </xf>
    <xf numFmtId="0" fontId="3" fillId="0" borderId="4" xfId="1" applyFont="1" applyFill="1" applyBorder="1"/>
    <xf numFmtId="0" fontId="3" fillId="0" borderId="6" xfId="1" applyFont="1" applyFill="1" applyBorder="1" applyAlignment="1">
      <alignment horizontal="center"/>
    </xf>
    <xf numFmtId="0" fontId="3" fillId="0" borderId="8" xfId="1" applyFont="1" applyFill="1" applyBorder="1" applyAlignment="1">
      <alignment horizontal="center"/>
    </xf>
    <xf numFmtId="0" fontId="3" fillId="0" borderId="9" xfId="1" applyFont="1" applyFill="1" applyBorder="1"/>
    <xf numFmtId="17" fontId="3" fillId="0" borderId="0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horizontal="center"/>
    </xf>
    <xf numFmtId="0" fontId="3" fillId="0" borderId="7" xfId="1" applyFont="1" applyFill="1" applyBorder="1" applyAlignment="1">
      <alignment horizontal="center"/>
    </xf>
    <xf numFmtId="0" fontId="3" fillId="0" borderId="9" xfId="1" applyFont="1" applyFill="1" applyBorder="1" applyAlignment="1">
      <alignment horizontal="center"/>
    </xf>
    <xf numFmtId="0" fontId="3" fillId="0" borderId="10" xfId="1" applyFont="1" applyFill="1" applyBorder="1" applyAlignment="1">
      <alignment horizontal="center"/>
    </xf>
    <xf numFmtId="164" fontId="3" fillId="0" borderId="0" xfId="2" applyNumberFormat="1" applyFont="1" applyAlignment="1">
      <alignment horizontal="center" textRotation="90"/>
    </xf>
    <xf numFmtId="164" fontId="2" fillId="0" borderId="0" xfId="2" applyNumberFormat="1" applyFont="1"/>
    <xf numFmtId="164" fontId="3" fillId="0" borderId="0" xfId="2" applyNumberFormat="1" applyFont="1" applyFill="1"/>
    <xf numFmtId="164" fontId="3" fillId="0" borderId="0" xfId="2" applyNumberFormat="1" applyFont="1"/>
    <xf numFmtId="165" fontId="3" fillId="0" borderId="0" xfId="2" applyNumberFormat="1" applyFont="1" applyAlignment="1">
      <alignment horizontal="center"/>
    </xf>
    <xf numFmtId="0" fontId="2" fillId="0" borderId="0" xfId="1" applyAlignment="1">
      <alignment textRotation="90"/>
    </xf>
    <xf numFmtId="0" fontId="2" fillId="0" borderId="0" xfId="1" applyFill="1" applyAlignment="1"/>
    <xf numFmtId="0" fontId="2" fillId="0" borderId="0" xfId="1" applyAlignment="1"/>
    <xf numFmtId="9" fontId="2" fillId="0" borderId="0" xfId="3" applyFont="1" applyAlignment="1"/>
    <xf numFmtId="166" fontId="3" fillId="0" borderId="0" xfId="3" applyNumberFormat="1" applyFont="1" applyAlignment="1">
      <alignment horizontal="center"/>
    </xf>
    <xf numFmtId="0" fontId="11" fillId="0" borderId="0" xfId="1" applyFont="1" applyAlignment="1">
      <alignment horizontal="left"/>
    </xf>
    <xf numFmtId="0" fontId="3" fillId="5" borderId="14" xfId="1" applyFont="1" applyFill="1" applyBorder="1" applyAlignment="1">
      <alignment horizontal="center"/>
    </xf>
    <xf numFmtId="0" fontId="2" fillId="0" borderId="0" xfId="1" applyFont="1" applyFill="1" applyAlignment="1">
      <alignment horizontal="center"/>
    </xf>
    <xf numFmtId="166" fontId="2" fillId="0" borderId="0" xfId="3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9" fillId="0" borderId="0" xfId="1" applyFont="1" applyAlignment="1">
      <alignment horizontal="center"/>
    </xf>
    <xf numFmtId="0" fontId="20" fillId="0" borderId="0" xfId="0" applyFont="1"/>
    <xf numFmtId="0" fontId="0" fillId="0" borderId="0" xfId="0" applyBorder="1"/>
    <xf numFmtId="0" fontId="14" fillId="0" borderId="0" xfId="0" applyFont="1"/>
    <xf numFmtId="0" fontId="21" fillId="0" borderId="0" xfId="0" applyFont="1"/>
    <xf numFmtId="0" fontId="22" fillId="0" borderId="0" xfId="0" applyFont="1"/>
    <xf numFmtId="0" fontId="3" fillId="0" borderId="2" xfId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0" borderId="6" xfId="1" applyFont="1" applyFill="1" applyBorder="1"/>
    <xf numFmtId="0" fontId="3" fillId="0" borderId="8" xfId="1" applyFont="1" applyFill="1" applyBorder="1"/>
    <xf numFmtId="0" fontId="23" fillId="0" borderId="0" xfId="1" applyFont="1" applyFill="1" applyAlignment="1">
      <alignment horizontal="center"/>
    </xf>
    <xf numFmtId="165" fontId="24" fillId="0" borderId="0" xfId="2" applyNumberFormat="1" applyFont="1" applyFill="1" applyAlignment="1">
      <alignment horizontal="center" textRotation="90"/>
    </xf>
    <xf numFmtId="165" fontId="3" fillId="0" borderId="0" xfId="2" applyNumberFormat="1" applyFont="1" applyFill="1"/>
    <xf numFmtId="165" fontId="3" fillId="0" borderId="0" xfId="2" applyNumberFormat="1" applyFont="1"/>
    <xf numFmtId="166" fontId="3" fillId="0" borderId="0" xfId="1" applyNumberFormat="1" applyFont="1" applyAlignment="1">
      <alignment horizontal="center"/>
    </xf>
    <xf numFmtId="166" fontId="25" fillId="0" borderId="0" xfId="3" applyNumberFormat="1" applyFont="1" applyAlignment="1">
      <alignment horizontal="center"/>
    </xf>
    <xf numFmtId="0" fontId="1" fillId="0" borderId="0" xfId="4"/>
    <xf numFmtId="0" fontId="28" fillId="0" borderId="0" xfId="4" applyFont="1" applyAlignment="1">
      <alignment horizontal="center"/>
    </xf>
    <xf numFmtId="0" fontId="1" fillId="7" borderId="0" xfId="4" applyFill="1"/>
    <xf numFmtId="0" fontId="1" fillId="8" borderId="0" xfId="4" applyFill="1"/>
    <xf numFmtId="0" fontId="1" fillId="9" borderId="0" xfId="4" applyFill="1"/>
    <xf numFmtId="0" fontId="28" fillId="10" borderId="0" xfId="4" applyFont="1" applyFill="1" applyAlignment="1">
      <alignment horizontal="center"/>
    </xf>
    <xf numFmtId="0" fontId="1" fillId="10" borderId="0" xfId="4" applyFill="1"/>
    <xf numFmtId="0" fontId="28" fillId="6" borderId="0" xfId="4" applyFont="1" applyFill="1" applyAlignment="1">
      <alignment horizontal="center"/>
    </xf>
    <xf numFmtId="0" fontId="1" fillId="6" borderId="0" xfId="4" applyFill="1"/>
    <xf numFmtId="0" fontId="28" fillId="11" borderId="0" xfId="4" applyFont="1" applyFill="1" applyAlignment="1">
      <alignment horizontal="center"/>
    </xf>
    <xf numFmtId="0" fontId="1" fillId="11" borderId="0" xfId="4" applyFill="1"/>
    <xf numFmtId="0" fontId="28" fillId="7" borderId="0" xfId="4" applyFont="1" applyFill="1" applyAlignment="1">
      <alignment horizontal="center"/>
    </xf>
    <xf numFmtId="0" fontId="28" fillId="8" borderId="0" xfId="4" applyFont="1" applyFill="1" applyAlignment="1">
      <alignment horizontal="center"/>
    </xf>
    <xf numFmtId="0" fontId="28" fillId="9" borderId="0" xfId="4" applyFont="1" applyFill="1" applyAlignment="1">
      <alignment horizontal="center"/>
    </xf>
    <xf numFmtId="0" fontId="28" fillId="0" borderId="0" xfId="4" applyFont="1"/>
    <xf numFmtId="0" fontId="28" fillId="7" borderId="0" xfId="4" applyFont="1" applyFill="1" applyBorder="1" applyAlignment="1">
      <alignment horizontal="center"/>
    </xf>
    <xf numFmtId="0" fontId="28" fillId="7" borderId="0" xfId="4" applyFont="1" applyFill="1" applyBorder="1" applyAlignment="1">
      <alignment horizontal="right"/>
    </xf>
    <xf numFmtId="0" fontId="28" fillId="8" borderId="0" xfId="4" applyFont="1" applyFill="1" applyBorder="1" applyAlignment="1">
      <alignment horizontal="center"/>
    </xf>
    <xf numFmtId="0" fontId="28" fillId="8" borderId="0" xfId="4" applyFont="1" applyFill="1" applyBorder="1" applyAlignment="1">
      <alignment horizontal="right"/>
    </xf>
    <xf numFmtId="0" fontId="28" fillId="9" borderId="0" xfId="4" applyFont="1" applyFill="1" applyBorder="1" applyAlignment="1">
      <alignment horizontal="center"/>
    </xf>
    <xf numFmtId="0" fontId="28" fillId="9" borderId="0" xfId="4" applyFont="1" applyFill="1" applyBorder="1" applyAlignment="1">
      <alignment horizontal="right"/>
    </xf>
    <xf numFmtId="0" fontId="28" fillId="10" borderId="0" xfId="4" applyFont="1" applyFill="1" applyBorder="1" applyAlignment="1">
      <alignment horizontal="center"/>
    </xf>
    <xf numFmtId="0" fontId="28" fillId="10" borderId="0" xfId="4" applyFont="1" applyFill="1" applyBorder="1" applyAlignment="1">
      <alignment horizontal="right"/>
    </xf>
    <xf numFmtId="0" fontId="28" fillId="6" borderId="0" xfId="4" applyFont="1" applyFill="1" applyBorder="1" applyAlignment="1">
      <alignment horizontal="center"/>
    </xf>
    <xf numFmtId="0" fontId="28" fillId="6" borderId="0" xfId="4" applyFont="1" applyFill="1" applyBorder="1" applyAlignment="1">
      <alignment horizontal="right"/>
    </xf>
    <xf numFmtId="0" fontId="28" fillId="11" borderId="0" xfId="4" applyFont="1" applyFill="1" applyBorder="1" applyAlignment="1">
      <alignment horizontal="center"/>
    </xf>
    <xf numFmtId="0" fontId="28" fillId="11" borderId="0" xfId="4" applyFont="1" applyFill="1" applyBorder="1" applyAlignment="1">
      <alignment horizontal="right"/>
    </xf>
    <xf numFmtId="0" fontId="28" fillId="7" borderId="15" xfId="4" applyFont="1" applyFill="1" applyBorder="1" applyAlignment="1">
      <alignment horizontal="center"/>
    </xf>
    <xf numFmtId="0" fontId="28" fillId="7" borderId="15" xfId="4" applyFont="1" applyFill="1" applyBorder="1" applyAlignment="1">
      <alignment horizontal="right"/>
    </xf>
    <xf numFmtId="0" fontId="28" fillId="8" borderId="15" xfId="4" applyFont="1" applyFill="1" applyBorder="1" applyAlignment="1">
      <alignment horizontal="center"/>
    </xf>
    <xf numFmtId="0" fontId="28" fillId="8" borderId="15" xfId="4" applyFont="1" applyFill="1" applyBorder="1" applyAlignment="1">
      <alignment horizontal="right"/>
    </xf>
    <xf numFmtId="0" fontId="28" fillId="9" borderId="15" xfId="4" applyFont="1" applyFill="1" applyBorder="1" applyAlignment="1">
      <alignment horizontal="center"/>
    </xf>
    <xf numFmtId="0" fontId="28" fillId="9" borderId="15" xfId="4" applyFont="1" applyFill="1" applyBorder="1" applyAlignment="1">
      <alignment horizontal="right"/>
    </xf>
    <xf numFmtId="0" fontId="28" fillId="10" borderId="15" xfId="4" applyFont="1" applyFill="1" applyBorder="1" applyAlignment="1">
      <alignment horizontal="center"/>
    </xf>
    <xf numFmtId="0" fontId="28" fillId="10" borderId="15" xfId="4" applyFont="1" applyFill="1" applyBorder="1" applyAlignment="1">
      <alignment horizontal="right"/>
    </xf>
    <xf numFmtId="0" fontId="28" fillId="6" borderId="15" xfId="4" applyFont="1" applyFill="1" applyBorder="1" applyAlignment="1">
      <alignment horizontal="center"/>
    </xf>
    <xf numFmtId="0" fontId="28" fillId="6" borderId="15" xfId="4" applyFont="1" applyFill="1" applyBorder="1" applyAlignment="1">
      <alignment horizontal="right"/>
    </xf>
    <xf numFmtId="0" fontId="28" fillId="11" borderId="15" xfId="4" applyFont="1" applyFill="1" applyBorder="1" applyAlignment="1">
      <alignment horizontal="center"/>
    </xf>
    <xf numFmtId="0" fontId="28" fillId="11" borderId="15" xfId="4" applyFont="1" applyFill="1" applyBorder="1" applyAlignment="1">
      <alignment horizontal="right"/>
    </xf>
    <xf numFmtId="0" fontId="1" fillId="11" borderId="0" xfId="4" applyFill="1" applyAlignment="1">
      <alignment horizontal="left"/>
    </xf>
    <xf numFmtId="0" fontId="1" fillId="6" borderId="0" xfId="4" applyFill="1" applyAlignment="1">
      <alignment horizontal="left"/>
    </xf>
    <xf numFmtId="0" fontId="1" fillId="10" borderId="0" xfId="4" applyFill="1" applyAlignment="1">
      <alignment horizontal="left"/>
    </xf>
    <xf numFmtId="0" fontId="1" fillId="9" borderId="0" xfId="4" applyFill="1" applyAlignment="1">
      <alignment horizontal="left"/>
    </xf>
    <xf numFmtId="0" fontId="1" fillId="8" borderId="0" xfId="4" applyFill="1" applyAlignment="1">
      <alignment horizontal="left"/>
    </xf>
    <xf numFmtId="0" fontId="1" fillId="7" borderId="0" xfId="4" applyFill="1" applyAlignment="1">
      <alignment horizontal="left"/>
    </xf>
    <xf numFmtId="0" fontId="28" fillId="4" borderId="0" xfId="4" applyFont="1" applyFill="1" applyAlignment="1">
      <alignment horizontal="center"/>
    </xf>
    <xf numFmtId="166" fontId="11" fillId="0" borderId="0" xfId="1" applyNumberFormat="1" applyFont="1" applyAlignment="1">
      <alignment horizontal="center" vertical="center" textRotation="90"/>
    </xf>
    <xf numFmtId="0" fontId="2" fillId="12" borderId="0" xfId="1" applyFill="1" applyAlignment="1">
      <alignment horizontal="center"/>
    </xf>
    <xf numFmtId="0" fontId="5" fillId="12" borderId="0" xfId="1" applyFont="1" applyFill="1"/>
    <xf numFmtId="0" fontId="3" fillId="12" borderId="0" xfId="1" applyFont="1" applyFill="1" applyAlignment="1">
      <alignment horizontal="center"/>
    </xf>
    <xf numFmtId="0" fontId="3" fillId="12" borderId="2" xfId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3" fillId="0" borderId="5" xfId="1" applyFont="1" applyFill="1" applyBorder="1"/>
    <xf numFmtId="0" fontId="3" fillId="0" borderId="7" xfId="1" applyFont="1" applyFill="1" applyBorder="1"/>
    <xf numFmtId="0" fontId="3" fillId="0" borderId="0" xfId="1" applyFont="1" applyFill="1" applyBorder="1" applyAlignment="1">
      <alignment horizontal="right"/>
    </xf>
    <xf numFmtId="0" fontId="3" fillId="0" borderId="4" xfId="1" applyFont="1" applyFill="1" applyBorder="1" applyAlignment="1">
      <alignment horizontal="right"/>
    </xf>
    <xf numFmtId="167" fontId="30" fillId="0" borderId="0" xfId="1" applyNumberFormat="1" applyFont="1" applyAlignment="1">
      <alignment horizontal="center"/>
    </xf>
    <xf numFmtId="0" fontId="31" fillId="0" borderId="0" xfId="0" applyFont="1" applyAlignment="1">
      <alignment horizontal="left" vertical="center"/>
    </xf>
    <xf numFmtId="0" fontId="0" fillId="14" borderId="0" xfId="0" applyFill="1"/>
    <xf numFmtId="0" fontId="17" fillId="14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0" fillId="0" borderId="0" xfId="0" applyFill="1" applyBorder="1"/>
    <xf numFmtId="0" fontId="34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1" quotePrefix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15" borderId="0" xfId="0" applyFill="1"/>
    <xf numFmtId="0" fontId="11" fillId="0" borderId="0" xfId="1" applyFont="1" applyFill="1"/>
    <xf numFmtId="0" fontId="34" fillId="2" borderId="0" xfId="0" applyFont="1" applyFill="1" applyAlignment="1">
      <alignment horizontal="center" vertical="center" wrapText="1"/>
    </xf>
    <xf numFmtId="0" fontId="4" fillId="0" borderId="11" xfId="1" applyFont="1" applyFill="1" applyBorder="1" applyAlignment="1">
      <alignment horizontal="center"/>
    </xf>
    <xf numFmtId="0" fontId="4" fillId="0" borderId="12" xfId="1" applyFont="1" applyFill="1" applyBorder="1" applyAlignment="1">
      <alignment horizontal="center"/>
    </xf>
    <xf numFmtId="0" fontId="4" fillId="0" borderId="13" xfId="1" applyFont="1" applyFill="1" applyBorder="1" applyAlignment="1">
      <alignment horizontal="center"/>
    </xf>
    <xf numFmtId="0" fontId="16" fillId="13" borderId="11" xfId="1" applyFont="1" applyFill="1" applyBorder="1" applyAlignment="1">
      <alignment horizontal="center"/>
    </xf>
    <xf numFmtId="0" fontId="16" fillId="13" borderId="12" xfId="1" applyFont="1" applyFill="1" applyBorder="1" applyAlignment="1">
      <alignment horizontal="center"/>
    </xf>
    <xf numFmtId="0" fontId="16" fillId="13" borderId="13" xfId="1" applyFont="1" applyFill="1" applyBorder="1" applyAlignment="1">
      <alignment horizontal="center"/>
    </xf>
    <xf numFmtId="0" fontId="18" fillId="0" borderId="15" xfId="1" applyFont="1" applyBorder="1" applyAlignment="1">
      <alignment horizontal="center"/>
    </xf>
    <xf numFmtId="0" fontId="18" fillId="0" borderId="15" xfId="1" quotePrefix="1" applyFont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</cellXfs>
  <cellStyles count="5">
    <cellStyle name="Comma" xfId="2" builtinId="3"/>
    <cellStyle name="Normal" xfId="0" builtinId="0"/>
    <cellStyle name="Normal 2" xfId="1" xr:uid="{00000000-0005-0000-0000-000003000000}"/>
    <cellStyle name="Normal 3" xfId="4" xr:uid="{00000000-0005-0000-0000-000004000000}"/>
    <cellStyle name="Percent" xfId="3" builtinId="5"/>
  </cellStyles>
  <dxfs count="821"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ndense val="0"/>
        <extend val="0"/>
        <color auto="1"/>
      </font>
      <fill>
        <patternFill>
          <bgColor theme="6" tint="0.59996337778862885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colors>
    <mruColors>
      <color rgb="FFFFFF99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B76F280-BAA6-45F4-8B53-B376E3B42C68}" type="doc">
      <dgm:prSet loTypeId="urn:microsoft.com/office/officeart/2005/8/layout/cycle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3D2943-8662-47A5-85F1-A96F5EF022BA}">
      <dgm:prSet phldrT="[Text]" custT="1"/>
      <dgm:spPr/>
      <dgm:t>
        <a:bodyPr/>
        <a:lstStyle/>
        <a:p>
          <a:r>
            <a:rPr lang="en-US" sz="2000"/>
            <a:t>JCC </a:t>
          </a:r>
          <a:r>
            <a:rPr lang="en-US" sz="2000">
              <a:solidFill>
                <a:srgbClr val="FF0000"/>
              </a:solidFill>
            </a:rPr>
            <a:t>(+14)</a:t>
          </a:r>
        </a:p>
        <a:p>
          <a:r>
            <a:rPr lang="en-US" sz="1100"/>
            <a:t>COPD: JCC +49 over Oak Park</a:t>
          </a:r>
        </a:p>
      </dgm:t>
    </dgm:pt>
    <dgm:pt modelId="{A2BF8594-09D9-46EF-AAD1-27EBE708F62E}" type="parTrans" cxnId="{E9CCA513-95AE-4579-B93D-0D4B57316960}">
      <dgm:prSet/>
      <dgm:spPr/>
      <dgm:t>
        <a:bodyPr/>
        <a:lstStyle/>
        <a:p>
          <a:endParaRPr lang="en-US"/>
        </a:p>
      </dgm:t>
    </dgm:pt>
    <dgm:pt modelId="{D4267235-E695-4FD9-8194-0E739D2BF524}" type="sibTrans" cxnId="{E9CCA513-95AE-4579-B93D-0D4B57316960}">
      <dgm:prSet/>
      <dgm:spPr/>
      <dgm:t>
        <a:bodyPr/>
        <a:lstStyle/>
        <a:p>
          <a:endParaRPr lang="en-US"/>
        </a:p>
      </dgm:t>
    </dgm:pt>
    <dgm:pt modelId="{0E40CD4C-3C1D-4C80-AD25-52EC8EDBBD5D}">
      <dgm:prSet phldrT="[Text]" custT="1"/>
      <dgm:spPr/>
      <dgm:t>
        <a:bodyPr/>
        <a:lstStyle/>
        <a:p>
          <a:r>
            <a:rPr lang="en-US" sz="2000"/>
            <a:t>Oak Park (+23)</a:t>
          </a:r>
        </a:p>
        <a:p>
          <a:r>
            <a:rPr lang="en-US" sz="1200"/>
            <a:t>COPD: Oak Park </a:t>
          </a:r>
          <a:r>
            <a:rPr lang="en-US" sz="1200">
              <a:solidFill>
                <a:srgbClr val="FF0000"/>
              </a:solidFill>
            </a:rPr>
            <a:t>+7.4 </a:t>
          </a:r>
          <a:r>
            <a:rPr lang="en-US" sz="1200"/>
            <a:t>over Crab</a:t>
          </a:r>
        </a:p>
      </dgm:t>
    </dgm:pt>
    <dgm:pt modelId="{42BA0107-2389-4ADF-944C-0E30F99677D2}" type="sibTrans" cxnId="{9A5AE8FC-9707-4EC1-B78B-1CAB775F85B3}">
      <dgm:prSet/>
      <dgm:spPr/>
      <dgm:t>
        <a:bodyPr/>
        <a:lstStyle/>
        <a:p>
          <a:endParaRPr lang="en-US"/>
        </a:p>
      </dgm:t>
    </dgm:pt>
    <dgm:pt modelId="{2C52D273-10DA-412F-A5BD-E3D94C140B91}" type="parTrans" cxnId="{9A5AE8FC-9707-4EC1-B78B-1CAB775F85B3}">
      <dgm:prSet/>
      <dgm:spPr/>
      <dgm:t>
        <a:bodyPr/>
        <a:lstStyle/>
        <a:p>
          <a:endParaRPr lang="en-US"/>
        </a:p>
      </dgm:t>
    </dgm:pt>
    <dgm:pt modelId="{5C2DF603-61D2-4666-9CD4-5F4401CF4924}">
      <dgm:prSet phldrT="[Text]" custT="1"/>
      <dgm:spPr/>
      <dgm:t>
        <a:bodyPr/>
        <a:lstStyle/>
        <a:p>
          <a:r>
            <a:rPr lang="en-US" sz="2000"/>
            <a:t>Crabtree (+37)</a:t>
          </a:r>
        </a:p>
        <a:p>
          <a:r>
            <a:rPr lang="en-US" sz="1200"/>
            <a:t>COPD: Crab +135.6 over JCC</a:t>
          </a:r>
        </a:p>
      </dgm:t>
    </dgm:pt>
    <dgm:pt modelId="{F59494BD-D1E4-4F40-AA7A-C2561AF22DC5}" type="sibTrans" cxnId="{B428F0DA-4F78-4E88-B000-FE8C3B0B1D83}">
      <dgm:prSet/>
      <dgm:spPr/>
      <dgm:t>
        <a:bodyPr/>
        <a:lstStyle/>
        <a:p>
          <a:endParaRPr lang="en-US"/>
        </a:p>
      </dgm:t>
    </dgm:pt>
    <dgm:pt modelId="{587D8EB4-33AD-43A4-AE09-8B55F72A14D5}" type="parTrans" cxnId="{B428F0DA-4F78-4E88-B000-FE8C3B0B1D83}">
      <dgm:prSet/>
      <dgm:spPr/>
      <dgm:t>
        <a:bodyPr/>
        <a:lstStyle/>
        <a:p>
          <a:endParaRPr lang="en-US"/>
        </a:p>
      </dgm:t>
    </dgm:pt>
    <dgm:pt modelId="{2C912B3B-C24F-406E-96F3-D6B51222D6F8}" type="pres">
      <dgm:prSet presAssocID="{6B76F280-BAA6-45F4-8B53-B376E3B42C68}" presName="cycle" presStyleCnt="0">
        <dgm:presLayoutVars>
          <dgm:dir/>
          <dgm:resizeHandles val="exact"/>
        </dgm:presLayoutVars>
      </dgm:prSet>
      <dgm:spPr/>
    </dgm:pt>
    <dgm:pt modelId="{0BA3F836-8ADE-4AF6-8A5A-083485F3A79C}" type="pres">
      <dgm:prSet presAssocID="{703D2943-8662-47A5-85F1-A96F5EF022BA}" presName="dummy" presStyleCnt="0"/>
      <dgm:spPr/>
    </dgm:pt>
    <dgm:pt modelId="{50EA55C8-4626-4D97-82E9-289295A74861}" type="pres">
      <dgm:prSet presAssocID="{703D2943-8662-47A5-85F1-A96F5EF022BA}" presName="node" presStyleLbl="revTx" presStyleIdx="0" presStyleCnt="3" custRadScaleRad="98674" custRadScaleInc="31676">
        <dgm:presLayoutVars>
          <dgm:bulletEnabled val="1"/>
        </dgm:presLayoutVars>
      </dgm:prSet>
      <dgm:spPr/>
    </dgm:pt>
    <dgm:pt modelId="{1B5BC1FB-F9E6-45DF-B218-D83CC699B2A3}" type="pres">
      <dgm:prSet presAssocID="{D4267235-E695-4FD9-8194-0E739D2BF524}" presName="sibTrans" presStyleLbl="node1" presStyleIdx="0" presStyleCnt="3"/>
      <dgm:spPr/>
    </dgm:pt>
    <dgm:pt modelId="{583532F1-7F69-44D3-B0C7-ABA3258DA703}" type="pres">
      <dgm:prSet presAssocID="{5C2DF603-61D2-4666-9CD4-5F4401CF4924}" presName="dummy" presStyleCnt="0"/>
      <dgm:spPr/>
    </dgm:pt>
    <dgm:pt modelId="{4DF3630E-9156-4781-ADE4-65D085B3C6FB}" type="pres">
      <dgm:prSet presAssocID="{5C2DF603-61D2-4666-9CD4-5F4401CF4924}" presName="node" presStyleLbl="revTx" presStyleIdx="1" presStyleCnt="3" custScaleX="111637">
        <dgm:presLayoutVars>
          <dgm:bulletEnabled val="1"/>
        </dgm:presLayoutVars>
      </dgm:prSet>
      <dgm:spPr/>
    </dgm:pt>
    <dgm:pt modelId="{01C66C09-50A0-4F90-9BA0-D3A80A712C8E}" type="pres">
      <dgm:prSet presAssocID="{F59494BD-D1E4-4F40-AA7A-C2561AF22DC5}" presName="sibTrans" presStyleLbl="node1" presStyleIdx="1" presStyleCnt="3"/>
      <dgm:spPr/>
    </dgm:pt>
    <dgm:pt modelId="{2A5A3F8F-3FDA-4E06-9D69-567454EFBF06}" type="pres">
      <dgm:prSet presAssocID="{0E40CD4C-3C1D-4C80-AD25-52EC8EDBBD5D}" presName="dummy" presStyleCnt="0"/>
      <dgm:spPr/>
    </dgm:pt>
    <dgm:pt modelId="{A33D2F2D-1EBE-47AE-9764-AAC78F95BE07}" type="pres">
      <dgm:prSet presAssocID="{0E40CD4C-3C1D-4C80-AD25-52EC8EDBBD5D}" presName="node" presStyleLbl="revTx" presStyleIdx="2" presStyleCnt="3" custScaleX="113371" custRadScaleRad="94584" custRadScaleInc="-24522">
        <dgm:presLayoutVars>
          <dgm:bulletEnabled val="1"/>
        </dgm:presLayoutVars>
      </dgm:prSet>
      <dgm:spPr/>
    </dgm:pt>
    <dgm:pt modelId="{83D08C31-9D49-48D2-A927-99BD8FEAC8A3}" type="pres">
      <dgm:prSet presAssocID="{42BA0107-2389-4ADF-944C-0E30F99677D2}" presName="sibTrans" presStyleLbl="node1" presStyleIdx="2" presStyleCnt="3"/>
      <dgm:spPr/>
    </dgm:pt>
  </dgm:ptLst>
  <dgm:cxnLst>
    <dgm:cxn modelId="{7659A910-33D1-444A-A062-93DA43A5D778}" type="presOf" srcId="{0E40CD4C-3C1D-4C80-AD25-52EC8EDBBD5D}" destId="{A33D2F2D-1EBE-47AE-9764-AAC78F95BE07}" srcOrd="0" destOrd="0" presId="urn:microsoft.com/office/officeart/2005/8/layout/cycle1"/>
    <dgm:cxn modelId="{E9CCA513-95AE-4579-B93D-0D4B57316960}" srcId="{6B76F280-BAA6-45F4-8B53-B376E3B42C68}" destId="{703D2943-8662-47A5-85F1-A96F5EF022BA}" srcOrd="0" destOrd="0" parTransId="{A2BF8594-09D9-46EF-AAD1-27EBE708F62E}" sibTransId="{D4267235-E695-4FD9-8194-0E739D2BF524}"/>
    <dgm:cxn modelId="{60FC811B-5255-430B-AA02-6DC3FD6FF71C}" type="presOf" srcId="{D4267235-E695-4FD9-8194-0E739D2BF524}" destId="{1B5BC1FB-F9E6-45DF-B218-D83CC699B2A3}" srcOrd="0" destOrd="0" presId="urn:microsoft.com/office/officeart/2005/8/layout/cycle1"/>
    <dgm:cxn modelId="{A8BF5F81-1ED4-4338-AF87-0170014D651B}" type="presOf" srcId="{6B76F280-BAA6-45F4-8B53-B376E3B42C68}" destId="{2C912B3B-C24F-406E-96F3-D6B51222D6F8}" srcOrd="0" destOrd="0" presId="urn:microsoft.com/office/officeart/2005/8/layout/cycle1"/>
    <dgm:cxn modelId="{1FFA84A4-AC16-4061-B3AB-B543DA8EA140}" type="presOf" srcId="{42BA0107-2389-4ADF-944C-0E30F99677D2}" destId="{83D08C31-9D49-48D2-A927-99BD8FEAC8A3}" srcOrd="0" destOrd="0" presId="urn:microsoft.com/office/officeart/2005/8/layout/cycle1"/>
    <dgm:cxn modelId="{6D1968A7-273B-46AF-8D98-7731A8C79423}" type="presOf" srcId="{5C2DF603-61D2-4666-9CD4-5F4401CF4924}" destId="{4DF3630E-9156-4781-ADE4-65D085B3C6FB}" srcOrd="0" destOrd="0" presId="urn:microsoft.com/office/officeart/2005/8/layout/cycle1"/>
    <dgm:cxn modelId="{10886FB4-42CB-49C8-BE07-0D10A7B8FC90}" type="presOf" srcId="{F59494BD-D1E4-4F40-AA7A-C2561AF22DC5}" destId="{01C66C09-50A0-4F90-9BA0-D3A80A712C8E}" srcOrd="0" destOrd="0" presId="urn:microsoft.com/office/officeart/2005/8/layout/cycle1"/>
    <dgm:cxn modelId="{9DC338D2-CB91-4592-B641-BA935D20F0F8}" type="presOf" srcId="{703D2943-8662-47A5-85F1-A96F5EF022BA}" destId="{50EA55C8-4626-4D97-82E9-289295A74861}" srcOrd="0" destOrd="0" presId="urn:microsoft.com/office/officeart/2005/8/layout/cycle1"/>
    <dgm:cxn modelId="{B428F0DA-4F78-4E88-B000-FE8C3B0B1D83}" srcId="{6B76F280-BAA6-45F4-8B53-B376E3B42C68}" destId="{5C2DF603-61D2-4666-9CD4-5F4401CF4924}" srcOrd="1" destOrd="0" parTransId="{587D8EB4-33AD-43A4-AE09-8B55F72A14D5}" sibTransId="{F59494BD-D1E4-4F40-AA7A-C2561AF22DC5}"/>
    <dgm:cxn modelId="{9A5AE8FC-9707-4EC1-B78B-1CAB775F85B3}" srcId="{6B76F280-BAA6-45F4-8B53-B376E3B42C68}" destId="{0E40CD4C-3C1D-4C80-AD25-52EC8EDBBD5D}" srcOrd="2" destOrd="0" parTransId="{2C52D273-10DA-412F-A5BD-E3D94C140B91}" sibTransId="{42BA0107-2389-4ADF-944C-0E30F99677D2}"/>
    <dgm:cxn modelId="{B6EBE8CE-50F2-47CD-A1A9-F171290C2721}" type="presParOf" srcId="{2C912B3B-C24F-406E-96F3-D6B51222D6F8}" destId="{0BA3F836-8ADE-4AF6-8A5A-083485F3A79C}" srcOrd="0" destOrd="0" presId="urn:microsoft.com/office/officeart/2005/8/layout/cycle1"/>
    <dgm:cxn modelId="{F93986D4-93DB-4F7B-B3A8-B06BA5D0751C}" type="presParOf" srcId="{2C912B3B-C24F-406E-96F3-D6B51222D6F8}" destId="{50EA55C8-4626-4D97-82E9-289295A74861}" srcOrd="1" destOrd="0" presId="urn:microsoft.com/office/officeart/2005/8/layout/cycle1"/>
    <dgm:cxn modelId="{F79BCCCA-EF5F-4F72-A769-24F6A8871DE8}" type="presParOf" srcId="{2C912B3B-C24F-406E-96F3-D6B51222D6F8}" destId="{1B5BC1FB-F9E6-45DF-B218-D83CC699B2A3}" srcOrd="2" destOrd="0" presId="urn:microsoft.com/office/officeart/2005/8/layout/cycle1"/>
    <dgm:cxn modelId="{829CAB91-C121-4A8F-818C-BAFD7714C166}" type="presParOf" srcId="{2C912B3B-C24F-406E-96F3-D6B51222D6F8}" destId="{583532F1-7F69-44D3-B0C7-ABA3258DA703}" srcOrd="3" destOrd="0" presId="urn:microsoft.com/office/officeart/2005/8/layout/cycle1"/>
    <dgm:cxn modelId="{9A8F7F75-C218-4F48-BC5F-4855459286A3}" type="presParOf" srcId="{2C912B3B-C24F-406E-96F3-D6B51222D6F8}" destId="{4DF3630E-9156-4781-ADE4-65D085B3C6FB}" srcOrd="4" destOrd="0" presId="urn:microsoft.com/office/officeart/2005/8/layout/cycle1"/>
    <dgm:cxn modelId="{8A6F1386-A20E-44C4-9D17-3F3770DED7BE}" type="presParOf" srcId="{2C912B3B-C24F-406E-96F3-D6B51222D6F8}" destId="{01C66C09-50A0-4F90-9BA0-D3A80A712C8E}" srcOrd="5" destOrd="0" presId="urn:microsoft.com/office/officeart/2005/8/layout/cycle1"/>
    <dgm:cxn modelId="{F84F9768-AE88-4CCE-9894-2B8ACB283014}" type="presParOf" srcId="{2C912B3B-C24F-406E-96F3-D6B51222D6F8}" destId="{2A5A3F8F-3FDA-4E06-9D69-567454EFBF06}" srcOrd="6" destOrd="0" presId="urn:microsoft.com/office/officeart/2005/8/layout/cycle1"/>
    <dgm:cxn modelId="{E3CF2450-DB74-47E2-A5B5-6BBED3F2B4E0}" type="presParOf" srcId="{2C912B3B-C24F-406E-96F3-D6B51222D6F8}" destId="{A33D2F2D-1EBE-47AE-9764-AAC78F95BE07}" srcOrd="7" destOrd="0" presId="urn:microsoft.com/office/officeart/2005/8/layout/cycle1"/>
    <dgm:cxn modelId="{4F54DE90-05C3-4092-AA2B-6A44794AA54A}" type="presParOf" srcId="{2C912B3B-C24F-406E-96F3-D6B51222D6F8}" destId="{83D08C31-9D49-48D2-A927-99BD8FEAC8A3}" srcOrd="8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3D9F366-BC75-49EE-B93C-65ECB9FBC4C9}" type="doc">
      <dgm:prSet loTypeId="urn:microsoft.com/office/officeart/2005/8/layout/cycle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3BC9C36-40E9-4AA6-8469-8B3099A5E958}">
      <dgm:prSet phldrT="[Text]" phldr="1"/>
      <dgm:spPr/>
      <dgm:t>
        <a:bodyPr/>
        <a:lstStyle/>
        <a:p>
          <a:endParaRPr lang="en-US"/>
        </a:p>
      </dgm:t>
    </dgm:pt>
    <dgm:pt modelId="{FEBDD4BF-3C58-4502-9D1A-320DF53F6124}" type="parTrans" cxnId="{10C0972F-2E00-4825-A88C-B9BB9FBC0B8C}">
      <dgm:prSet/>
      <dgm:spPr/>
      <dgm:t>
        <a:bodyPr/>
        <a:lstStyle/>
        <a:p>
          <a:endParaRPr lang="en-US"/>
        </a:p>
      </dgm:t>
    </dgm:pt>
    <dgm:pt modelId="{8B4F1768-0652-4046-8432-5982C8531173}" type="sibTrans" cxnId="{10C0972F-2E00-4825-A88C-B9BB9FBC0B8C}">
      <dgm:prSet/>
      <dgm:spPr/>
      <dgm:t>
        <a:bodyPr/>
        <a:lstStyle/>
        <a:p>
          <a:endParaRPr lang="en-US"/>
        </a:p>
      </dgm:t>
    </dgm:pt>
    <dgm:pt modelId="{52159F25-3E55-45EE-B5B9-0F96AA467915}">
      <dgm:prSet phldrT="[Text]" phldr="1"/>
      <dgm:spPr/>
      <dgm:t>
        <a:bodyPr/>
        <a:lstStyle/>
        <a:p>
          <a:endParaRPr lang="en-US"/>
        </a:p>
      </dgm:t>
    </dgm:pt>
    <dgm:pt modelId="{6F1DB171-B901-498E-A4EE-810C0BA11232}" type="parTrans" cxnId="{A36D4BF7-DB36-40A7-AB86-CE4E88B0B7AE}">
      <dgm:prSet/>
      <dgm:spPr/>
      <dgm:t>
        <a:bodyPr/>
        <a:lstStyle/>
        <a:p>
          <a:endParaRPr lang="en-US"/>
        </a:p>
      </dgm:t>
    </dgm:pt>
    <dgm:pt modelId="{E20C3003-03C5-4642-8100-7F08450D16F5}" type="sibTrans" cxnId="{A36D4BF7-DB36-40A7-AB86-CE4E88B0B7AE}">
      <dgm:prSet/>
      <dgm:spPr/>
      <dgm:t>
        <a:bodyPr/>
        <a:lstStyle/>
        <a:p>
          <a:endParaRPr lang="en-US"/>
        </a:p>
      </dgm:t>
    </dgm:pt>
    <dgm:pt modelId="{3F40AC2B-7FA8-4D76-98C4-AEEDA3139725}">
      <dgm:prSet phldrT="[Text]" phldr="1"/>
      <dgm:spPr/>
      <dgm:t>
        <a:bodyPr/>
        <a:lstStyle/>
        <a:p>
          <a:endParaRPr lang="en-US"/>
        </a:p>
      </dgm:t>
    </dgm:pt>
    <dgm:pt modelId="{8E350C92-04F1-4F8B-8EA4-D299D76B8BC7}" type="parTrans" cxnId="{EC76EBDF-7B56-465F-8C84-3F06BB3C0E96}">
      <dgm:prSet/>
      <dgm:spPr/>
      <dgm:t>
        <a:bodyPr/>
        <a:lstStyle/>
        <a:p>
          <a:endParaRPr lang="en-US"/>
        </a:p>
      </dgm:t>
    </dgm:pt>
    <dgm:pt modelId="{C898F791-9D9B-4522-998F-DFB8B006C5C8}" type="sibTrans" cxnId="{EC76EBDF-7B56-465F-8C84-3F06BB3C0E96}">
      <dgm:prSet/>
      <dgm:spPr/>
      <dgm:t>
        <a:bodyPr/>
        <a:lstStyle/>
        <a:p>
          <a:endParaRPr lang="en-US"/>
        </a:p>
      </dgm:t>
    </dgm:pt>
    <dgm:pt modelId="{4B0A9C88-2D0D-4BCC-ADDC-91B8E0102656}">
      <dgm:prSet phldrT="[Text]" phldr="1"/>
      <dgm:spPr/>
      <dgm:t>
        <a:bodyPr/>
        <a:lstStyle/>
        <a:p>
          <a:endParaRPr lang="en-US"/>
        </a:p>
      </dgm:t>
    </dgm:pt>
    <dgm:pt modelId="{FC8D0D64-5BB6-4967-902C-B84845B43428}" type="parTrans" cxnId="{3B6BBF6F-41B3-42D8-A4E3-8F61DA8D7A56}">
      <dgm:prSet/>
      <dgm:spPr/>
      <dgm:t>
        <a:bodyPr/>
        <a:lstStyle/>
        <a:p>
          <a:endParaRPr lang="en-US"/>
        </a:p>
      </dgm:t>
    </dgm:pt>
    <dgm:pt modelId="{89043F1E-38D1-4FC9-84FF-449EA6F90767}" type="sibTrans" cxnId="{3B6BBF6F-41B3-42D8-A4E3-8F61DA8D7A56}">
      <dgm:prSet/>
      <dgm:spPr>
        <a:solidFill>
          <a:srgbClr val="FF0000"/>
        </a:solidFill>
      </dgm:spPr>
      <dgm:t>
        <a:bodyPr/>
        <a:lstStyle/>
        <a:p>
          <a:endParaRPr lang="en-US"/>
        </a:p>
      </dgm:t>
    </dgm:pt>
    <dgm:pt modelId="{E021AEB5-01C7-45F6-B0B5-636FFE049D92}">
      <dgm:prSet phldrT="[Text]" phldr="1"/>
      <dgm:spPr/>
      <dgm:t>
        <a:bodyPr/>
        <a:lstStyle/>
        <a:p>
          <a:endParaRPr lang="en-US"/>
        </a:p>
      </dgm:t>
    </dgm:pt>
    <dgm:pt modelId="{1093863D-7752-4876-B213-E5C1CE625A41}" type="parTrans" cxnId="{56855167-72CB-44D1-89FF-3535BA12C695}">
      <dgm:prSet/>
      <dgm:spPr/>
      <dgm:t>
        <a:bodyPr/>
        <a:lstStyle/>
        <a:p>
          <a:endParaRPr lang="en-US"/>
        </a:p>
      </dgm:t>
    </dgm:pt>
    <dgm:pt modelId="{66FB3DA6-FC5F-4596-83F5-EC03D9ADCFFF}" type="sibTrans" cxnId="{56855167-72CB-44D1-89FF-3535BA12C695}">
      <dgm:prSet/>
      <dgm:spPr/>
      <dgm:t>
        <a:bodyPr/>
        <a:lstStyle/>
        <a:p>
          <a:endParaRPr lang="en-US"/>
        </a:p>
      </dgm:t>
    </dgm:pt>
    <dgm:pt modelId="{3134FD77-0476-493C-B678-F76940FAF491}" type="pres">
      <dgm:prSet presAssocID="{D3D9F366-BC75-49EE-B93C-65ECB9FBC4C9}" presName="cycle" presStyleCnt="0">
        <dgm:presLayoutVars>
          <dgm:dir/>
          <dgm:resizeHandles val="exact"/>
        </dgm:presLayoutVars>
      </dgm:prSet>
      <dgm:spPr/>
    </dgm:pt>
    <dgm:pt modelId="{3307347E-271D-4515-9A6F-F45FBFFBE304}" type="pres">
      <dgm:prSet presAssocID="{73BC9C36-40E9-4AA6-8469-8B3099A5E958}" presName="dummy" presStyleCnt="0"/>
      <dgm:spPr/>
    </dgm:pt>
    <dgm:pt modelId="{5CA006B5-0851-4257-91A7-AE2571473CE1}" type="pres">
      <dgm:prSet presAssocID="{73BC9C36-40E9-4AA6-8469-8B3099A5E958}" presName="node" presStyleLbl="revTx" presStyleIdx="0" presStyleCnt="5">
        <dgm:presLayoutVars>
          <dgm:bulletEnabled val="1"/>
        </dgm:presLayoutVars>
      </dgm:prSet>
      <dgm:spPr/>
    </dgm:pt>
    <dgm:pt modelId="{2E8ED0E6-955F-4DAB-8716-BCA8A25F8DC0}" type="pres">
      <dgm:prSet presAssocID="{8B4F1768-0652-4046-8432-5982C8531173}" presName="sibTrans" presStyleLbl="node1" presStyleIdx="0" presStyleCnt="5"/>
      <dgm:spPr/>
    </dgm:pt>
    <dgm:pt modelId="{21363B53-E0C5-4BD6-A7DD-423DA34218F4}" type="pres">
      <dgm:prSet presAssocID="{52159F25-3E55-45EE-B5B9-0F96AA467915}" presName="dummy" presStyleCnt="0"/>
      <dgm:spPr/>
    </dgm:pt>
    <dgm:pt modelId="{79B26F0D-38BA-4D89-A5BD-14165474D8F7}" type="pres">
      <dgm:prSet presAssocID="{52159F25-3E55-45EE-B5B9-0F96AA467915}" presName="node" presStyleLbl="revTx" presStyleIdx="1" presStyleCnt="5">
        <dgm:presLayoutVars>
          <dgm:bulletEnabled val="1"/>
        </dgm:presLayoutVars>
      </dgm:prSet>
      <dgm:spPr/>
    </dgm:pt>
    <dgm:pt modelId="{155F31E9-6EBA-47D6-A3DF-851D0053BCC1}" type="pres">
      <dgm:prSet presAssocID="{E20C3003-03C5-4642-8100-7F08450D16F5}" presName="sibTrans" presStyleLbl="node1" presStyleIdx="1" presStyleCnt="5"/>
      <dgm:spPr/>
    </dgm:pt>
    <dgm:pt modelId="{BEF80387-6247-43CF-BAB7-C5C2C7638DB7}" type="pres">
      <dgm:prSet presAssocID="{3F40AC2B-7FA8-4D76-98C4-AEEDA3139725}" presName="dummy" presStyleCnt="0"/>
      <dgm:spPr/>
    </dgm:pt>
    <dgm:pt modelId="{DF84A445-69C4-4606-8A92-35537242DCCA}" type="pres">
      <dgm:prSet presAssocID="{3F40AC2B-7FA8-4D76-98C4-AEEDA3139725}" presName="node" presStyleLbl="revTx" presStyleIdx="2" presStyleCnt="5">
        <dgm:presLayoutVars>
          <dgm:bulletEnabled val="1"/>
        </dgm:presLayoutVars>
      </dgm:prSet>
      <dgm:spPr/>
    </dgm:pt>
    <dgm:pt modelId="{1E3B7976-9957-402F-A4B1-91F1874A806F}" type="pres">
      <dgm:prSet presAssocID="{C898F791-9D9B-4522-998F-DFB8B006C5C8}" presName="sibTrans" presStyleLbl="node1" presStyleIdx="2" presStyleCnt="5"/>
      <dgm:spPr/>
    </dgm:pt>
    <dgm:pt modelId="{736E18BA-6944-4A8B-ABDD-D1280FE4CDF4}" type="pres">
      <dgm:prSet presAssocID="{4B0A9C88-2D0D-4BCC-ADDC-91B8E0102656}" presName="dummy" presStyleCnt="0"/>
      <dgm:spPr/>
    </dgm:pt>
    <dgm:pt modelId="{835DEAFA-7A19-4FA4-873F-D2F67E1000F5}" type="pres">
      <dgm:prSet presAssocID="{4B0A9C88-2D0D-4BCC-ADDC-91B8E0102656}" presName="node" presStyleLbl="revTx" presStyleIdx="3" presStyleCnt="5">
        <dgm:presLayoutVars>
          <dgm:bulletEnabled val="1"/>
        </dgm:presLayoutVars>
      </dgm:prSet>
      <dgm:spPr/>
    </dgm:pt>
    <dgm:pt modelId="{9D78B871-CF17-41DA-ADBC-643E3BEA92A4}" type="pres">
      <dgm:prSet presAssocID="{89043F1E-38D1-4FC9-84FF-449EA6F90767}" presName="sibTrans" presStyleLbl="node1" presStyleIdx="3" presStyleCnt="5" custLinFactNeighborX="-2563"/>
      <dgm:spPr/>
    </dgm:pt>
    <dgm:pt modelId="{634E2212-281F-4D04-9C19-2F8511D651B4}" type="pres">
      <dgm:prSet presAssocID="{E021AEB5-01C7-45F6-B0B5-636FFE049D92}" presName="dummy" presStyleCnt="0"/>
      <dgm:spPr/>
    </dgm:pt>
    <dgm:pt modelId="{E200247A-EB6F-442E-B1E8-11BFF1587081}" type="pres">
      <dgm:prSet presAssocID="{E021AEB5-01C7-45F6-B0B5-636FFE049D92}" presName="node" presStyleLbl="revTx" presStyleIdx="4" presStyleCnt="5">
        <dgm:presLayoutVars>
          <dgm:bulletEnabled val="1"/>
        </dgm:presLayoutVars>
      </dgm:prSet>
      <dgm:spPr/>
    </dgm:pt>
    <dgm:pt modelId="{A6054E44-4B54-47A0-AFF9-FC9572B92213}" type="pres">
      <dgm:prSet presAssocID="{66FB3DA6-FC5F-4596-83F5-EC03D9ADCFFF}" presName="sibTrans" presStyleLbl="node1" presStyleIdx="4" presStyleCnt="5"/>
      <dgm:spPr/>
    </dgm:pt>
  </dgm:ptLst>
  <dgm:cxnLst>
    <dgm:cxn modelId="{CF25C204-CD2F-49EA-BCF7-84DCA2FED814}" type="presOf" srcId="{73BC9C36-40E9-4AA6-8469-8B3099A5E958}" destId="{5CA006B5-0851-4257-91A7-AE2571473CE1}" srcOrd="0" destOrd="0" presId="urn:microsoft.com/office/officeart/2005/8/layout/cycle1"/>
    <dgm:cxn modelId="{ECA2871B-E6FD-40D5-A899-AF975632F51D}" type="presOf" srcId="{4B0A9C88-2D0D-4BCC-ADDC-91B8E0102656}" destId="{835DEAFA-7A19-4FA4-873F-D2F67E1000F5}" srcOrd="0" destOrd="0" presId="urn:microsoft.com/office/officeart/2005/8/layout/cycle1"/>
    <dgm:cxn modelId="{850F8F25-1D74-49B3-9C3B-A3036AFBDD05}" type="presOf" srcId="{52159F25-3E55-45EE-B5B9-0F96AA467915}" destId="{79B26F0D-38BA-4D89-A5BD-14165474D8F7}" srcOrd="0" destOrd="0" presId="urn:microsoft.com/office/officeart/2005/8/layout/cycle1"/>
    <dgm:cxn modelId="{10C0972F-2E00-4825-A88C-B9BB9FBC0B8C}" srcId="{D3D9F366-BC75-49EE-B93C-65ECB9FBC4C9}" destId="{73BC9C36-40E9-4AA6-8469-8B3099A5E958}" srcOrd="0" destOrd="0" parTransId="{FEBDD4BF-3C58-4502-9D1A-320DF53F6124}" sibTransId="{8B4F1768-0652-4046-8432-5982C8531173}"/>
    <dgm:cxn modelId="{55CBA33D-7FBA-4CBA-96D6-A1047AD99D8E}" type="presOf" srcId="{66FB3DA6-FC5F-4596-83F5-EC03D9ADCFFF}" destId="{A6054E44-4B54-47A0-AFF9-FC9572B92213}" srcOrd="0" destOrd="0" presId="urn:microsoft.com/office/officeart/2005/8/layout/cycle1"/>
    <dgm:cxn modelId="{56855167-72CB-44D1-89FF-3535BA12C695}" srcId="{D3D9F366-BC75-49EE-B93C-65ECB9FBC4C9}" destId="{E021AEB5-01C7-45F6-B0B5-636FFE049D92}" srcOrd="4" destOrd="0" parTransId="{1093863D-7752-4876-B213-E5C1CE625A41}" sibTransId="{66FB3DA6-FC5F-4596-83F5-EC03D9ADCFFF}"/>
    <dgm:cxn modelId="{3B6BBF6F-41B3-42D8-A4E3-8F61DA8D7A56}" srcId="{D3D9F366-BC75-49EE-B93C-65ECB9FBC4C9}" destId="{4B0A9C88-2D0D-4BCC-ADDC-91B8E0102656}" srcOrd="3" destOrd="0" parTransId="{FC8D0D64-5BB6-4967-902C-B84845B43428}" sibTransId="{89043F1E-38D1-4FC9-84FF-449EA6F90767}"/>
    <dgm:cxn modelId="{35F90853-BEBE-4A5F-A803-CB1DE8D5F30A}" type="presOf" srcId="{D3D9F366-BC75-49EE-B93C-65ECB9FBC4C9}" destId="{3134FD77-0476-493C-B678-F76940FAF491}" srcOrd="0" destOrd="0" presId="urn:microsoft.com/office/officeart/2005/8/layout/cycle1"/>
    <dgm:cxn modelId="{9B508D53-F26F-4E33-BB7D-BCB96F4EA5F6}" type="presOf" srcId="{C898F791-9D9B-4522-998F-DFB8B006C5C8}" destId="{1E3B7976-9957-402F-A4B1-91F1874A806F}" srcOrd="0" destOrd="0" presId="urn:microsoft.com/office/officeart/2005/8/layout/cycle1"/>
    <dgm:cxn modelId="{C4087A58-19BA-4823-9AC4-7C51E8D4E51E}" type="presOf" srcId="{E021AEB5-01C7-45F6-B0B5-636FFE049D92}" destId="{E200247A-EB6F-442E-B1E8-11BFF1587081}" srcOrd="0" destOrd="0" presId="urn:microsoft.com/office/officeart/2005/8/layout/cycle1"/>
    <dgm:cxn modelId="{E5037383-B710-4895-8A21-490AEF0E5B25}" type="presOf" srcId="{8B4F1768-0652-4046-8432-5982C8531173}" destId="{2E8ED0E6-955F-4DAB-8716-BCA8A25F8DC0}" srcOrd="0" destOrd="0" presId="urn:microsoft.com/office/officeart/2005/8/layout/cycle1"/>
    <dgm:cxn modelId="{0B5EF08C-6551-4967-9891-21C94BA7F856}" type="presOf" srcId="{3F40AC2B-7FA8-4D76-98C4-AEEDA3139725}" destId="{DF84A445-69C4-4606-8A92-35537242DCCA}" srcOrd="0" destOrd="0" presId="urn:microsoft.com/office/officeart/2005/8/layout/cycle1"/>
    <dgm:cxn modelId="{2C4FB696-84BC-446B-BEF2-3D53D42621AF}" type="presOf" srcId="{89043F1E-38D1-4FC9-84FF-449EA6F90767}" destId="{9D78B871-CF17-41DA-ADBC-643E3BEA92A4}" srcOrd="0" destOrd="0" presId="urn:microsoft.com/office/officeart/2005/8/layout/cycle1"/>
    <dgm:cxn modelId="{40D4E59A-90DF-49ED-9DD3-728E8ACF0C7E}" type="presOf" srcId="{E20C3003-03C5-4642-8100-7F08450D16F5}" destId="{155F31E9-6EBA-47D6-A3DF-851D0053BCC1}" srcOrd="0" destOrd="0" presId="urn:microsoft.com/office/officeart/2005/8/layout/cycle1"/>
    <dgm:cxn modelId="{EC76EBDF-7B56-465F-8C84-3F06BB3C0E96}" srcId="{D3D9F366-BC75-49EE-B93C-65ECB9FBC4C9}" destId="{3F40AC2B-7FA8-4D76-98C4-AEEDA3139725}" srcOrd="2" destOrd="0" parTransId="{8E350C92-04F1-4F8B-8EA4-D299D76B8BC7}" sibTransId="{C898F791-9D9B-4522-998F-DFB8B006C5C8}"/>
    <dgm:cxn modelId="{A36D4BF7-DB36-40A7-AB86-CE4E88B0B7AE}" srcId="{D3D9F366-BC75-49EE-B93C-65ECB9FBC4C9}" destId="{52159F25-3E55-45EE-B5B9-0F96AA467915}" srcOrd="1" destOrd="0" parTransId="{6F1DB171-B901-498E-A4EE-810C0BA11232}" sibTransId="{E20C3003-03C5-4642-8100-7F08450D16F5}"/>
    <dgm:cxn modelId="{531E2240-6A15-452B-A336-0BE6DD382797}" type="presParOf" srcId="{3134FD77-0476-493C-B678-F76940FAF491}" destId="{3307347E-271D-4515-9A6F-F45FBFFBE304}" srcOrd="0" destOrd="0" presId="urn:microsoft.com/office/officeart/2005/8/layout/cycle1"/>
    <dgm:cxn modelId="{A7928DA7-D579-47DD-804A-2533375CD5DC}" type="presParOf" srcId="{3134FD77-0476-493C-B678-F76940FAF491}" destId="{5CA006B5-0851-4257-91A7-AE2571473CE1}" srcOrd="1" destOrd="0" presId="urn:microsoft.com/office/officeart/2005/8/layout/cycle1"/>
    <dgm:cxn modelId="{1013078C-69FC-47CE-8645-BF92C5FCAD0B}" type="presParOf" srcId="{3134FD77-0476-493C-B678-F76940FAF491}" destId="{2E8ED0E6-955F-4DAB-8716-BCA8A25F8DC0}" srcOrd="2" destOrd="0" presId="urn:microsoft.com/office/officeart/2005/8/layout/cycle1"/>
    <dgm:cxn modelId="{F510FEA2-6D43-44B3-B1D8-5D1F8AAD17D0}" type="presParOf" srcId="{3134FD77-0476-493C-B678-F76940FAF491}" destId="{21363B53-E0C5-4BD6-A7DD-423DA34218F4}" srcOrd="3" destOrd="0" presId="urn:microsoft.com/office/officeart/2005/8/layout/cycle1"/>
    <dgm:cxn modelId="{96605487-BFF8-4CE0-AE88-8F62D182A6E2}" type="presParOf" srcId="{3134FD77-0476-493C-B678-F76940FAF491}" destId="{79B26F0D-38BA-4D89-A5BD-14165474D8F7}" srcOrd="4" destOrd="0" presId="urn:microsoft.com/office/officeart/2005/8/layout/cycle1"/>
    <dgm:cxn modelId="{B061898B-6903-41DA-9547-F8E9C777F424}" type="presParOf" srcId="{3134FD77-0476-493C-B678-F76940FAF491}" destId="{155F31E9-6EBA-47D6-A3DF-851D0053BCC1}" srcOrd="5" destOrd="0" presId="urn:microsoft.com/office/officeart/2005/8/layout/cycle1"/>
    <dgm:cxn modelId="{627E3988-831E-4AD0-BD55-88ED016E161C}" type="presParOf" srcId="{3134FD77-0476-493C-B678-F76940FAF491}" destId="{BEF80387-6247-43CF-BAB7-C5C2C7638DB7}" srcOrd="6" destOrd="0" presId="urn:microsoft.com/office/officeart/2005/8/layout/cycle1"/>
    <dgm:cxn modelId="{DA067D48-261B-46BB-8CBC-03307406CBFC}" type="presParOf" srcId="{3134FD77-0476-493C-B678-F76940FAF491}" destId="{DF84A445-69C4-4606-8A92-35537242DCCA}" srcOrd="7" destOrd="0" presId="urn:microsoft.com/office/officeart/2005/8/layout/cycle1"/>
    <dgm:cxn modelId="{52193326-9C30-4E99-BBF2-BD1564F40AF2}" type="presParOf" srcId="{3134FD77-0476-493C-B678-F76940FAF491}" destId="{1E3B7976-9957-402F-A4B1-91F1874A806F}" srcOrd="8" destOrd="0" presId="urn:microsoft.com/office/officeart/2005/8/layout/cycle1"/>
    <dgm:cxn modelId="{1CD77032-753D-4B32-AA9F-557FDB284AF1}" type="presParOf" srcId="{3134FD77-0476-493C-B678-F76940FAF491}" destId="{736E18BA-6944-4A8B-ABDD-D1280FE4CDF4}" srcOrd="9" destOrd="0" presId="urn:microsoft.com/office/officeart/2005/8/layout/cycle1"/>
    <dgm:cxn modelId="{2C609ECD-1E8E-4EC6-AC68-968D66594708}" type="presParOf" srcId="{3134FD77-0476-493C-B678-F76940FAF491}" destId="{835DEAFA-7A19-4FA4-873F-D2F67E1000F5}" srcOrd="10" destOrd="0" presId="urn:microsoft.com/office/officeart/2005/8/layout/cycle1"/>
    <dgm:cxn modelId="{2FB198D9-998F-4CDF-992A-FF02511D0D82}" type="presParOf" srcId="{3134FD77-0476-493C-B678-F76940FAF491}" destId="{9D78B871-CF17-41DA-ADBC-643E3BEA92A4}" srcOrd="11" destOrd="0" presId="urn:microsoft.com/office/officeart/2005/8/layout/cycle1"/>
    <dgm:cxn modelId="{AD31FCA0-B229-4409-9E58-245E044208A6}" type="presParOf" srcId="{3134FD77-0476-493C-B678-F76940FAF491}" destId="{634E2212-281F-4D04-9C19-2F8511D651B4}" srcOrd="12" destOrd="0" presId="urn:microsoft.com/office/officeart/2005/8/layout/cycle1"/>
    <dgm:cxn modelId="{5CCB3524-ED69-495D-940F-340F3867F0E0}" type="presParOf" srcId="{3134FD77-0476-493C-B678-F76940FAF491}" destId="{E200247A-EB6F-442E-B1E8-11BFF1587081}" srcOrd="13" destOrd="0" presId="urn:microsoft.com/office/officeart/2005/8/layout/cycle1"/>
    <dgm:cxn modelId="{B3266E8C-2365-414D-80CA-D55EC85B54AF}" type="presParOf" srcId="{3134FD77-0476-493C-B678-F76940FAF491}" destId="{A6054E44-4B54-47A0-AFF9-FC9572B92213}" srcOrd="14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Lake Park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SpringDale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Wood Valley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1BFB581B-411B-44CB-A725-BB73F6894FF3}" type="presOf" srcId="{2AC3C230-3115-4834-A086-15D3B2BDA08B}" destId="{82348706-F993-41DA-9C50-4CDD74B5549F}" srcOrd="0" destOrd="0" presId="urn:microsoft.com/office/officeart/2005/8/layout/cycle2"/>
    <dgm:cxn modelId="{E929252A-2CF7-4BCB-89CA-2FADF150DBE3}" type="presOf" srcId="{4543E7F1-95C9-406F-B870-2B2B6C54CE02}" destId="{C53CF10B-9C0B-4EA5-868E-0B4335FBFFDE}" srcOrd="0" destOrd="0" presId="urn:microsoft.com/office/officeart/2005/8/layout/cycle2"/>
    <dgm:cxn modelId="{B005402A-5283-4930-A6B2-37BCDB87DA6E}" type="presOf" srcId="{2AC3C230-3115-4834-A086-15D3B2BDA08B}" destId="{D5F493BA-9B9B-4305-9254-1DCA276FB5C8}" srcOrd="1" destOrd="0" presId="urn:microsoft.com/office/officeart/2005/8/layout/cycle2"/>
    <dgm:cxn modelId="{F54F8336-0ABD-4887-A71F-EAE8AA990D7F}" type="presOf" srcId="{2FFA9AC0-14FD-4A9D-ACB3-8C0DE9E9F8F6}" destId="{73E88AB9-A502-48F2-BD3F-251F51A4C655}" srcOrd="0" destOrd="0" presId="urn:microsoft.com/office/officeart/2005/8/layout/cycle2"/>
    <dgm:cxn modelId="{92BBC83A-1BA2-4D2A-8169-9452D1B2374A}" type="presOf" srcId="{4543E7F1-95C9-406F-B870-2B2B6C54CE02}" destId="{F7BCCFD4-2451-4756-A473-EAAE826906D6}" srcOrd="1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04F2E345-5F02-4465-9AB4-2C6E77D23516}" type="presOf" srcId="{C850B81E-2DA1-44AA-9F46-9D4AD40D3DC8}" destId="{40B3EE79-D9CD-48C0-8F46-0A15E6207B35}" srcOrd="1" destOrd="0" presId="urn:microsoft.com/office/officeart/2005/8/layout/cycle2"/>
    <dgm:cxn modelId="{E4D1AA8B-F7AF-457A-BD35-2FFF1C534594}" type="presOf" srcId="{C850B81E-2DA1-44AA-9F46-9D4AD40D3DC8}" destId="{FF2C809F-2F95-4563-AE08-29E43DCD002E}" srcOrd="0" destOrd="0" presId="urn:microsoft.com/office/officeart/2005/8/layout/cycle2"/>
    <dgm:cxn modelId="{E3A9B6A4-7E90-4B1D-94D6-CB93577C30B8}" type="presOf" srcId="{F7E91F08-FAA0-47B7-8226-838647EB6D65}" destId="{5ACEB4C0-7214-48A6-9D09-659772B32F4B}" srcOrd="0" destOrd="0" presId="urn:microsoft.com/office/officeart/2005/8/layout/cycle2"/>
    <dgm:cxn modelId="{28CD2EC9-3A02-48CD-8464-18EC104BF34C}" type="presOf" srcId="{BF602647-F4F1-49A0-BA97-A1DDB89C5B55}" destId="{92EE2DA5-962A-4A66-9CC3-42EEE18702A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93168D8-C1F4-4C41-81A4-CEC6CA9C1717}" type="presOf" srcId="{7C67D0D7-564D-4C63-8509-56ADEEC9318C}" destId="{F3A8C9F1-7DF6-4E3F-ADD1-B2D82E0940E5}" srcOrd="0" destOrd="0" presId="urn:microsoft.com/office/officeart/2005/8/layout/cycle2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350FD23C-ACC7-42B8-A698-43C8A2D8D10E}" type="presParOf" srcId="{73E88AB9-A502-48F2-BD3F-251F51A4C655}" destId="{92EE2DA5-962A-4A66-9CC3-42EEE18702A5}" srcOrd="0" destOrd="0" presId="urn:microsoft.com/office/officeart/2005/8/layout/cycle2"/>
    <dgm:cxn modelId="{FBFF30BE-9695-4018-974A-3CC63BA5EDD2}" type="presParOf" srcId="{73E88AB9-A502-48F2-BD3F-251F51A4C655}" destId="{C53CF10B-9C0B-4EA5-868E-0B4335FBFFDE}" srcOrd="1" destOrd="0" presId="urn:microsoft.com/office/officeart/2005/8/layout/cycle2"/>
    <dgm:cxn modelId="{EE1096B6-13B4-4AEA-AD01-8C16B610B9EA}" type="presParOf" srcId="{C53CF10B-9C0B-4EA5-868E-0B4335FBFFDE}" destId="{F7BCCFD4-2451-4756-A473-EAAE826906D6}" srcOrd="0" destOrd="0" presId="urn:microsoft.com/office/officeart/2005/8/layout/cycle2"/>
    <dgm:cxn modelId="{511E5173-A02B-4F7A-B467-43C4C797FFB5}" type="presParOf" srcId="{73E88AB9-A502-48F2-BD3F-251F51A4C655}" destId="{5ACEB4C0-7214-48A6-9D09-659772B32F4B}" srcOrd="2" destOrd="0" presId="urn:microsoft.com/office/officeart/2005/8/layout/cycle2"/>
    <dgm:cxn modelId="{1E539367-D6A2-4EA2-9DB9-2A13B0B85C2E}" type="presParOf" srcId="{73E88AB9-A502-48F2-BD3F-251F51A4C655}" destId="{82348706-F993-41DA-9C50-4CDD74B5549F}" srcOrd="3" destOrd="0" presId="urn:microsoft.com/office/officeart/2005/8/layout/cycle2"/>
    <dgm:cxn modelId="{F0EBCD61-6F94-4075-8125-E3EF59870B6B}" type="presParOf" srcId="{82348706-F993-41DA-9C50-4CDD74B5549F}" destId="{D5F493BA-9B9B-4305-9254-1DCA276FB5C8}" srcOrd="0" destOrd="0" presId="urn:microsoft.com/office/officeart/2005/8/layout/cycle2"/>
    <dgm:cxn modelId="{CB57B05E-B2FA-4595-96F4-7BA77B2FF8E9}" type="presParOf" srcId="{73E88AB9-A502-48F2-BD3F-251F51A4C655}" destId="{F3A8C9F1-7DF6-4E3F-ADD1-B2D82E0940E5}" srcOrd="4" destOrd="0" presId="urn:microsoft.com/office/officeart/2005/8/layout/cycle2"/>
    <dgm:cxn modelId="{4DFC7E88-B2DA-49AF-86A3-0679A8FC5A28}" type="presParOf" srcId="{73E88AB9-A502-48F2-BD3F-251F51A4C655}" destId="{FF2C809F-2F95-4563-AE08-29E43DCD002E}" srcOrd="5" destOrd="0" presId="urn:microsoft.com/office/officeart/2005/8/layout/cycle2"/>
    <dgm:cxn modelId="{A6BA3955-46FC-4E72-B139-334B39365FA4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Brookstone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Highcroft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Glenridge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21386725-ACCE-4C01-8A95-CEB2C9E0C172}" type="presOf" srcId="{F7E91F08-FAA0-47B7-8226-838647EB6D65}" destId="{5ACEB4C0-7214-48A6-9D09-659772B32F4B}" srcOrd="0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BA77D964-36F3-4CD8-A798-B5D36E48B4D6}" type="presOf" srcId="{2AC3C230-3115-4834-A086-15D3B2BDA08B}" destId="{D5F493BA-9B9B-4305-9254-1DCA276FB5C8}" srcOrd="1" destOrd="0" presId="urn:microsoft.com/office/officeart/2005/8/layout/cycle2"/>
    <dgm:cxn modelId="{3011D849-AAFE-435B-A4F9-A388628AEE7E}" type="presOf" srcId="{4543E7F1-95C9-406F-B870-2B2B6C54CE02}" destId="{F7BCCFD4-2451-4756-A473-EAAE826906D6}" srcOrd="1" destOrd="0" presId="urn:microsoft.com/office/officeart/2005/8/layout/cycle2"/>
    <dgm:cxn modelId="{BC8D574F-F87A-4F66-8620-D800FC4C3AFC}" type="presOf" srcId="{4543E7F1-95C9-406F-B870-2B2B6C54CE02}" destId="{C53CF10B-9C0B-4EA5-868E-0B4335FBFFDE}" srcOrd="0" destOrd="0" presId="urn:microsoft.com/office/officeart/2005/8/layout/cycle2"/>
    <dgm:cxn modelId="{AE020057-1E6D-4AD2-B5C9-DC468F9DCE61}" type="presOf" srcId="{C850B81E-2DA1-44AA-9F46-9D4AD40D3DC8}" destId="{40B3EE79-D9CD-48C0-8F46-0A15E6207B35}" srcOrd="1" destOrd="0" presId="urn:microsoft.com/office/officeart/2005/8/layout/cycle2"/>
    <dgm:cxn modelId="{EB00E091-2438-4E4A-B24A-AA3666BA5196}" type="presOf" srcId="{C850B81E-2DA1-44AA-9F46-9D4AD40D3DC8}" destId="{FF2C809F-2F95-4563-AE08-29E43DCD002E}" srcOrd="0" destOrd="0" presId="urn:microsoft.com/office/officeart/2005/8/layout/cycle2"/>
    <dgm:cxn modelId="{3AF929B2-0505-48B1-9FEB-A3E01A8DD25B}" type="presOf" srcId="{BF602647-F4F1-49A0-BA97-A1DDB89C5B55}" destId="{92EE2DA5-962A-4A66-9CC3-42EEE18702A5}" srcOrd="0" destOrd="0" presId="urn:microsoft.com/office/officeart/2005/8/layout/cycle2"/>
    <dgm:cxn modelId="{86587CB9-7943-4D94-92EC-FCCF17D73ABF}" type="presOf" srcId="{7C67D0D7-564D-4C63-8509-56ADEEC9318C}" destId="{F3A8C9F1-7DF6-4E3F-ADD1-B2D82E0940E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95FFFDEE-0A23-4B81-B82C-78006AACC664}" type="presOf" srcId="{2AC3C230-3115-4834-A086-15D3B2BDA08B}" destId="{82348706-F993-41DA-9C50-4CDD74B5549F}" srcOrd="0" destOrd="0" presId="urn:microsoft.com/office/officeart/2005/8/layout/cycle2"/>
    <dgm:cxn modelId="{1F1269EF-2D2B-44B7-970B-BDF59DA8F77B}" type="presOf" srcId="{2FFA9AC0-14FD-4A9D-ACB3-8C0DE9E9F8F6}" destId="{73E88AB9-A502-48F2-BD3F-251F51A4C655}" srcOrd="0" destOrd="0" presId="urn:microsoft.com/office/officeart/2005/8/layout/cycle2"/>
    <dgm:cxn modelId="{BA2FB92B-B4BA-4469-A9EB-E1FA8ED8BAA3}" type="presParOf" srcId="{73E88AB9-A502-48F2-BD3F-251F51A4C655}" destId="{92EE2DA5-962A-4A66-9CC3-42EEE18702A5}" srcOrd="0" destOrd="0" presId="urn:microsoft.com/office/officeart/2005/8/layout/cycle2"/>
    <dgm:cxn modelId="{2B84C7A2-0518-49A4-BC66-6A4AEFABFB61}" type="presParOf" srcId="{73E88AB9-A502-48F2-BD3F-251F51A4C655}" destId="{C53CF10B-9C0B-4EA5-868E-0B4335FBFFDE}" srcOrd="1" destOrd="0" presId="urn:microsoft.com/office/officeart/2005/8/layout/cycle2"/>
    <dgm:cxn modelId="{0192936B-36C1-4478-991C-C76842AEF44B}" type="presParOf" srcId="{C53CF10B-9C0B-4EA5-868E-0B4335FBFFDE}" destId="{F7BCCFD4-2451-4756-A473-EAAE826906D6}" srcOrd="0" destOrd="0" presId="urn:microsoft.com/office/officeart/2005/8/layout/cycle2"/>
    <dgm:cxn modelId="{2E4245AF-25EB-4A77-91E3-2B99C5EAEC01}" type="presParOf" srcId="{73E88AB9-A502-48F2-BD3F-251F51A4C655}" destId="{5ACEB4C0-7214-48A6-9D09-659772B32F4B}" srcOrd="2" destOrd="0" presId="urn:microsoft.com/office/officeart/2005/8/layout/cycle2"/>
    <dgm:cxn modelId="{80B54CC7-CCED-4932-ADA2-57A66A5B1098}" type="presParOf" srcId="{73E88AB9-A502-48F2-BD3F-251F51A4C655}" destId="{82348706-F993-41DA-9C50-4CDD74B5549F}" srcOrd="3" destOrd="0" presId="urn:microsoft.com/office/officeart/2005/8/layout/cycle2"/>
    <dgm:cxn modelId="{1C1CCCB7-6D13-46AA-9B73-E6652AC75087}" type="presParOf" srcId="{82348706-F993-41DA-9C50-4CDD74B5549F}" destId="{D5F493BA-9B9B-4305-9254-1DCA276FB5C8}" srcOrd="0" destOrd="0" presId="urn:microsoft.com/office/officeart/2005/8/layout/cycle2"/>
    <dgm:cxn modelId="{9FA19F6C-5DDF-4623-9E64-A081C99A8096}" type="presParOf" srcId="{73E88AB9-A502-48F2-BD3F-251F51A4C655}" destId="{F3A8C9F1-7DF6-4E3F-ADD1-B2D82E0940E5}" srcOrd="4" destOrd="0" presId="urn:microsoft.com/office/officeart/2005/8/layout/cycle2"/>
    <dgm:cxn modelId="{417DABF5-8D07-45E0-B549-01BD052F2318}" type="presParOf" srcId="{73E88AB9-A502-48F2-BD3F-251F51A4C655}" destId="{FF2C809F-2F95-4563-AE08-29E43DCD002E}" srcOrd="5" destOrd="0" presId="urn:microsoft.com/office/officeart/2005/8/layout/cycle2"/>
    <dgm:cxn modelId="{9E67B04A-5BF8-4BC9-8011-727EA02C034A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0EA55C8-4626-4D97-82E9-289295A74861}">
      <dsp:nvSpPr>
        <dsp:cNvPr id="0" name=""/>
        <dsp:cNvSpPr/>
      </dsp:nvSpPr>
      <dsp:spPr>
        <a:xfrm>
          <a:off x="2741650" y="400850"/>
          <a:ext cx="1014484" cy="1014484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JCC </a:t>
          </a:r>
          <a:r>
            <a:rPr lang="en-US" sz="2000" kern="1200">
              <a:solidFill>
                <a:srgbClr val="FF0000"/>
              </a:solidFill>
            </a:rPr>
            <a:t>(+14)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COPD: JCC +49 over Oak Park</a:t>
          </a:r>
        </a:p>
      </dsp:txBody>
      <dsp:txXfrm>
        <a:off x="2741650" y="400850"/>
        <a:ext cx="1014484" cy="1014484"/>
      </dsp:txXfrm>
    </dsp:sp>
    <dsp:sp modelId="{1B5BC1FB-F9E6-45DF-B218-D83CC699B2A3}">
      <dsp:nvSpPr>
        <dsp:cNvPr id="0" name=""/>
        <dsp:cNvSpPr/>
      </dsp:nvSpPr>
      <dsp:spPr>
        <a:xfrm>
          <a:off x="1107945" y="10491"/>
          <a:ext cx="2396462" cy="2396462"/>
        </a:xfrm>
        <a:prstGeom prst="circularArrow">
          <a:avLst>
            <a:gd name="adj1" fmla="val 8255"/>
            <a:gd name="adj2" fmla="val 576662"/>
            <a:gd name="adj3" fmla="val 2646692"/>
            <a:gd name="adj4" fmla="val 727304"/>
            <a:gd name="adj5" fmla="val 963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DF3630E-9156-4781-ADE4-65D085B3C6FB}">
      <dsp:nvSpPr>
        <dsp:cNvPr id="0" name=""/>
        <dsp:cNvSpPr/>
      </dsp:nvSpPr>
      <dsp:spPr>
        <a:xfrm>
          <a:off x="1755818" y="1673964"/>
          <a:ext cx="1132540" cy="1014484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Crabtree (+37)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Crab +135.6 over JCC</a:t>
          </a:r>
        </a:p>
      </dsp:txBody>
      <dsp:txXfrm>
        <a:off x="1755818" y="1673964"/>
        <a:ext cx="1132540" cy="1014484"/>
      </dsp:txXfrm>
    </dsp:sp>
    <dsp:sp modelId="{01C66C09-50A0-4F90-9BA0-D3A80A712C8E}">
      <dsp:nvSpPr>
        <dsp:cNvPr id="0" name=""/>
        <dsp:cNvSpPr/>
      </dsp:nvSpPr>
      <dsp:spPr>
        <a:xfrm>
          <a:off x="1186151" y="46717"/>
          <a:ext cx="2396462" cy="2396462"/>
        </a:xfrm>
        <a:prstGeom prst="circularArrow">
          <a:avLst>
            <a:gd name="adj1" fmla="val 8255"/>
            <a:gd name="adj2" fmla="val 576662"/>
            <a:gd name="adj3" fmla="val 9738284"/>
            <a:gd name="adj4" fmla="val 7782306"/>
            <a:gd name="adj5" fmla="val 963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33D2F2D-1EBE-47AE-9764-AAC78F95BE07}">
      <dsp:nvSpPr>
        <dsp:cNvPr id="0" name=""/>
        <dsp:cNvSpPr/>
      </dsp:nvSpPr>
      <dsp:spPr>
        <a:xfrm>
          <a:off x="873581" y="368831"/>
          <a:ext cx="1150131" cy="1014484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Oak Park (+23)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Oak Park </a:t>
          </a:r>
          <a:r>
            <a:rPr lang="en-US" sz="1200" kern="1200">
              <a:solidFill>
                <a:srgbClr val="FF0000"/>
              </a:solidFill>
            </a:rPr>
            <a:t>+7.4 </a:t>
          </a:r>
          <a:r>
            <a:rPr lang="en-US" sz="1200" kern="1200"/>
            <a:t>over Crab</a:t>
          </a:r>
        </a:p>
      </dsp:txBody>
      <dsp:txXfrm>
        <a:off x="873581" y="368831"/>
        <a:ext cx="1150131" cy="1014484"/>
      </dsp:txXfrm>
    </dsp:sp>
    <dsp:sp modelId="{83D08C31-9D49-48D2-A927-99BD8FEAC8A3}">
      <dsp:nvSpPr>
        <dsp:cNvPr id="0" name=""/>
        <dsp:cNvSpPr/>
      </dsp:nvSpPr>
      <dsp:spPr>
        <a:xfrm>
          <a:off x="1161609" y="39464"/>
          <a:ext cx="2396462" cy="2396462"/>
        </a:xfrm>
        <a:prstGeom prst="circularArrow">
          <a:avLst>
            <a:gd name="adj1" fmla="val 8255"/>
            <a:gd name="adj2" fmla="val 576662"/>
            <a:gd name="adj3" fmla="val 17527238"/>
            <a:gd name="adj4" fmla="val 14520842"/>
            <a:gd name="adj5" fmla="val 963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CA006B5-0851-4257-91A7-AE2571473CE1}">
      <dsp:nvSpPr>
        <dsp:cNvPr id="0" name=""/>
        <dsp:cNvSpPr/>
      </dsp:nvSpPr>
      <dsp:spPr>
        <a:xfrm>
          <a:off x="5134272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134272" y="27795"/>
        <a:ext cx="958825" cy="958825"/>
      </dsp:txXfrm>
    </dsp:sp>
    <dsp:sp modelId="{2E8ED0E6-955F-4DAB-8716-BCA8A25F8DC0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21294179"/>
            <a:gd name="adj4" fmla="val 1976541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9B26F0D-38BA-4D89-A5BD-14165474D8F7}">
      <dsp:nvSpPr>
        <dsp:cNvPr id="0" name=""/>
        <dsp:cNvSpPr/>
      </dsp:nvSpPr>
      <dsp:spPr>
        <a:xfrm>
          <a:off x="571415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714156" y="1812493"/>
        <a:ext cx="958825" cy="958825"/>
      </dsp:txXfrm>
    </dsp:sp>
    <dsp:sp modelId="{155F31E9-6EBA-47D6-A3DF-851D0053BCC1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4015669"/>
            <a:gd name="adj4" fmla="val 2252541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F84A445-69C4-4606-8A92-35537242DCCA}">
      <dsp:nvSpPr>
        <dsp:cNvPr id="0" name=""/>
        <dsp:cNvSpPr/>
      </dsp:nvSpPr>
      <dsp:spPr>
        <a:xfrm>
          <a:off x="4196001" y="2915497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4196001" y="2915497"/>
        <a:ext cx="958825" cy="958825"/>
      </dsp:txXfrm>
    </dsp:sp>
    <dsp:sp modelId="{1E3B7976-9957-402F-A4B1-91F1874A806F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8211776"/>
            <a:gd name="adj4" fmla="val 644864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35DEAFA-7A19-4FA4-873F-D2F67E1000F5}">
      <dsp:nvSpPr>
        <dsp:cNvPr id="0" name=""/>
        <dsp:cNvSpPr/>
      </dsp:nvSpPr>
      <dsp:spPr>
        <a:xfrm>
          <a:off x="267784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2677846" y="1812493"/>
        <a:ext cx="958825" cy="958825"/>
      </dsp:txXfrm>
    </dsp:sp>
    <dsp:sp modelId="{9D78B871-CF17-41DA-ADBC-643E3BEA92A4}">
      <dsp:nvSpPr>
        <dsp:cNvPr id="0" name=""/>
        <dsp:cNvSpPr/>
      </dsp:nvSpPr>
      <dsp:spPr>
        <a:xfrm>
          <a:off x="2784371" y="-207"/>
          <a:ext cx="3597668" cy="3597668"/>
        </a:xfrm>
        <a:prstGeom prst="circularArrow">
          <a:avLst>
            <a:gd name="adj1" fmla="val 5197"/>
            <a:gd name="adj2" fmla="val 335683"/>
            <a:gd name="adj3" fmla="val 12298899"/>
            <a:gd name="adj4" fmla="val 10770138"/>
            <a:gd name="adj5" fmla="val 6063"/>
          </a:avLst>
        </a:prstGeom>
        <a:solidFill>
          <a:srgbClr val="FF000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200247A-EB6F-442E-B1E8-11BFF1587081}">
      <dsp:nvSpPr>
        <dsp:cNvPr id="0" name=""/>
        <dsp:cNvSpPr/>
      </dsp:nvSpPr>
      <dsp:spPr>
        <a:xfrm>
          <a:off x="3257730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3257730" y="27795"/>
        <a:ext cx="958825" cy="958825"/>
      </dsp:txXfrm>
    </dsp:sp>
    <dsp:sp modelId="{A6054E44-4B54-47A0-AFF9-FC9572B92213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16866655"/>
            <a:gd name="adj4" fmla="val 15197662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Lake Park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SpringDale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Wood Valley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166525" y="759207"/>
        <a:ext cx="129811" cy="140885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Brookstone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Highcroft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Glenridge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66525" y="759207"/>
        <a:ext cx="129811" cy="14088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3.xml"/><Relationship Id="rId7" Type="http://schemas.openxmlformats.org/officeDocument/2006/relationships/diagramLayout" Target="../diagrams/layout4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diagramData" Target="../diagrams/data4.xml"/><Relationship Id="rId5" Type="http://schemas.microsoft.com/office/2007/relationships/diagramDrawing" Target="../diagrams/drawing3.xml"/><Relationship Id="rId10" Type="http://schemas.microsoft.com/office/2007/relationships/diagramDrawing" Target="../diagrams/drawing4.xml"/><Relationship Id="rId4" Type="http://schemas.openxmlformats.org/officeDocument/2006/relationships/diagramColors" Target="../diagrams/colors3.xml"/><Relationship Id="rId9" Type="http://schemas.openxmlformats.org/officeDocument/2006/relationships/diagramColors" Target="../diagrams/colors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158115</xdr:colOff>
      <xdr:row>0</xdr:row>
      <xdr:rowOff>0</xdr:rowOff>
    </xdr:from>
    <xdr:to>
      <xdr:col>18</xdr:col>
      <xdr:colOff>6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215640" y="0"/>
          <a:ext cx="71819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  <xdr:twoCellAnchor>
    <xdr:from>
      <xdr:col>14</xdr:col>
      <xdr:colOff>28575</xdr:colOff>
      <xdr:row>0</xdr:row>
      <xdr:rowOff>0</xdr:rowOff>
    </xdr:from>
    <xdr:to>
      <xdr:col>18</xdr:col>
      <xdr:colOff>205701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086100" y="0"/>
          <a:ext cx="104390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1</xdr:row>
      <xdr:rowOff>81643</xdr:rowOff>
    </xdr:from>
    <xdr:to>
      <xdr:col>8</xdr:col>
      <xdr:colOff>511628</xdr:colOff>
      <xdr:row>11</xdr:row>
      <xdr:rowOff>103415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0538122-AF04-4CDA-A42A-66DA94078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20</xdr:col>
      <xdr:colOff>315686</xdr:colOff>
      <xdr:row>1</xdr:row>
      <xdr:rowOff>0</xdr:rowOff>
    </xdr:from>
    <xdr:to>
      <xdr:col>35</xdr:col>
      <xdr:colOff>522514</xdr:colOff>
      <xdr:row>15</xdr:row>
      <xdr:rowOff>141514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A8CB381-7858-4D37-93C7-FBCC80A1F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76200</xdr:rowOff>
    </xdr:from>
    <xdr:to>
      <xdr:col>2</xdr:col>
      <xdr:colOff>171451</xdr:colOff>
      <xdr:row>7</xdr:row>
      <xdr:rowOff>76200</xdr:rowOff>
    </xdr:to>
    <xdr:sp macro="" textlink="">
      <xdr:nvSpPr>
        <xdr:cNvPr id="2" name="Curved Right Arrow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001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7</xdr:row>
      <xdr:rowOff>104775</xdr:rowOff>
    </xdr:from>
    <xdr:to>
      <xdr:col>2</xdr:col>
      <xdr:colOff>171451</xdr:colOff>
      <xdr:row>9</xdr:row>
      <xdr:rowOff>104775</xdr:rowOff>
    </xdr:to>
    <xdr:sp macro="" textlink="">
      <xdr:nvSpPr>
        <xdr:cNvPr id="3" name="Curved Right Arrow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0001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5</xdr:row>
      <xdr:rowOff>76200</xdr:rowOff>
    </xdr:from>
    <xdr:to>
      <xdr:col>5</xdr:col>
      <xdr:colOff>171451</xdr:colOff>
      <xdr:row>7</xdr:row>
      <xdr:rowOff>76200</xdr:rowOff>
    </xdr:to>
    <xdr:sp macro="" textlink="">
      <xdr:nvSpPr>
        <xdr:cNvPr id="4" name="Curved Right Arrow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8670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7</xdr:row>
      <xdr:rowOff>104775</xdr:rowOff>
    </xdr:from>
    <xdr:to>
      <xdr:col>5</xdr:col>
      <xdr:colOff>171451</xdr:colOff>
      <xdr:row>9</xdr:row>
      <xdr:rowOff>104775</xdr:rowOff>
    </xdr:to>
    <xdr:sp macro="" textlink="">
      <xdr:nvSpPr>
        <xdr:cNvPr id="5" name="Curved Right Arrow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28670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5</xdr:row>
      <xdr:rowOff>85725</xdr:rowOff>
    </xdr:from>
    <xdr:to>
      <xdr:col>8</xdr:col>
      <xdr:colOff>180976</xdr:colOff>
      <xdr:row>7</xdr:row>
      <xdr:rowOff>85725</xdr:rowOff>
    </xdr:to>
    <xdr:sp macro="" textlink="">
      <xdr:nvSpPr>
        <xdr:cNvPr id="6" name="Curved Right Arrow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743450" y="14859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7</xdr:row>
      <xdr:rowOff>114300</xdr:rowOff>
    </xdr:from>
    <xdr:to>
      <xdr:col>8</xdr:col>
      <xdr:colOff>180976</xdr:colOff>
      <xdr:row>9</xdr:row>
      <xdr:rowOff>114300</xdr:rowOff>
    </xdr:to>
    <xdr:sp macro="" textlink="">
      <xdr:nvSpPr>
        <xdr:cNvPr id="7" name="Curved Right Arrow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743450" y="18383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5</xdr:row>
      <xdr:rowOff>66675</xdr:rowOff>
    </xdr:from>
    <xdr:to>
      <xdr:col>11</xdr:col>
      <xdr:colOff>180976</xdr:colOff>
      <xdr:row>7</xdr:row>
      <xdr:rowOff>66675</xdr:rowOff>
    </xdr:to>
    <xdr:sp macro="" textlink="">
      <xdr:nvSpPr>
        <xdr:cNvPr id="8" name="Curved Right Arrow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6610350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7</xdr:row>
      <xdr:rowOff>95250</xdr:rowOff>
    </xdr:from>
    <xdr:to>
      <xdr:col>11</xdr:col>
      <xdr:colOff>180976</xdr:colOff>
      <xdr:row>9</xdr:row>
      <xdr:rowOff>95250</xdr:rowOff>
    </xdr:to>
    <xdr:sp macro="" textlink="">
      <xdr:nvSpPr>
        <xdr:cNvPr id="9" name="Curved Right Arrow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6610350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5</xdr:row>
      <xdr:rowOff>66675</xdr:rowOff>
    </xdr:from>
    <xdr:to>
      <xdr:col>14</xdr:col>
      <xdr:colOff>171451</xdr:colOff>
      <xdr:row>7</xdr:row>
      <xdr:rowOff>66675</xdr:rowOff>
    </xdr:to>
    <xdr:sp macro="" textlink="">
      <xdr:nvSpPr>
        <xdr:cNvPr id="10" name="Curved Right Arrow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850582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7</xdr:row>
      <xdr:rowOff>95250</xdr:rowOff>
    </xdr:from>
    <xdr:to>
      <xdr:col>14</xdr:col>
      <xdr:colOff>171451</xdr:colOff>
      <xdr:row>9</xdr:row>
      <xdr:rowOff>95250</xdr:rowOff>
    </xdr:to>
    <xdr:sp macro="" textlink="">
      <xdr:nvSpPr>
        <xdr:cNvPr id="11" name="Curved Right Arrow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850582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5</xdr:row>
      <xdr:rowOff>66675</xdr:rowOff>
    </xdr:from>
    <xdr:to>
      <xdr:col>17</xdr:col>
      <xdr:colOff>171451</xdr:colOff>
      <xdr:row>7</xdr:row>
      <xdr:rowOff>66675</xdr:rowOff>
    </xdr:to>
    <xdr:sp macro="" textlink="">
      <xdr:nvSpPr>
        <xdr:cNvPr id="14" name="Curved Right Arrow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027747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7</xdr:row>
      <xdr:rowOff>95250</xdr:rowOff>
    </xdr:from>
    <xdr:to>
      <xdr:col>17</xdr:col>
      <xdr:colOff>171451</xdr:colOff>
      <xdr:row>9</xdr:row>
      <xdr:rowOff>95250</xdr:rowOff>
    </xdr:to>
    <xdr:sp macro="" textlink="">
      <xdr:nvSpPr>
        <xdr:cNvPr id="15" name="Curved Right Arrow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027747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5</xdr:row>
      <xdr:rowOff>85724</xdr:rowOff>
    </xdr:from>
    <xdr:to>
      <xdr:col>1</xdr:col>
      <xdr:colOff>419100</xdr:colOff>
      <xdr:row>9</xdr:row>
      <xdr:rowOff>95249</xdr:rowOff>
    </xdr:to>
    <xdr:sp macro="" textlink="">
      <xdr:nvSpPr>
        <xdr:cNvPr id="17" name="Curved Right Arrow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590550" y="14858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5</xdr:row>
      <xdr:rowOff>85725</xdr:rowOff>
    </xdr:from>
    <xdr:to>
      <xdr:col>4</xdr:col>
      <xdr:colOff>409575</xdr:colOff>
      <xdr:row>9</xdr:row>
      <xdr:rowOff>95250</xdr:rowOff>
    </xdr:to>
    <xdr:sp macro="" textlink="">
      <xdr:nvSpPr>
        <xdr:cNvPr id="18" name="Curved Right Arrow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2447925" y="14859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209550</xdr:colOff>
      <xdr:row>5</xdr:row>
      <xdr:rowOff>76200</xdr:rowOff>
    </xdr:from>
    <xdr:to>
      <xdr:col>7</xdr:col>
      <xdr:colOff>400050</xdr:colOff>
      <xdr:row>9</xdr:row>
      <xdr:rowOff>85725</xdr:rowOff>
    </xdr:to>
    <xdr:sp macro="" textlink="">
      <xdr:nvSpPr>
        <xdr:cNvPr id="19" name="Curved Right Arrow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430530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257175</xdr:colOff>
      <xdr:row>5</xdr:row>
      <xdr:rowOff>76200</xdr:rowOff>
    </xdr:from>
    <xdr:to>
      <xdr:col>10</xdr:col>
      <xdr:colOff>447675</xdr:colOff>
      <xdr:row>9</xdr:row>
      <xdr:rowOff>85725</xdr:rowOff>
    </xdr:to>
    <xdr:sp macro="" textlink="">
      <xdr:nvSpPr>
        <xdr:cNvPr id="20" name="Curved Right Arrow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621982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238125</xdr:colOff>
      <xdr:row>5</xdr:row>
      <xdr:rowOff>76200</xdr:rowOff>
    </xdr:from>
    <xdr:to>
      <xdr:col>13</xdr:col>
      <xdr:colOff>428625</xdr:colOff>
      <xdr:row>9</xdr:row>
      <xdr:rowOff>85725</xdr:rowOff>
    </xdr:to>
    <xdr:sp macro="" textlink="">
      <xdr:nvSpPr>
        <xdr:cNvPr id="21" name="Curved Right Arrow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10577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5</xdr:row>
      <xdr:rowOff>76200</xdr:rowOff>
    </xdr:from>
    <xdr:to>
      <xdr:col>16</xdr:col>
      <xdr:colOff>438150</xdr:colOff>
      <xdr:row>9</xdr:row>
      <xdr:rowOff>85725</xdr:rowOff>
    </xdr:to>
    <xdr:sp macro="" textlink="">
      <xdr:nvSpPr>
        <xdr:cNvPr id="22" name="Curved Right Arrow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988695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</xdr:colOff>
      <xdr:row>14</xdr:row>
      <xdr:rowOff>66675</xdr:rowOff>
    </xdr:from>
    <xdr:to>
      <xdr:col>5</xdr:col>
      <xdr:colOff>285064</xdr:colOff>
      <xdr:row>24</xdr:row>
      <xdr:rowOff>49454</xdr:rowOff>
    </xdr:to>
    <xdr:graphicFrame macro="">
      <xdr:nvGraphicFramePr>
        <xdr:cNvPr id="23" name="Diagram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28575</xdr:colOff>
      <xdr:row>29</xdr:row>
      <xdr:rowOff>76200</xdr:rowOff>
    </xdr:from>
    <xdr:to>
      <xdr:col>2</xdr:col>
      <xdr:colOff>171451</xdr:colOff>
      <xdr:row>31</xdr:row>
      <xdr:rowOff>76200</xdr:rowOff>
    </xdr:to>
    <xdr:sp macro="" textlink="">
      <xdr:nvSpPr>
        <xdr:cNvPr id="24" name="Curved Right Arrow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10001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31</xdr:row>
      <xdr:rowOff>104775</xdr:rowOff>
    </xdr:from>
    <xdr:to>
      <xdr:col>2</xdr:col>
      <xdr:colOff>171451</xdr:colOff>
      <xdr:row>33</xdr:row>
      <xdr:rowOff>104775</xdr:rowOff>
    </xdr:to>
    <xdr:sp macro="" textlink="">
      <xdr:nvSpPr>
        <xdr:cNvPr id="25" name="Curved Right Arrow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10001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29</xdr:row>
      <xdr:rowOff>76200</xdr:rowOff>
    </xdr:from>
    <xdr:to>
      <xdr:col>5</xdr:col>
      <xdr:colOff>171451</xdr:colOff>
      <xdr:row>31</xdr:row>
      <xdr:rowOff>76200</xdr:rowOff>
    </xdr:to>
    <xdr:sp macro="" textlink="">
      <xdr:nvSpPr>
        <xdr:cNvPr id="26" name="Curved Right Arrow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8670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31</xdr:row>
      <xdr:rowOff>104775</xdr:rowOff>
    </xdr:from>
    <xdr:to>
      <xdr:col>5</xdr:col>
      <xdr:colOff>171451</xdr:colOff>
      <xdr:row>33</xdr:row>
      <xdr:rowOff>104775</xdr:rowOff>
    </xdr:to>
    <xdr:sp macro="" textlink="">
      <xdr:nvSpPr>
        <xdr:cNvPr id="27" name="Curved Right Arrow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28670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29</xdr:row>
      <xdr:rowOff>85725</xdr:rowOff>
    </xdr:from>
    <xdr:to>
      <xdr:col>8</xdr:col>
      <xdr:colOff>180976</xdr:colOff>
      <xdr:row>31</xdr:row>
      <xdr:rowOff>85725</xdr:rowOff>
    </xdr:to>
    <xdr:sp macro="" textlink="">
      <xdr:nvSpPr>
        <xdr:cNvPr id="28" name="Curved Right Arrow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4743450" y="8382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31</xdr:row>
      <xdr:rowOff>114300</xdr:rowOff>
    </xdr:from>
    <xdr:to>
      <xdr:col>8</xdr:col>
      <xdr:colOff>180976</xdr:colOff>
      <xdr:row>33</xdr:row>
      <xdr:rowOff>114300</xdr:rowOff>
    </xdr:to>
    <xdr:sp macro="" textlink="">
      <xdr:nvSpPr>
        <xdr:cNvPr id="29" name="Curved Right Arrow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743450" y="11906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29</xdr:row>
      <xdr:rowOff>66675</xdr:rowOff>
    </xdr:from>
    <xdr:to>
      <xdr:col>11</xdr:col>
      <xdr:colOff>180976</xdr:colOff>
      <xdr:row>31</xdr:row>
      <xdr:rowOff>66675</xdr:rowOff>
    </xdr:to>
    <xdr:sp macro="" textlink="">
      <xdr:nvSpPr>
        <xdr:cNvPr id="30" name="Curved Right Arrow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6610350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31</xdr:row>
      <xdr:rowOff>95250</xdr:rowOff>
    </xdr:from>
    <xdr:to>
      <xdr:col>11</xdr:col>
      <xdr:colOff>180976</xdr:colOff>
      <xdr:row>33</xdr:row>
      <xdr:rowOff>95250</xdr:rowOff>
    </xdr:to>
    <xdr:sp macro="" textlink="">
      <xdr:nvSpPr>
        <xdr:cNvPr id="31" name="Curved Right Arrow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6610350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29</xdr:row>
      <xdr:rowOff>66675</xdr:rowOff>
    </xdr:from>
    <xdr:to>
      <xdr:col>14</xdr:col>
      <xdr:colOff>171451</xdr:colOff>
      <xdr:row>31</xdr:row>
      <xdr:rowOff>66675</xdr:rowOff>
    </xdr:to>
    <xdr:sp macro="" textlink="">
      <xdr:nvSpPr>
        <xdr:cNvPr id="32" name="Curved Right Arrow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850582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31</xdr:row>
      <xdr:rowOff>95250</xdr:rowOff>
    </xdr:from>
    <xdr:to>
      <xdr:col>14</xdr:col>
      <xdr:colOff>171451</xdr:colOff>
      <xdr:row>33</xdr:row>
      <xdr:rowOff>95250</xdr:rowOff>
    </xdr:to>
    <xdr:sp macro="" textlink="">
      <xdr:nvSpPr>
        <xdr:cNvPr id="33" name="Curved Right Arrow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850582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29</xdr:row>
      <xdr:rowOff>66675</xdr:rowOff>
    </xdr:from>
    <xdr:to>
      <xdr:col>17</xdr:col>
      <xdr:colOff>171451</xdr:colOff>
      <xdr:row>31</xdr:row>
      <xdr:rowOff>66675</xdr:rowOff>
    </xdr:to>
    <xdr:sp macro="" textlink="">
      <xdr:nvSpPr>
        <xdr:cNvPr id="34" name="Curved Right Arrow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027747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31</xdr:row>
      <xdr:rowOff>95250</xdr:rowOff>
    </xdr:from>
    <xdr:to>
      <xdr:col>17</xdr:col>
      <xdr:colOff>171451</xdr:colOff>
      <xdr:row>33</xdr:row>
      <xdr:rowOff>95250</xdr:rowOff>
    </xdr:to>
    <xdr:sp macro="" textlink="">
      <xdr:nvSpPr>
        <xdr:cNvPr id="35" name="Curved Right Arrow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027747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29</xdr:row>
      <xdr:rowOff>85724</xdr:rowOff>
    </xdr:from>
    <xdr:to>
      <xdr:col>1</xdr:col>
      <xdr:colOff>419100</xdr:colOff>
      <xdr:row>33</xdr:row>
      <xdr:rowOff>95249</xdr:rowOff>
    </xdr:to>
    <xdr:sp macro="" textlink="">
      <xdr:nvSpPr>
        <xdr:cNvPr id="36" name="Curved Right Arrow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590550" y="8381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276225</xdr:colOff>
      <xdr:row>29</xdr:row>
      <xdr:rowOff>85725</xdr:rowOff>
    </xdr:from>
    <xdr:to>
      <xdr:col>4</xdr:col>
      <xdr:colOff>466725</xdr:colOff>
      <xdr:row>33</xdr:row>
      <xdr:rowOff>95250</xdr:rowOff>
    </xdr:to>
    <xdr:sp macro="" textlink="">
      <xdr:nvSpPr>
        <xdr:cNvPr id="37" name="Curved Right Arrow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505075" y="488632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228600</xdr:colOff>
      <xdr:row>29</xdr:row>
      <xdr:rowOff>76200</xdr:rowOff>
    </xdr:from>
    <xdr:to>
      <xdr:col>7</xdr:col>
      <xdr:colOff>419100</xdr:colOff>
      <xdr:row>33</xdr:row>
      <xdr:rowOff>85725</xdr:rowOff>
    </xdr:to>
    <xdr:sp macro="" textlink="">
      <xdr:nvSpPr>
        <xdr:cNvPr id="38" name="Curved Right Arrow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43243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228600</xdr:colOff>
      <xdr:row>29</xdr:row>
      <xdr:rowOff>76200</xdr:rowOff>
    </xdr:from>
    <xdr:to>
      <xdr:col>10</xdr:col>
      <xdr:colOff>419100</xdr:colOff>
      <xdr:row>33</xdr:row>
      <xdr:rowOff>85725</xdr:rowOff>
    </xdr:to>
    <xdr:sp macro="" textlink="">
      <xdr:nvSpPr>
        <xdr:cNvPr id="39" name="Curved Right Arrow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1912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276225</xdr:colOff>
      <xdr:row>29</xdr:row>
      <xdr:rowOff>76200</xdr:rowOff>
    </xdr:from>
    <xdr:to>
      <xdr:col>13</xdr:col>
      <xdr:colOff>466725</xdr:colOff>
      <xdr:row>33</xdr:row>
      <xdr:rowOff>85725</xdr:rowOff>
    </xdr:to>
    <xdr:sp macro="" textlink="">
      <xdr:nvSpPr>
        <xdr:cNvPr id="40" name="Curved Right Arrow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8143875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29</xdr:row>
      <xdr:rowOff>76200</xdr:rowOff>
    </xdr:from>
    <xdr:to>
      <xdr:col>16</xdr:col>
      <xdr:colOff>438150</xdr:colOff>
      <xdr:row>33</xdr:row>
      <xdr:rowOff>85725</xdr:rowOff>
    </xdr:to>
    <xdr:sp macro="" textlink="">
      <xdr:nvSpPr>
        <xdr:cNvPr id="41" name="Curved Right Arrow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9886950" y="8286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323850</xdr:colOff>
      <xdr:row>42</xdr:row>
      <xdr:rowOff>57150</xdr:rowOff>
    </xdr:from>
    <xdr:to>
      <xdr:col>5</xdr:col>
      <xdr:colOff>199339</xdr:colOff>
      <xdr:row>52</xdr:row>
      <xdr:rowOff>39929</xdr:rowOff>
    </xdr:to>
    <xdr:graphicFrame macro="">
      <xdr:nvGraphicFramePr>
        <xdr:cNvPr id="42" name="Diagram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</xdr:col>
      <xdr:colOff>1076325</xdr:colOff>
      <xdr:row>29</xdr:row>
      <xdr:rowOff>104775</xdr:rowOff>
    </xdr:from>
    <xdr:to>
      <xdr:col>2</xdr:col>
      <xdr:colOff>1209675</xdr:colOff>
      <xdr:row>33</xdr:row>
      <xdr:rowOff>114300</xdr:rowOff>
    </xdr:to>
    <xdr:sp macro="" textlink="">
      <xdr:nvSpPr>
        <xdr:cNvPr id="43" name="Curved Right Arrow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 flipH="1">
          <a:off x="20478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1057275</xdr:colOff>
      <xdr:row>29</xdr:row>
      <xdr:rowOff>95250</xdr:rowOff>
    </xdr:from>
    <xdr:to>
      <xdr:col>5</xdr:col>
      <xdr:colOff>1190625</xdr:colOff>
      <xdr:row>33</xdr:row>
      <xdr:rowOff>104775</xdr:rowOff>
    </xdr:to>
    <xdr:sp macro="" textlink="">
      <xdr:nvSpPr>
        <xdr:cNvPr id="44" name="Curved Right Arrow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 flipH="1">
          <a:off x="4381500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1057275</xdr:colOff>
      <xdr:row>29</xdr:row>
      <xdr:rowOff>95250</xdr:rowOff>
    </xdr:from>
    <xdr:to>
      <xdr:col>8</xdr:col>
      <xdr:colOff>1190625</xdr:colOff>
      <xdr:row>33</xdr:row>
      <xdr:rowOff>104775</xdr:rowOff>
    </xdr:to>
    <xdr:sp macro="" textlink="">
      <xdr:nvSpPr>
        <xdr:cNvPr id="45" name="Curved Right Arrow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 flipH="1">
          <a:off x="6734175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1047750</xdr:colOff>
      <xdr:row>29</xdr:row>
      <xdr:rowOff>76200</xdr:rowOff>
    </xdr:from>
    <xdr:to>
      <xdr:col>11</xdr:col>
      <xdr:colOff>1181100</xdr:colOff>
      <xdr:row>33</xdr:row>
      <xdr:rowOff>85725</xdr:rowOff>
    </xdr:to>
    <xdr:sp macro="" textlink="">
      <xdr:nvSpPr>
        <xdr:cNvPr id="46" name="Curved Right Arrow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 flipH="1">
          <a:off x="9077325" y="47148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962025</xdr:colOff>
      <xdr:row>29</xdr:row>
      <xdr:rowOff>104775</xdr:rowOff>
    </xdr:from>
    <xdr:to>
      <xdr:col>14</xdr:col>
      <xdr:colOff>1095375</xdr:colOff>
      <xdr:row>33</xdr:row>
      <xdr:rowOff>114300</xdr:rowOff>
    </xdr:to>
    <xdr:sp macro="" textlink="">
      <xdr:nvSpPr>
        <xdr:cNvPr id="47" name="Curved Right Arrow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 flipH="1">
          <a:off x="113823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1009650</xdr:colOff>
      <xdr:row>29</xdr:row>
      <xdr:rowOff>104775</xdr:rowOff>
    </xdr:from>
    <xdr:to>
      <xdr:col>17</xdr:col>
      <xdr:colOff>1143000</xdr:colOff>
      <xdr:row>33</xdr:row>
      <xdr:rowOff>114300</xdr:rowOff>
    </xdr:to>
    <xdr:sp macro="" textlink="">
      <xdr:nvSpPr>
        <xdr:cNvPr id="48" name="Curved Right Arrow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 flipH="1">
          <a:off x="1368742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1019175</xdr:colOff>
      <xdr:row>5</xdr:row>
      <xdr:rowOff>104775</xdr:rowOff>
    </xdr:from>
    <xdr:to>
      <xdr:col>2</xdr:col>
      <xdr:colOff>1152525</xdr:colOff>
      <xdr:row>9</xdr:row>
      <xdr:rowOff>114300</xdr:rowOff>
    </xdr:to>
    <xdr:sp macro="" textlink="">
      <xdr:nvSpPr>
        <xdr:cNvPr id="49" name="Curved Right Arrow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 flipH="1">
          <a:off x="199072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1095375</xdr:colOff>
      <xdr:row>5</xdr:row>
      <xdr:rowOff>95250</xdr:rowOff>
    </xdr:from>
    <xdr:to>
      <xdr:col>5</xdr:col>
      <xdr:colOff>1228725</xdr:colOff>
      <xdr:row>9</xdr:row>
      <xdr:rowOff>104775</xdr:rowOff>
    </xdr:to>
    <xdr:sp macro="" textlink="">
      <xdr:nvSpPr>
        <xdr:cNvPr id="50" name="Curved Right Arrow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 flipH="1">
          <a:off x="423862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1114425</xdr:colOff>
      <xdr:row>5</xdr:row>
      <xdr:rowOff>114300</xdr:rowOff>
    </xdr:from>
    <xdr:to>
      <xdr:col>8</xdr:col>
      <xdr:colOff>1247775</xdr:colOff>
      <xdr:row>9</xdr:row>
      <xdr:rowOff>123825</xdr:rowOff>
    </xdr:to>
    <xdr:sp macro="" textlink="">
      <xdr:nvSpPr>
        <xdr:cNvPr id="51" name="Curved Right Arrow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 flipH="1">
          <a:off x="6429375" y="8667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1114425</xdr:colOff>
      <xdr:row>5</xdr:row>
      <xdr:rowOff>104775</xdr:rowOff>
    </xdr:from>
    <xdr:to>
      <xdr:col>11</xdr:col>
      <xdr:colOff>1247775</xdr:colOff>
      <xdr:row>9</xdr:row>
      <xdr:rowOff>114300</xdr:rowOff>
    </xdr:to>
    <xdr:sp macro="" textlink="">
      <xdr:nvSpPr>
        <xdr:cNvPr id="52" name="Curved Right Arrow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 flipH="1">
          <a:off x="860107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1038225</xdr:colOff>
      <xdr:row>5</xdr:row>
      <xdr:rowOff>95250</xdr:rowOff>
    </xdr:from>
    <xdr:to>
      <xdr:col>15</xdr:col>
      <xdr:colOff>9525</xdr:colOff>
      <xdr:row>9</xdr:row>
      <xdr:rowOff>104775</xdr:rowOff>
    </xdr:to>
    <xdr:sp macro="" textlink="">
      <xdr:nvSpPr>
        <xdr:cNvPr id="53" name="Curved Right Arrow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 flipH="1">
          <a:off x="1073467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1066800</xdr:colOff>
      <xdr:row>5</xdr:row>
      <xdr:rowOff>104775</xdr:rowOff>
    </xdr:from>
    <xdr:to>
      <xdr:col>17</xdr:col>
      <xdr:colOff>1200150</xdr:colOff>
      <xdr:row>9</xdr:row>
      <xdr:rowOff>114300</xdr:rowOff>
    </xdr:to>
    <xdr:sp macro="" textlink="">
      <xdr:nvSpPr>
        <xdr:cNvPr id="54" name="Curved Right Arrow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 flipH="1">
          <a:off x="12839700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8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G61"/>
  <sheetViews>
    <sheetView zoomScaleNormal="100" zoomScaleSheetLayoutView="100" workbookViewId="0">
      <pane xSplit="20" ySplit="3" topLeftCell="V4" activePane="bottomRight" state="frozen"/>
      <selection activeCell="BJ41" sqref="A1:BJ41"/>
      <selection pane="topRight" activeCell="BJ41" sqref="A1:BJ41"/>
      <selection pane="bottomLeft" activeCell="BJ41" sqref="A1:BJ41"/>
      <selection pane="bottomRight" activeCell="C1" sqref="C1:C1048576"/>
    </sheetView>
  </sheetViews>
  <sheetFormatPr defaultColWidth="9.140625" defaultRowHeight="12.75"/>
  <cols>
    <col min="1" max="1" width="7.140625" style="15" customWidth="1"/>
    <col min="2" max="2" width="5.5703125" style="15" customWidth="1"/>
    <col min="3" max="3" width="19" style="23" customWidth="1"/>
    <col min="4" max="4" width="3.85546875" style="23" hidden="1" customWidth="1"/>
    <col min="5" max="10" width="5.5703125" style="23" hidden="1" customWidth="1"/>
    <col min="11" max="11" width="7.7109375" style="23" hidden="1" customWidth="1"/>
    <col min="12" max="12" width="4.7109375" style="23" hidden="1" customWidth="1"/>
    <col min="13" max="13" width="4" style="21" customWidth="1"/>
    <col min="14" max="15" width="3.85546875" style="21" customWidth="1"/>
    <col min="16" max="16" width="3.85546875" style="2" customWidth="1"/>
    <col min="17" max="19" width="3.85546875" style="21" customWidth="1"/>
    <col min="20" max="20" width="3.7109375" style="15" hidden="1" customWidth="1"/>
    <col min="21" max="21" width="3.42578125" style="15" hidden="1" customWidth="1"/>
    <col min="22" max="23" width="4.140625" style="3" bestFit="1" customWidth="1"/>
    <col min="24" max="24" width="3.7109375" style="3" customWidth="1"/>
    <col min="25" max="26" width="3.7109375" style="21" customWidth="1"/>
    <col min="27" max="30" width="4.140625" style="21" bestFit="1" customWidth="1"/>
    <col min="31" max="33" width="3.5703125" style="21" bestFit="1" customWidth="1"/>
    <col min="34" max="34" width="4.140625" style="21" bestFit="1" customWidth="1"/>
    <col min="35" max="35" width="3.5703125" style="21" bestFit="1" customWidth="1"/>
    <col min="36" max="37" width="4.140625" style="21" bestFit="1" customWidth="1"/>
    <col min="38" max="46" width="3.5703125" style="21" bestFit="1" customWidth="1"/>
    <col min="47" max="49" width="4.140625" style="21" bestFit="1" customWidth="1"/>
    <col min="50" max="50" width="3.5703125" style="21" bestFit="1" customWidth="1"/>
    <col min="51" max="51" width="4.140625" style="15" bestFit="1" customWidth="1"/>
    <col min="52" max="52" width="3.5703125" style="15" bestFit="1" customWidth="1"/>
    <col min="53" max="53" width="4.140625" style="21" bestFit="1" customWidth="1"/>
    <col min="54" max="54" width="3.5703125" style="21" bestFit="1" customWidth="1"/>
    <col min="55" max="56" width="4.140625" style="15" bestFit="1" customWidth="1"/>
    <col min="57" max="57" width="4.140625" style="21" bestFit="1" customWidth="1"/>
    <col min="58" max="59" width="3.5703125" style="21" bestFit="1" customWidth="1"/>
    <col min="60" max="60" width="3.5703125" style="15" bestFit="1" customWidth="1"/>
    <col min="61" max="61" width="4.140625" style="15" bestFit="1" customWidth="1"/>
    <col min="62" max="62" width="4.140625" style="22" bestFit="1" customWidth="1"/>
    <col min="63" max="63" width="3.5703125" style="22" bestFit="1" customWidth="1"/>
    <col min="64" max="70" width="4.140625" style="22" bestFit="1" customWidth="1"/>
    <col min="71" max="71" width="3.5703125" style="22" bestFit="1" customWidth="1"/>
    <col min="72" max="72" width="4.140625" style="22" bestFit="1" customWidth="1"/>
    <col min="73" max="73" width="3.5703125" style="22" bestFit="1" customWidth="1"/>
    <col min="74" max="74" width="4.140625" style="22" bestFit="1" customWidth="1"/>
    <col min="75" max="75" width="9.85546875" style="111" bestFit="1" customWidth="1"/>
    <col min="76" max="78" width="6" style="15" customWidth="1"/>
    <col min="79" max="79" width="7.28515625" style="89" customWidth="1"/>
    <col min="80" max="82" width="9.140625" style="22"/>
    <col min="83" max="84" width="9.140625" style="15"/>
    <col min="85" max="16384" width="9.140625" style="22"/>
  </cols>
  <sheetData>
    <row r="1" spans="1:85" s="1" customFormat="1" ht="70.150000000000006" customHeight="1">
      <c r="A1" s="160">
        <f>BX55</f>
        <v>0</v>
      </c>
      <c r="C1" s="2">
        <f>SUM(V4:BV53)+SUM(North!V4:BI40)</f>
        <v>0</v>
      </c>
      <c r="E1" s="112"/>
      <c r="F1" s="3"/>
      <c r="G1" s="3"/>
      <c r="H1" s="3"/>
      <c r="I1" s="3"/>
      <c r="J1" s="3"/>
      <c r="K1" s="3"/>
      <c r="L1" s="3"/>
      <c r="M1" s="3"/>
      <c r="N1" s="192" t="s">
        <v>112</v>
      </c>
      <c r="O1" s="193"/>
      <c r="P1" s="193"/>
      <c r="Q1" s="193"/>
      <c r="R1" s="193"/>
      <c r="S1" s="193"/>
      <c r="V1" s="5" t="s">
        <v>8</v>
      </c>
      <c r="W1" s="5" t="s">
        <v>4</v>
      </c>
      <c r="X1" s="5" t="s">
        <v>62</v>
      </c>
      <c r="Y1" s="5" t="s">
        <v>21</v>
      </c>
      <c r="Z1" s="5" t="s">
        <v>96</v>
      </c>
      <c r="AA1" s="5" t="s">
        <v>15</v>
      </c>
      <c r="AB1" s="5" t="s">
        <v>18</v>
      </c>
      <c r="AC1" s="5" t="s">
        <v>25</v>
      </c>
      <c r="AD1" s="5" t="s">
        <v>10</v>
      </c>
      <c r="AE1" s="5" t="s">
        <v>78</v>
      </c>
      <c r="AF1" s="5" t="s">
        <v>11</v>
      </c>
      <c r="AG1" s="5" t="s">
        <v>20</v>
      </c>
      <c r="AH1" s="5" t="s">
        <v>12</v>
      </c>
      <c r="AI1" s="5" t="s">
        <v>19</v>
      </c>
      <c r="AJ1" s="5" t="s">
        <v>17</v>
      </c>
      <c r="AK1" s="6" t="s">
        <v>13</v>
      </c>
      <c r="AL1" s="5" t="s">
        <v>26</v>
      </c>
      <c r="AM1" s="7" t="s">
        <v>2</v>
      </c>
      <c r="AN1" s="5" t="s">
        <v>36</v>
      </c>
      <c r="AO1" s="5" t="s">
        <v>16</v>
      </c>
      <c r="AP1" s="5" t="s">
        <v>24</v>
      </c>
      <c r="AQ1" s="5" t="s">
        <v>14</v>
      </c>
      <c r="AR1" s="5" t="s">
        <v>29</v>
      </c>
      <c r="AS1" s="5" t="s">
        <v>97</v>
      </c>
      <c r="AT1" s="5" t="s">
        <v>104</v>
      </c>
      <c r="AU1" s="5" t="s">
        <v>27</v>
      </c>
      <c r="AV1" s="5" t="s">
        <v>30</v>
      </c>
      <c r="AW1" s="5" t="s">
        <v>73</v>
      </c>
      <c r="AX1" s="5" t="s">
        <v>23</v>
      </c>
      <c r="AY1" s="5" t="s">
        <v>3</v>
      </c>
      <c r="AZ1" s="5" t="s">
        <v>72</v>
      </c>
      <c r="BA1" s="5" t="s">
        <v>82</v>
      </c>
      <c r="BB1" s="5" t="s">
        <v>81</v>
      </c>
      <c r="BC1" s="5" t="s">
        <v>98</v>
      </c>
      <c r="BD1" s="5" t="s">
        <v>105</v>
      </c>
      <c r="BE1" s="5" t="s">
        <v>35</v>
      </c>
      <c r="BF1" s="5" t="s">
        <v>33</v>
      </c>
      <c r="BG1" s="5" t="s">
        <v>28</v>
      </c>
      <c r="BH1" s="5" t="s">
        <v>71</v>
      </c>
      <c r="BI1" s="5" t="s">
        <v>99</v>
      </c>
      <c r="BJ1" s="5" t="s">
        <v>37</v>
      </c>
      <c r="BK1" s="5" t="s">
        <v>22</v>
      </c>
      <c r="BL1" s="5" t="s">
        <v>95</v>
      </c>
      <c r="BM1" s="5" t="s">
        <v>38</v>
      </c>
      <c r="BN1" s="5" t="s">
        <v>113</v>
      </c>
      <c r="BO1" s="5" t="s">
        <v>34</v>
      </c>
      <c r="BP1" s="5" t="s">
        <v>31</v>
      </c>
      <c r="BQ1" s="5" t="s">
        <v>32</v>
      </c>
      <c r="BR1" s="5" t="s">
        <v>83</v>
      </c>
      <c r="BS1" s="5" t="s">
        <v>39</v>
      </c>
      <c r="BT1" s="5" t="s">
        <v>40</v>
      </c>
      <c r="BU1" s="5" t="s">
        <v>100</v>
      </c>
      <c r="BV1" s="5" t="s">
        <v>171</v>
      </c>
      <c r="BW1" s="109"/>
      <c r="BX1" s="5"/>
      <c r="CA1" s="87"/>
    </row>
    <row r="2" spans="1:85" s="11" customFormat="1">
      <c r="A2" s="12">
        <v>2020</v>
      </c>
      <c r="B2" s="12">
        <v>2019</v>
      </c>
      <c r="C2" s="9"/>
      <c r="D2" s="9"/>
      <c r="E2" s="189" t="s">
        <v>131</v>
      </c>
      <c r="F2" s="190"/>
      <c r="G2" s="190"/>
      <c r="H2" s="190"/>
      <c r="I2" s="190"/>
      <c r="J2" s="191"/>
      <c r="K2" s="9"/>
      <c r="L2" s="2">
        <v>2020</v>
      </c>
      <c r="M2" s="10"/>
      <c r="N2" s="186" t="s">
        <v>75</v>
      </c>
      <c r="O2" s="187"/>
      <c r="P2" s="187"/>
      <c r="Q2" s="186" t="s">
        <v>41</v>
      </c>
      <c r="R2" s="187"/>
      <c r="S2" s="188"/>
      <c r="T2" s="8"/>
      <c r="U2" s="8"/>
      <c r="V2" s="2" t="s">
        <v>42</v>
      </c>
      <c r="W2" s="2" t="s">
        <v>42</v>
      </c>
      <c r="X2" s="2" t="s">
        <v>42</v>
      </c>
      <c r="Y2" s="2">
        <v>1</v>
      </c>
      <c r="Z2" s="2">
        <v>1</v>
      </c>
      <c r="AA2" s="2">
        <v>1</v>
      </c>
      <c r="AB2" s="2">
        <v>1</v>
      </c>
      <c r="AC2" s="2">
        <v>2</v>
      </c>
      <c r="AD2" s="2">
        <v>2</v>
      </c>
      <c r="AE2" s="2">
        <v>2</v>
      </c>
      <c r="AF2" s="2">
        <v>2</v>
      </c>
      <c r="AG2" s="2">
        <v>3</v>
      </c>
      <c r="AH2" s="2">
        <v>3</v>
      </c>
      <c r="AI2" s="2">
        <v>3</v>
      </c>
      <c r="AJ2" s="2">
        <v>3</v>
      </c>
      <c r="AK2" s="2">
        <v>4</v>
      </c>
      <c r="AL2" s="2">
        <v>4</v>
      </c>
      <c r="AM2" s="2">
        <v>4</v>
      </c>
      <c r="AN2" s="2">
        <v>4</v>
      </c>
      <c r="AO2" s="2">
        <v>5</v>
      </c>
      <c r="AP2" s="2">
        <v>5</v>
      </c>
      <c r="AQ2" s="2">
        <v>5</v>
      </c>
      <c r="AR2" s="2">
        <v>5</v>
      </c>
      <c r="AS2" s="2">
        <v>6</v>
      </c>
      <c r="AT2" s="2">
        <v>6</v>
      </c>
      <c r="AU2" s="2">
        <v>6</v>
      </c>
      <c r="AV2" s="2">
        <v>6</v>
      </c>
      <c r="AW2" s="2">
        <v>7</v>
      </c>
      <c r="AX2" s="2">
        <v>7</v>
      </c>
      <c r="AY2" s="2">
        <v>7</v>
      </c>
      <c r="AZ2" s="2">
        <v>7</v>
      </c>
      <c r="BA2" s="2">
        <v>8</v>
      </c>
      <c r="BB2" s="2">
        <v>8</v>
      </c>
      <c r="BC2" s="2">
        <v>8</v>
      </c>
      <c r="BD2" s="2">
        <v>8</v>
      </c>
      <c r="BE2" s="2">
        <v>9</v>
      </c>
      <c r="BF2" s="2">
        <v>9</v>
      </c>
      <c r="BG2" s="2">
        <v>9</v>
      </c>
      <c r="BH2" s="2">
        <v>9</v>
      </c>
      <c r="BI2" s="2">
        <v>10</v>
      </c>
      <c r="BJ2" s="2">
        <v>10</v>
      </c>
      <c r="BK2" s="2">
        <v>10</v>
      </c>
      <c r="BL2" s="2">
        <v>10</v>
      </c>
      <c r="BM2" s="2">
        <v>11</v>
      </c>
      <c r="BN2" s="2">
        <v>11</v>
      </c>
      <c r="BO2" s="2">
        <v>11</v>
      </c>
      <c r="BP2" s="2">
        <v>11</v>
      </c>
      <c r="BQ2" s="2">
        <v>12</v>
      </c>
      <c r="BR2" s="2">
        <v>12</v>
      </c>
      <c r="BS2" s="2">
        <v>12</v>
      </c>
      <c r="BT2" s="2">
        <v>13</v>
      </c>
      <c r="BU2" s="2">
        <v>13</v>
      </c>
      <c r="BV2" s="2">
        <v>13</v>
      </c>
      <c r="BW2" s="110"/>
      <c r="BX2" s="8" t="s">
        <v>107</v>
      </c>
      <c r="BY2" s="8" t="s">
        <v>107</v>
      </c>
      <c r="BZ2" s="8" t="s">
        <v>107</v>
      </c>
      <c r="CA2" s="88"/>
      <c r="CE2" s="8"/>
      <c r="CF2" s="8"/>
    </row>
    <row r="3" spans="1:85" s="11" customFormat="1" ht="13.5" thickBot="1">
      <c r="A3" s="12" t="s">
        <v>43</v>
      </c>
      <c r="B3" s="12" t="s">
        <v>43</v>
      </c>
      <c r="C3" s="2"/>
      <c r="D3" s="2"/>
      <c r="E3" s="93" t="s">
        <v>119</v>
      </c>
      <c r="F3" s="93" t="s">
        <v>120</v>
      </c>
      <c r="G3" s="93" t="s">
        <v>121</v>
      </c>
      <c r="H3" s="93" t="s">
        <v>132</v>
      </c>
      <c r="I3" s="93" t="s">
        <v>133</v>
      </c>
      <c r="J3" s="93" t="s">
        <v>134</v>
      </c>
      <c r="K3" s="2"/>
      <c r="L3" s="2" t="s">
        <v>43</v>
      </c>
      <c r="M3" s="10" t="s">
        <v>69</v>
      </c>
      <c r="N3" s="10" t="s">
        <v>44</v>
      </c>
      <c r="O3" s="10" t="s">
        <v>45</v>
      </c>
      <c r="P3" s="10" t="s">
        <v>46</v>
      </c>
      <c r="Q3" s="10" t="s">
        <v>44</v>
      </c>
      <c r="R3" s="10" t="s">
        <v>45</v>
      </c>
      <c r="S3" s="10" t="s">
        <v>46</v>
      </c>
      <c r="T3" s="94" t="s">
        <v>47</v>
      </c>
      <c r="U3" s="8"/>
      <c r="V3" s="13"/>
      <c r="W3" s="13"/>
      <c r="X3" s="13"/>
      <c r="Y3" s="14"/>
      <c r="Z3" s="14"/>
      <c r="AA3" s="14"/>
      <c r="AB3" s="14"/>
      <c r="AC3" s="14"/>
      <c r="AD3" s="14"/>
      <c r="AE3" s="14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8"/>
      <c r="AZ3" s="8"/>
      <c r="BA3" s="2"/>
      <c r="BB3" s="2"/>
      <c r="BC3" s="8"/>
      <c r="BD3" s="8"/>
      <c r="BE3" s="2"/>
      <c r="BF3" s="2"/>
      <c r="BG3" s="2"/>
      <c r="BH3" s="8"/>
      <c r="BI3" s="8"/>
      <c r="BW3" s="110"/>
      <c r="BX3" s="8" t="s">
        <v>108</v>
      </c>
      <c r="BY3" s="8" t="s">
        <v>109</v>
      </c>
      <c r="BZ3" s="8" t="s">
        <v>110</v>
      </c>
      <c r="CA3" s="8" t="s">
        <v>111</v>
      </c>
      <c r="CE3" s="12" t="s">
        <v>124</v>
      </c>
      <c r="CF3" s="12" t="s">
        <v>125</v>
      </c>
      <c r="CG3" s="12" t="s">
        <v>126</v>
      </c>
    </row>
    <row r="4" spans="1:85">
      <c r="A4" s="8"/>
      <c r="B4" s="8">
        <v>1</v>
      </c>
      <c r="C4" s="162" t="s">
        <v>21</v>
      </c>
      <c r="D4" s="161"/>
      <c r="E4" s="8"/>
      <c r="F4" s="8"/>
      <c r="G4" s="8"/>
      <c r="H4" s="8">
        <f>IF(AND(Z4&gt;0,$A4&lt;VLOOKUP(Z$1,$C:$L,10,FALSE)),1,IF(AND(Z4&lt;0,$A4&gt;VLOOKUP(Z$1,$C:$L,10,FALSE)),1,0))</f>
        <v>0</v>
      </c>
      <c r="I4" s="8">
        <f>IF(AND(AA4&gt;0,$A4&lt;VLOOKUP(AA$1,$C:$L,10,FALSE)),1,IF(AND(AA4&lt;0,$A4&gt;VLOOKUP(AA$1,$C:$L,10,FALSE)),1,0))</f>
        <v>0</v>
      </c>
      <c r="J4" s="8">
        <f>IF(AND(AB4&gt;0,$A4&lt;VLOOKUP(AB$1,$C:$L,10,FALSE)),1,IF(AND(AB4&lt;0,$A4&gt;VLOOKUP(AB$1,$C:$L,10,FALSE)),1,0))</f>
        <v>0</v>
      </c>
      <c r="K4" s="108" t="s">
        <v>135</v>
      </c>
      <c r="L4" s="161">
        <f t="shared" ref="L4:L35" si="0">A4</f>
        <v>0</v>
      </c>
      <c r="M4" s="2">
        <v>1</v>
      </c>
      <c r="N4" s="17">
        <f t="shared" ref="N4:N35" si="1">COUNTIF($V4:$BU4,"&gt;0")</f>
        <v>3</v>
      </c>
      <c r="O4" s="2">
        <f t="shared" ref="O4:O35" si="2">COUNTIF($V4:$BU4,"&lt;0")</f>
        <v>3</v>
      </c>
      <c r="P4" s="2">
        <f t="shared" ref="P4:P35" si="3">COUNTIF($V4:$BU4,"=0")</f>
        <v>0</v>
      </c>
      <c r="Q4" s="18">
        <f>COUNTIF($Y4:$AB4,"&gt;0")</f>
        <v>2</v>
      </c>
      <c r="R4" s="19">
        <f>COUNTIF($Y4:$AB4,"&lt;0")</f>
        <v>1</v>
      </c>
      <c r="S4" s="20">
        <f>COUNTIF($Y4:$AB4,"=0")</f>
        <v>0</v>
      </c>
      <c r="T4" s="2">
        <f>COUNTIF(V4:BJ4,"NC")</f>
        <v>0</v>
      </c>
      <c r="U4" s="2"/>
      <c r="V4" s="14">
        <f>IFERROR(IFERROR(VLOOKUP($C4&amp;" "&amp;V$1,Results!$G:$I,3,FALSE),-VLOOKUP($C4&amp;" "&amp;V$1,Results!$H:$I,2,FALSE)),"")</f>
        <v>-38</v>
      </c>
      <c r="W4" s="14">
        <f>IFERROR(IFERROR(VLOOKUP($C4&amp;" "&amp;W$1,Results!$G:$I,3,FALSE),-VLOOKUP($C4&amp;" "&amp;W$1,Results!$H:$I,2,FALSE)),"")</f>
        <v>-100</v>
      </c>
      <c r="X4" s="14">
        <f>IFERROR(IFERROR(VLOOKUP($C4&amp;" "&amp;X$1,Results!$G:$I,3,FALSE),-VLOOKUP($C4&amp;" "&amp;X$1,Results!$H:$I,2,FALSE)),"")</f>
        <v>58</v>
      </c>
      <c r="Y4" s="33" t="str">
        <f>IFERROR(IFERROR(VLOOKUP($C4&amp;" "&amp;Y$1,Results!$G:$I,3,FALSE),-VLOOKUP($C4&amp;" "&amp;Y$1,Results!$H:$I,2,FALSE)),"")</f>
        <v/>
      </c>
      <c r="Z4" s="72">
        <f>IFERROR(IFERROR(VLOOKUP($C4&amp;" "&amp;Z$1,Results!$G:$I,3,FALSE),-VLOOKUP($C4&amp;" "&amp;Z$1,Results!$H:$I,2,FALSE)),"")</f>
        <v>88</v>
      </c>
      <c r="AA4" s="72">
        <f>IFERROR(IFERROR(VLOOKUP($C4&amp;" "&amp;AA$1,Results!$G:$I,3,FALSE),-VLOOKUP($C4&amp;" "&amp;AA$1,Results!$H:$I,2,FALSE)),"")</f>
        <v>-29</v>
      </c>
      <c r="AB4" s="78">
        <f>IFERROR(IFERROR(VLOOKUP($C4&amp;" "&amp;AB$1,Results!$G:$I,3,FALSE),-VLOOKUP($C4&amp;" "&amp;AB$1,Results!$H:$I,2,FALSE)),"")</f>
        <v>82</v>
      </c>
      <c r="AC4" s="14" t="str">
        <f>IFERROR(IFERROR(VLOOKUP($C4&amp;" "&amp;AC$1,Results!$G:$I,3,FALSE),-VLOOKUP($C4&amp;" "&amp;AC$1,Results!$H:$I,2,FALSE)),"")</f>
        <v/>
      </c>
      <c r="AD4" s="14" t="str">
        <f>IFERROR(IFERROR(VLOOKUP($C4&amp;" "&amp;AD$1,Results!$G:$I,3,FALSE),-VLOOKUP($C4&amp;" "&amp;AD$1,Results!$H:$I,2,FALSE)),"")</f>
        <v/>
      </c>
      <c r="AE4" s="14" t="str">
        <f>IFERROR(IFERROR(VLOOKUP($C4&amp;" "&amp;AE$1,Results!$G:$I,3,FALSE),-VLOOKUP($C4&amp;" "&amp;AE$1,Results!$H:$I,2,FALSE)),"")</f>
        <v/>
      </c>
      <c r="AF4" s="14" t="str">
        <f>IFERROR(IFERROR(VLOOKUP($C4&amp;" "&amp;AF$1,Results!$G:$I,3,FALSE),-VLOOKUP($C4&amp;" "&amp;AF$1,Results!$H:$I,2,FALSE)),"")</f>
        <v/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30"/>
      <c r="BK4" s="30"/>
      <c r="BL4" s="30"/>
      <c r="BM4" s="30"/>
      <c r="BN4" s="23"/>
      <c r="BO4" s="23"/>
      <c r="BP4" s="23"/>
      <c r="BQ4" s="11"/>
      <c r="BR4" s="11"/>
      <c r="BW4" s="111">
        <f>SUM(V4:BT4)</f>
        <v>61</v>
      </c>
      <c r="BX4" s="15">
        <f>COUNTIF(E4:J4,1)</f>
        <v>0</v>
      </c>
      <c r="BY4" s="15">
        <f>COUNTIF(E4:J4,0)</f>
        <v>3</v>
      </c>
      <c r="BZ4" s="15">
        <f>COUNT(E4:J4)</f>
        <v>3</v>
      </c>
      <c r="CA4" s="90">
        <f>+BX4/BZ4</f>
        <v>0</v>
      </c>
      <c r="CC4" s="22">
        <f t="shared" ref="CC4:CC35" si="4">SUM(V4:BU4)</f>
        <v>61</v>
      </c>
      <c r="CE4" s="15">
        <v>1</v>
      </c>
      <c r="CF4" s="15">
        <f t="shared" ref="CF4:CF35" si="5">A4</f>
        <v>0</v>
      </c>
      <c r="CG4" s="15">
        <f>+CE4-CF4</f>
        <v>1</v>
      </c>
    </row>
    <row r="5" spans="1:85">
      <c r="B5" s="15">
        <v>2</v>
      </c>
      <c r="C5" s="16" t="s">
        <v>96</v>
      </c>
      <c r="D5" s="8"/>
      <c r="E5" s="8"/>
      <c r="F5" s="8"/>
      <c r="G5" s="8">
        <f>IF(AND(Y5&gt;0,$A5&lt;VLOOKUP(Y$1,$C:$L,10,FALSE)),1,IF(AND(Y5&lt;0,$A5&gt;VLOOKUP(Y$1,$C:$L,10,FALSE)),1,0))</f>
        <v>0</v>
      </c>
      <c r="H5" s="8">
        <f>IF(AND(AA5&gt;0,$A5&lt;VLOOKUP(AA$1,$C:$L,10,FALSE)),1,IF(AND(AA5&lt;0,$A5&gt;VLOOKUP(AA$1,$C:$L,10,FALSE)),1,0))</f>
        <v>0</v>
      </c>
      <c r="I5" s="8">
        <f>IF(AND(AB5&gt;0,$A5&lt;VLOOKUP(AB$1,$C:$L,10,FALSE)),1,IF(AND(AB5&lt;0,$A5&gt;VLOOKUP(AB$1,$C:$L,10,FALSE)),1,0))</f>
        <v>0</v>
      </c>
      <c r="J5" s="8">
        <f>IF(AND(AC5&gt;0,$A5&lt;VLOOKUP(AC$1,$C:$L,10,FALSE)),1,IF(AND(AC5&lt;0,$A5&gt;VLOOKUP(AC$1,$C:$L,10,FALSE)),1,0))</f>
        <v>0</v>
      </c>
      <c r="K5" s="108" t="s">
        <v>135</v>
      </c>
      <c r="L5" s="8">
        <f t="shared" si="0"/>
        <v>0</v>
      </c>
      <c r="M5" s="2">
        <v>1</v>
      </c>
      <c r="N5" s="17">
        <f t="shared" si="1"/>
        <v>1</v>
      </c>
      <c r="O5" s="2">
        <f t="shared" si="2"/>
        <v>5</v>
      </c>
      <c r="P5" s="2">
        <f t="shared" si="3"/>
        <v>0</v>
      </c>
      <c r="Q5" s="18">
        <f>COUNTIF($Y5:$AB5,"&gt;0")</f>
        <v>0</v>
      </c>
      <c r="R5" s="19">
        <f>COUNTIF($Y5:$AB5,"&lt;0")</f>
        <v>3</v>
      </c>
      <c r="S5" s="20">
        <f>COUNTIF($Y5:$AB5,"=0")</f>
        <v>0</v>
      </c>
      <c r="T5" s="2">
        <f t="shared" ref="T5:T7" si="6">COUNTIF(V5:BJ5,"NC")</f>
        <v>0</v>
      </c>
      <c r="U5" s="2"/>
      <c r="V5" s="14">
        <f>IFERROR(IFERROR(VLOOKUP($C5&amp;" "&amp;V$1,Results!$G:$I,3,FALSE),-VLOOKUP($C5&amp;" "&amp;V$1,Results!$H:$I,2,FALSE)),"")</f>
        <v>-200</v>
      </c>
      <c r="W5" s="14">
        <f>IFERROR(IFERROR(VLOOKUP($C5&amp;" "&amp;W$1,Results!$G:$I,3,FALSE),-VLOOKUP($C5&amp;" "&amp;W$1,Results!$H:$I,2,FALSE)),"")</f>
        <v>-124</v>
      </c>
      <c r="X5" s="14" t="str">
        <f>IFERROR(IFERROR(VLOOKUP($C5&amp;" "&amp;X$1,Results!$G:$I,3,FALSE),-VLOOKUP($C5&amp;" "&amp;X$1,Results!$H:$I,2,FALSE)),"")</f>
        <v/>
      </c>
      <c r="Y5" s="66">
        <f>IFERROR(IFERROR(VLOOKUP($C5&amp;" "&amp;Y$1,Results!$G:$I,3,FALSE),-VLOOKUP($C5&amp;" "&amp;Y$1,Results!$H:$I,2,FALSE)),"")</f>
        <v>-88</v>
      </c>
      <c r="Z5" s="34" t="str">
        <f>IFERROR(IFERROR(VLOOKUP($C5&amp;" "&amp;Z$1,Results!$G:$I,3,FALSE),-VLOOKUP($C5&amp;" "&amp;Z$1,Results!$H:$I,2,FALSE)),"")</f>
        <v/>
      </c>
      <c r="AA5" s="34">
        <f>IFERROR(IFERROR(VLOOKUP($C5&amp;" "&amp;AA$1,Results!$G:$I,3,FALSE),-VLOOKUP($C5&amp;" "&amp;AA$1,Results!$H:$I,2,FALSE)),"")</f>
        <v>-42</v>
      </c>
      <c r="AB5" s="67">
        <f>IFERROR(IFERROR(VLOOKUP($C5&amp;" "&amp;AB$1,Results!$G:$I,3,FALSE),-VLOOKUP($C5&amp;" "&amp;AB$1,Results!$H:$I,2,FALSE)),"")</f>
        <v>-16</v>
      </c>
      <c r="AC5" s="14">
        <f>IFERROR(IFERROR(VLOOKUP($C5&amp;" "&amp;AC$1,Results!$G:$I,3,FALSE),-VLOOKUP($C5&amp;" "&amp;AC$1,Results!$H:$I,2,FALSE)),"")</f>
        <v>95</v>
      </c>
      <c r="AD5" s="14" t="str">
        <f>IFERROR(IFERROR(VLOOKUP($C5&amp;" "&amp;AD$1,Results!$G:$I,3,FALSE),-VLOOKUP($C5&amp;" "&amp;AD$1,Results!$H:$I,2,FALSE)),"")</f>
        <v/>
      </c>
      <c r="AE5" s="14" t="str">
        <f>IFERROR(IFERROR(VLOOKUP($C5&amp;" "&amp;AE$1,Results!$G:$I,3,FALSE),-VLOOKUP($C5&amp;" "&amp;AE$1,Results!$H:$I,2,FALSE)),"")</f>
        <v/>
      </c>
      <c r="AF5" s="14" t="str">
        <f>IFERROR(IFERROR(VLOOKUP($C5&amp;" "&amp;AF$1,Results!$G:$I,3,FALSE),-VLOOKUP($C5&amp;" "&amp;AF$1,Results!$H:$I,2,FALSE)),"")</f>
        <v/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30"/>
      <c r="BK5" s="30"/>
      <c r="BL5" s="30"/>
      <c r="BM5" s="30"/>
      <c r="BN5" s="23"/>
      <c r="BO5" s="23"/>
      <c r="BP5" s="23"/>
      <c r="BQ5" s="11"/>
      <c r="BR5" s="11"/>
      <c r="BW5" s="111">
        <f t="shared" ref="BW5:BW51" si="7">SUM(V5:BT5)</f>
        <v>-375</v>
      </c>
      <c r="BX5" s="15">
        <f>COUNTIF(E5:I5,1)</f>
        <v>0</v>
      </c>
      <c r="BY5" s="15">
        <f>COUNTIF(E5:I5,0)</f>
        <v>3</v>
      </c>
      <c r="BZ5" s="15">
        <f>COUNT(E5:I5)</f>
        <v>3</v>
      </c>
      <c r="CA5" s="90">
        <f t="shared" ref="CA5:CA10" si="8">+BX5/BZ5</f>
        <v>0</v>
      </c>
      <c r="CC5" s="22">
        <f t="shared" si="4"/>
        <v>-375</v>
      </c>
      <c r="CE5" s="15">
        <v>3</v>
      </c>
      <c r="CF5" s="15">
        <f t="shared" si="5"/>
        <v>0</v>
      </c>
      <c r="CG5" s="15">
        <f t="shared" ref="CG5:CG52" si="9">+CE5-CF5</f>
        <v>3</v>
      </c>
    </row>
    <row r="6" spans="1:85">
      <c r="A6" s="8"/>
      <c r="B6" s="8">
        <v>3</v>
      </c>
      <c r="C6" s="16" t="s">
        <v>15</v>
      </c>
      <c r="D6" s="8"/>
      <c r="E6" s="8"/>
      <c r="F6" s="8">
        <f>IF(AND(Y6&gt;0,$A6&lt;VLOOKUP(Y$1,$C:$L,10,FALSE)),1,IF(AND(Y6&lt;0,$A6&gt;VLOOKUP(Y$1,$C:$L,10,FALSE)),1,0))</f>
        <v>0</v>
      </c>
      <c r="G6" s="8">
        <f>IF(AND(Z6&gt;0,$A6&lt;VLOOKUP(Z$1,$C:$L,10,FALSE)),1,IF(AND(Z6&lt;0,$A6&gt;VLOOKUP(Z$1,$C:$L,10,FALSE)),1,0))</f>
        <v>0</v>
      </c>
      <c r="H6" s="8">
        <f>IF(AND(AB6&gt;0,$A6&lt;VLOOKUP(AB$1,$C:$L,10,FALSE)),1,IF(AND(AB6&lt;0,$A6&gt;VLOOKUP(AB$1,$C:$L,10,FALSE)),1,0))</f>
        <v>0</v>
      </c>
      <c r="I6" s="8">
        <f>IF(AND(AC6&gt;0,$A6&lt;VLOOKUP(AC$1,$C:$L,10,FALSE)),1,IF(AND(AC6&lt;0,$A6&gt;VLOOKUP(AC$1,$C:$L,10,FALSE)),1,0))</f>
        <v>0</v>
      </c>
      <c r="J6" s="8">
        <f>IF(AND(AD6&gt;0,$A6&lt;VLOOKUP(AD$1,$C:$L,10,FALSE)),1,IF(AND(AD6&lt;0,$A6&gt;VLOOKUP(AD$1,$C:$L,10,FALSE)),1,0))</f>
        <v>0</v>
      </c>
      <c r="K6" s="108" t="s">
        <v>135</v>
      </c>
      <c r="L6" s="8">
        <f t="shared" si="0"/>
        <v>0</v>
      </c>
      <c r="M6" s="2">
        <v>1</v>
      </c>
      <c r="N6" s="17">
        <f t="shared" si="1"/>
        <v>5</v>
      </c>
      <c r="O6" s="2">
        <f t="shared" si="2"/>
        <v>1</v>
      </c>
      <c r="P6" s="2">
        <f t="shared" si="3"/>
        <v>0</v>
      </c>
      <c r="Q6" s="18">
        <f>COUNTIF($Y6:$AB6,"&gt;0")</f>
        <v>3</v>
      </c>
      <c r="R6" s="19">
        <f>COUNTIF($Y6:$AB6,"&lt;0")</f>
        <v>0</v>
      </c>
      <c r="S6" s="20">
        <f>COUNTIF($Y6:$AB6,"=0")</f>
        <v>0</v>
      </c>
      <c r="T6" s="2">
        <f t="shared" si="6"/>
        <v>0</v>
      </c>
      <c r="U6" s="2"/>
      <c r="V6" s="14">
        <f>IFERROR(IFERROR(VLOOKUP($C6&amp;" "&amp;V$1,Results!$G:$I,3,FALSE),-VLOOKUP($C6&amp;" "&amp;V$1,Results!$H:$I,2,FALSE)),"")</f>
        <v>-109</v>
      </c>
      <c r="W6" s="14" t="str">
        <f>IFERROR(IFERROR(VLOOKUP($C6&amp;" "&amp;W$1,Results!$G:$I,3,FALSE),-VLOOKUP($C6&amp;" "&amp;W$1,Results!$H:$I,2,FALSE)),"")</f>
        <v/>
      </c>
      <c r="X6" s="14" t="str">
        <f>IFERROR(IFERROR(VLOOKUP($C6&amp;" "&amp;X$1,Results!$G:$I,3,FALSE),-VLOOKUP($C6&amp;" "&amp;X$1,Results!$H:$I,2,FALSE)),"")</f>
        <v/>
      </c>
      <c r="Y6" s="66">
        <f>IFERROR(IFERROR(VLOOKUP($C6&amp;" "&amp;Y$1,Results!$G:$I,3,FALSE),-VLOOKUP($C6&amp;" "&amp;Y$1,Results!$H:$I,2,FALSE)),"")</f>
        <v>29</v>
      </c>
      <c r="Z6" s="34">
        <f>IFERROR(IFERROR(VLOOKUP($C6&amp;" "&amp;Z$1,Results!$G:$I,3,FALSE),-VLOOKUP($C6&amp;" "&amp;Z$1,Results!$H:$I,2,FALSE)),"")</f>
        <v>42</v>
      </c>
      <c r="AA6" s="34" t="str">
        <f>IFERROR(IFERROR(VLOOKUP($C6&amp;" "&amp;AA$1,Results!$G:$I,3,FALSE),-VLOOKUP($C6&amp;" "&amp;AA$1,Results!$H:$I,2,FALSE)),"")</f>
        <v/>
      </c>
      <c r="AB6" s="67">
        <f>IFERROR(IFERROR(VLOOKUP($C6&amp;" "&amp;AB$1,Results!$G:$I,3,FALSE),-VLOOKUP($C6&amp;" "&amp;AB$1,Results!$H:$I,2,FALSE)),"")</f>
        <v>155</v>
      </c>
      <c r="AC6" s="14">
        <f>IFERROR(IFERROR(VLOOKUP($C6&amp;" "&amp;AC$1,Results!$G:$I,3,FALSE),-VLOOKUP($C6&amp;" "&amp;AC$1,Results!$H:$I,2,FALSE)),"")</f>
        <v>159</v>
      </c>
      <c r="AD6" s="14">
        <f>IFERROR(IFERROR(VLOOKUP($C6&amp;" "&amp;AD$1,Results!$G:$I,3,FALSE),-VLOOKUP($C6&amp;" "&amp;AD$1,Results!$H:$I,2,FALSE)),"")</f>
        <v>78</v>
      </c>
      <c r="AE6" s="14" t="str">
        <f>IFERROR(IFERROR(VLOOKUP($C6&amp;" "&amp;AE$1,Results!$G:$I,3,FALSE),-VLOOKUP($C6&amp;" "&amp;AE$1,Results!$H:$I,2,FALSE)),"")</f>
        <v/>
      </c>
      <c r="AF6" s="14" t="str">
        <f>IFERROR(IFERROR(VLOOKUP($C6&amp;" "&amp;AF$1,Results!$G:$I,3,FALSE),-VLOOKUP($C6&amp;" "&amp;AF$1,Results!$H:$I,2,FALSE)),"")</f>
        <v/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30"/>
      <c r="BK6" s="30"/>
      <c r="BL6" s="30"/>
      <c r="BM6" s="30"/>
      <c r="BN6" s="23"/>
      <c r="BO6" s="23"/>
      <c r="BP6" s="23"/>
      <c r="BQ6" s="11"/>
      <c r="BR6" s="11"/>
      <c r="BW6" s="111">
        <f t="shared" si="7"/>
        <v>354</v>
      </c>
      <c r="BX6" s="15">
        <f t="shared" ref="BX6:BX44" si="10">COUNTIF(E6:J6,1)</f>
        <v>0</v>
      </c>
      <c r="BY6" s="15">
        <f>COUNTIF(E6:J6,0)</f>
        <v>5</v>
      </c>
      <c r="BZ6" s="15">
        <f>COUNT(E6:J6)</f>
        <v>5</v>
      </c>
      <c r="CA6" s="90">
        <f t="shared" si="8"/>
        <v>0</v>
      </c>
      <c r="CC6" s="22">
        <f t="shared" si="4"/>
        <v>354</v>
      </c>
      <c r="CE6" s="15">
        <v>2</v>
      </c>
      <c r="CF6" s="15">
        <f t="shared" si="5"/>
        <v>0</v>
      </c>
      <c r="CG6" s="15">
        <f t="shared" si="9"/>
        <v>2</v>
      </c>
    </row>
    <row r="7" spans="1:85" s="11" customFormat="1" ht="13.5" thickBot="1">
      <c r="A7" s="8"/>
      <c r="B7" s="8">
        <v>4</v>
      </c>
      <c r="C7" s="16" t="s">
        <v>18</v>
      </c>
      <c r="D7" s="8"/>
      <c r="E7" s="8">
        <f>IF(AND(Y7&gt;0,$A7&lt;VLOOKUP(Y$1,$C:$L,10,FALSE)),1,IF(AND(Y7&lt;0,$A7&gt;VLOOKUP(Y$1,$C:$L,10,FALSE)),1,0))</f>
        <v>0</v>
      </c>
      <c r="F7" s="8">
        <f>IF(AND(Z7&gt;0,$A7&lt;VLOOKUP(Z$1,$C:$L,10,FALSE)),1,IF(AND(Z7&lt;0,$A7&gt;VLOOKUP(Z$1,$C:$L,10,FALSE)),1,0))</f>
        <v>0</v>
      </c>
      <c r="G7" s="8">
        <f>IF(AND(AA7&gt;0,$A7&lt;VLOOKUP(AA$1,$C:$L,10,FALSE)),1,IF(AND(AA7&lt;0,$A7&gt;VLOOKUP(AA$1,$C:$L,10,FALSE)),1,0))</f>
        <v>0</v>
      </c>
      <c r="H7" s="8">
        <f>IF(AND(AC7&gt;0,$A7&lt;VLOOKUP(AC$1,$C:$L,10,FALSE)),1,IF(AND(AC7&lt;0,$A7&gt;VLOOKUP(AC$1,$C:$L,10,FALSE)),1,0))</f>
        <v>0</v>
      </c>
      <c r="I7" s="8">
        <f>IF(AND(AD7&gt;0,$A7&lt;VLOOKUP(AD$1,$C:$L,10,FALSE)),1,IF(AND(AD7&lt;0,$A7&gt;VLOOKUP(AD$1,$C:$L,10,FALSE)),1,0))</f>
        <v>0</v>
      </c>
      <c r="J7" s="8">
        <f>IF(AND(AE7&gt;0,$A7&lt;VLOOKUP(AE$1,$C:$L,10,FALSE)),1,IF(AND(AE7&lt;0,$A7&gt;VLOOKUP(AE$1,$C:$L,10,FALSE)),1,0))</f>
        <v>0</v>
      </c>
      <c r="K7" s="108" t="s">
        <v>135</v>
      </c>
      <c r="L7" s="8">
        <f t="shared" si="0"/>
        <v>0</v>
      </c>
      <c r="M7" s="2">
        <v>1</v>
      </c>
      <c r="N7" s="17">
        <f t="shared" si="1"/>
        <v>4</v>
      </c>
      <c r="O7" s="2">
        <f t="shared" si="2"/>
        <v>2</v>
      </c>
      <c r="P7" s="2">
        <f t="shared" si="3"/>
        <v>0</v>
      </c>
      <c r="Q7" s="18">
        <f>COUNTIF($Y7:$AB7,"&gt;0")</f>
        <v>1</v>
      </c>
      <c r="R7" s="19">
        <f>COUNTIF($Y7:$AB7,"&lt;0")</f>
        <v>2</v>
      </c>
      <c r="S7" s="20">
        <f>COUNTIF($Y7:$AB7,"=0")</f>
        <v>0</v>
      </c>
      <c r="T7" s="2">
        <f t="shared" si="6"/>
        <v>0</v>
      </c>
      <c r="U7" s="2"/>
      <c r="V7" s="14" t="str">
        <f>IFERROR(IFERROR(VLOOKUP($C7&amp;" "&amp;V$1,Results!$G:$I,3,FALSE),-VLOOKUP($C7&amp;" "&amp;V$1,Results!$H:$I,2,FALSE)),"")</f>
        <v/>
      </c>
      <c r="W7" s="14" t="str">
        <f>IFERROR(IFERROR(VLOOKUP($C7&amp;" "&amp;W$1,Results!$G:$I,3,FALSE),-VLOOKUP($C7&amp;" "&amp;W$1,Results!$H:$I,2,FALSE)),"")</f>
        <v/>
      </c>
      <c r="X7" s="14" t="str">
        <f>IFERROR(IFERROR(VLOOKUP($C7&amp;" "&amp;X$1,Results!$G:$I,3,FALSE),-VLOOKUP($C7&amp;" "&amp;X$1,Results!$H:$I,2,FALSE)),"")</f>
        <v/>
      </c>
      <c r="Y7" s="68">
        <f>IFERROR(IFERROR(VLOOKUP($C7&amp;" "&amp;Y$1,Results!$G:$I,3,FALSE),-VLOOKUP($C7&amp;" "&amp;Y$1,Results!$H:$I,2,FALSE)),"")</f>
        <v>-82</v>
      </c>
      <c r="Z7" s="69">
        <f>IFERROR(IFERROR(VLOOKUP($C7&amp;" "&amp;Z$1,Results!$G:$I,3,FALSE),-VLOOKUP($C7&amp;" "&amp;Z$1,Results!$H:$I,2,FALSE)),"")</f>
        <v>16</v>
      </c>
      <c r="AA7" s="69">
        <f>IFERROR(IFERROR(VLOOKUP($C7&amp;" "&amp;AA$1,Results!$G:$I,3,FALSE),-VLOOKUP($C7&amp;" "&amp;AA$1,Results!$H:$I,2,FALSE)),"")</f>
        <v>-155</v>
      </c>
      <c r="AB7" s="35" t="str">
        <f>IFERROR(IFERROR(VLOOKUP($C7&amp;" "&amp;AB$1,Results!$G:$I,3,FALSE),-VLOOKUP($C7&amp;" "&amp;AB$1,Results!$H:$I,2,FALSE)),"")</f>
        <v/>
      </c>
      <c r="AC7" s="14">
        <f>IFERROR(IFERROR(VLOOKUP($C7&amp;" "&amp;AC$1,Results!$G:$I,3,FALSE),-VLOOKUP($C7&amp;" "&amp;AC$1,Results!$H:$I,2,FALSE)),"")</f>
        <v>39</v>
      </c>
      <c r="AD7" s="14">
        <f>IFERROR(IFERROR(VLOOKUP($C7&amp;" "&amp;AD$1,Results!$G:$I,3,FALSE),-VLOOKUP($C7&amp;" "&amp;AD$1,Results!$H:$I,2,FALSE)),"")</f>
        <v>10</v>
      </c>
      <c r="AE7" s="14">
        <f>IFERROR(IFERROR(VLOOKUP($C7&amp;" "&amp;AE$1,Results!$G:$I,3,FALSE),-VLOOKUP($C7&amp;" "&amp;AE$1,Results!$H:$I,2,FALSE)),"")</f>
        <v>135</v>
      </c>
      <c r="AF7" s="14" t="str">
        <f>IFERROR(IFERROR(VLOOKUP($C7&amp;" "&amp;AF$1,Results!$G:$I,3,FALSE),-VLOOKUP($C7&amp;" "&amp;AF$1,Results!$H:$I,2,FALSE)),"")</f>
        <v/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30"/>
      <c r="BK7" s="30"/>
      <c r="BL7" s="30"/>
      <c r="BM7" s="30"/>
      <c r="BN7" s="23"/>
      <c r="BO7" s="23"/>
      <c r="BP7" s="23"/>
      <c r="BW7" s="111">
        <f t="shared" si="7"/>
        <v>-37</v>
      </c>
      <c r="BX7" s="15">
        <f t="shared" si="10"/>
        <v>0</v>
      </c>
      <c r="BY7" s="15">
        <f>COUNTIF(E7:J7,0)</f>
        <v>6</v>
      </c>
      <c r="BZ7" s="15">
        <f>COUNT(E7:J7)</f>
        <v>6</v>
      </c>
      <c r="CA7" s="90">
        <f t="shared" si="8"/>
        <v>0</v>
      </c>
      <c r="CC7" s="22">
        <f t="shared" si="4"/>
        <v>-37</v>
      </c>
      <c r="CE7" s="8">
        <v>9</v>
      </c>
      <c r="CF7" s="15">
        <f t="shared" si="5"/>
        <v>0</v>
      </c>
      <c r="CG7" s="15">
        <f t="shared" si="9"/>
        <v>9</v>
      </c>
    </row>
    <row r="8" spans="1:85" s="11" customFormat="1">
      <c r="A8" s="8"/>
      <c r="B8" s="8">
        <v>5</v>
      </c>
      <c r="C8" s="16" t="s">
        <v>25</v>
      </c>
      <c r="D8" s="161"/>
      <c r="E8" s="8">
        <f>IF(AND(Z8&gt;0,$A8&lt;VLOOKUP(Z$1,$C:$L,10,FALSE)),1,IF(AND(Z8&lt;0,$A8&gt;VLOOKUP(Z$1,$C:$L,10,FALSE)),1,0))</f>
        <v>0</v>
      </c>
      <c r="F8" s="8">
        <f>IF(AND(AA8&gt;0,$A8&lt;VLOOKUP(AA$1,$C:$L,10,FALSE)),1,IF(AND(AA8&lt;0,$A8&gt;VLOOKUP(AA$1,$C:$L,10,FALSE)),1,0))</f>
        <v>0</v>
      </c>
      <c r="G8" s="8">
        <f>IF(AND(AB8&gt;0,$A8&lt;VLOOKUP(AB$1,$C:$L,10,FALSE)),1,IF(AND(AB8&lt;0,$A8&gt;VLOOKUP(AB$1,$C:$L,10,FALSE)),1,0))</f>
        <v>0</v>
      </c>
      <c r="H8" s="8">
        <f>IF(AND(AD8&gt;0,$A8&lt;VLOOKUP(AD$1,$C:$L,10,FALSE)),1,IF(AND(AD8&lt;0,$A8&gt;VLOOKUP(AD$1,$C:$L,10,FALSE)),1,0))</f>
        <v>0</v>
      </c>
      <c r="I8" s="8">
        <f>IF(AND(AE8&gt;0,$A8&lt;VLOOKUP(AE$1,$C:$L,10,FALSE)),1,IF(AND(AE8&lt;0,$A8&gt;VLOOKUP(AE$1,$C:$L,10,FALSE)),1,0))</f>
        <v>0</v>
      </c>
      <c r="J8" s="8">
        <f>IF(AND(AF8&gt;0,$A8&lt;VLOOKUP(AF$1,$C:$L,10,FALSE)),1,IF(AND(AF8&lt;0,$A8&gt;VLOOKUP(AF$1,$C:$L,10,FALSE)),1,0))</f>
        <v>0</v>
      </c>
      <c r="K8" s="108" t="s">
        <v>135</v>
      </c>
      <c r="L8" s="161">
        <f t="shared" si="0"/>
        <v>0</v>
      </c>
      <c r="M8" s="163">
        <v>2</v>
      </c>
      <c r="N8" s="17">
        <f t="shared" si="1"/>
        <v>2</v>
      </c>
      <c r="O8" s="2">
        <f t="shared" si="2"/>
        <v>4</v>
      </c>
      <c r="P8" s="2">
        <f t="shared" si="3"/>
        <v>0</v>
      </c>
      <c r="Q8" s="18">
        <f>COUNTIF($AC8:$AF8,"&gt;0")</f>
        <v>2</v>
      </c>
      <c r="R8" s="19">
        <f>COUNTIF($AC8:$AF8,"&lt;0")</f>
        <v>1</v>
      </c>
      <c r="S8" s="20">
        <f>COUNTIF($AC8:$AF8,"=0")</f>
        <v>0</v>
      </c>
      <c r="T8" s="2">
        <f>COUNTIF(V8:BJ8,"NC")</f>
        <v>0</v>
      </c>
      <c r="U8" s="2"/>
      <c r="V8" s="14"/>
      <c r="W8" s="14"/>
      <c r="X8" s="14"/>
      <c r="Y8" s="14" t="str">
        <f>IFERROR(IFERROR(VLOOKUP($C8&amp;" "&amp;Y$1,Results!$G:$I,3,FALSE),-VLOOKUP($C8&amp;" "&amp;Y$1,Results!$H:$I,2,FALSE)),"")</f>
        <v/>
      </c>
      <c r="Z8" s="14">
        <f>IFERROR(IFERROR(VLOOKUP($C8&amp;" "&amp;Z$1,Results!$G:$I,3,FALSE),-VLOOKUP($C8&amp;" "&amp;Z$1,Results!$H:$I,2,FALSE)),"")</f>
        <v>-95</v>
      </c>
      <c r="AA8" s="14">
        <f>IFERROR(IFERROR(VLOOKUP($C8&amp;" "&amp;AA$1,Results!$G:$I,3,FALSE),-VLOOKUP($C8&amp;" "&amp;AA$1,Results!$H:$I,2,FALSE)),"")</f>
        <v>-159</v>
      </c>
      <c r="AB8" s="14">
        <f>IFERROR(IFERROR(VLOOKUP($C8&amp;" "&amp;AB$1,Results!$G:$I,3,FALSE),-VLOOKUP($C8&amp;" "&amp;AB$1,Results!$H:$I,2,FALSE)),"")</f>
        <v>-39</v>
      </c>
      <c r="AC8" s="33" t="str">
        <f>IFERROR(IFERROR(VLOOKUP($C8&amp;" "&amp;AC$1,Results!$G:$I,3,FALSE),-VLOOKUP($C8&amp;" "&amp;AC$1,Results!$H:$I,2,FALSE)),"")</f>
        <v/>
      </c>
      <c r="AD8" s="64">
        <f>IFERROR(IFERROR(VLOOKUP($C8&amp;" "&amp;AD$1,Results!$G:$I,3,FALSE),-VLOOKUP($C8&amp;" "&amp;AD$1,Results!$H:$I,2,FALSE)),"")</f>
        <v>-39</v>
      </c>
      <c r="AE8" s="64">
        <f>IFERROR(IFERROR(VLOOKUP($C8&amp;" "&amp;AE$1,Results!$G:$I,3,FALSE),-VLOOKUP($C8&amp;" "&amp;AE$1,Results!$H:$I,2,FALSE)),"")</f>
        <v>152</v>
      </c>
      <c r="AF8" s="65">
        <f>IFERROR(IFERROR(VLOOKUP($C8&amp;" "&amp;AF$1,Results!$G:$I,3,FALSE),-VLOOKUP($C8&amp;" "&amp;AF$1,Results!$H:$I,2,FALSE)),"")</f>
        <v>59</v>
      </c>
      <c r="AG8" s="14" t="str">
        <f>IFERROR(IFERROR(VLOOKUP($C8&amp;" "&amp;AG$1,Results!$G:$I,3,FALSE),-VLOOKUP($C8&amp;" "&amp;AG$1,Results!$H:$I,2,FALSE)),"")</f>
        <v/>
      </c>
      <c r="AH8" s="14" t="str">
        <f>IFERROR(IFERROR(VLOOKUP($C8&amp;" "&amp;AH$1,Results!$G:$I,3,FALSE),-VLOOKUP($C8&amp;" "&amp;AH$1,Results!$H:$I,2,FALSE)),"")</f>
        <v/>
      </c>
      <c r="AI8" s="14" t="str">
        <f>IFERROR(IFERROR(VLOOKUP($C8&amp;" "&amp;AI$1,Results!$G:$I,3,FALSE),-VLOOKUP($C8&amp;" "&amp;AI$1,Results!$H:$I,2,FALSE)),"")</f>
        <v/>
      </c>
      <c r="AJ8" s="14" t="str">
        <f>IFERROR(IFERROR(VLOOKUP($C8&amp;" "&amp;AJ$1,Results!$G:$I,3,FALSE),-VLOOKUP($C8&amp;" "&amp;AJ$1,Results!$H:$I,2,FALSE)),"")</f>
        <v/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30"/>
      <c r="BK8" s="30"/>
      <c r="BL8" s="30"/>
      <c r="BM8" s="30"/>
      <c r="BN8" s="23"/>
      <c r="BO8" s="23"/>
      <c r="BP8" s="23"/>
      <c r="BW8" s="111">
        <f t="shared" si="7"/>
        <v>-121</v>
      </c>
      <c r="BX8" s="15">
        <f t="shared" si="10"/>
        <v>0</v>
      </c>
      <c r="BY8" s="15">
        <f t="shared" ref="BY8:BY44" si="11">COUNTIF(E8:I8,0)</f>
        <v>5</v>
      </c>
      <c r="BZ8" s="15">
        <f t="shared" ref="BZ8:BZ52" si="12">COUNT(E8:J8)</f>
        <v>6</v>
      </c>
      <c r="CA8" s="90">
        <f t="shared" si="8"/>
        <v>0</v>
      </c>
      <c r="CC8" s="22">
        <f t="shared" si="4"/>
        <v>-121</v>
      </c>
      <c r="CE8" s="8">
        <v>4</v>
      </c>
      <c r="CF8" s="15">
        <f t="shared" si="5"/>
        <v>0</v>
      </c>
      <c r="CG8" s="15">
        <f t="shared" si="9"/>
        <v>4</v>
      </c>
    </row>
    <row r="9" spans="1:85" s="11" customFormat="1">
      <c r="A9" s="161"/>
      <c r="B9" s="161">
        <v>6</v>
      </c>
      <c r="C9" s="162" t="s">
        <v>10</v>
      </c>
      <c r="D9" s="161"/>
      <c r="E9" s="8">
        <f>IF(AND(AA9&gt;0,$A9&lt;VLOOKUP(AA$1,$C:$L,10,FALSE)),1,IF(AND(AA9&lt;0,$A9&gt;VLOOKUP(AA$1,$C:$L,10,FALSE)),1,0))</f>
        <v>0</v>
      </c>
      <c r="F9" s="8">
        <f>IF(AND(AB9&gt;0,$A9&lt;VLOOKUP(AB$1,$C:$L,10,FALSE)),1,IF(AND(AB9&lt;0,$A9&gt;VLOOKUP(AB$1,$C:$L,10,FALSE)),1,0))</f>
        <v>0</v>
      </c>
      <c r="G9" s="8">
        <f>IF(AND(AC9&gt;0,$A9&lt;VLOOKUP(AC$1,$C:$L,10,FALSE)),1,IF(AND(AC9&lt;0,$A9&gt;VLOOKUP(AC$1,$C:$L,10,FALSE)),1,0))</f>
        <v>0</v>
      </c>
      <c r="H9" s="8">
        <f>IF(AND(AE9&gt;0,$A9&lt;VLOOKUP(AE$1,$C:$L,10,FALSE)),1,IF(AND(AE9&lt;0,$A9&gt;VLOOKUP(AE$1,$C:$L,10,FALSE)),1,0))</f>
        <v>0</v>
      </c>
      <c r="I9" s="8">
        <f>IF(AND(AF9&gt;0,$A9&lt;VLOOKUP(AF$1,$C:$L,10,FALSE)),1,IF(AND(AF9&lt;0,$A9&gt;VLOOKUP(AF$1,$C:$L,10,FALSE)),1,0))</f>
        <v>0</v>
      </c>
      <c r="J9" s="8">
        <f>IF(AND(AG9&gt;0,$A9&lt;VLOOKUP(AG$1,$C:$L,10,FALSE)),1,IF(AND(AG9&lt;0,$A9&gt;VLOOKUP(AG$1,$C:$L,10,FALSE)),1,0))</f>
        <v>0</v>
      </c>
      <c r="K9" s="108" t="s">
        <v>135</v>
      </c>
      <c r="L9" s="161">
        <f t="shared" si="0"/>
        <v>0</v>
      </c>
      <c r="M9" s="163">
        <v>2</v>
      </c>
      <c r="N9" s="17">
        <f t="shared" si="1"/>
        <v>4</v>
      </c>
      <c r="O9" s="2">
        <f t="shared" si="2"/>
        <v>2</v>
      </c>
      <c r="P9" s="2">
        <f t="shared" si="3"/>
        <v>0</v>
      </c>
      <c r="Q9" s="18">
        <f>COUNTIF($AC9:$AF9,"&gt;0")</f>
        <v>3</v>
      </c>
      <c r="R9" s="19">
        <f>COUNTIF($AC9:$AF9,"&lt;0")</f>
        <v>0</v>
      </c>
      <c r="S9" s="20">
        <f>COUNTIF($AC9:$AF9,"=0")</f>
        <v>0</v>
      </c>
      <c r="T9" s="2">
        <f t="shared" ref="T9:T11" si="13">COUNTIF(V9:BJ9,"NC")</f>
        <v>0</v>
      </c>
      <c r="U9" s="2"/>
      <c r="V9" s="14"/>
      <c r="W9" s="14"/>
      <c r="X9" s="14"/>
      <c r="Y9" s="14" t="str">
        <f>IFERROR(IFERROR(VLOOKUP($C9&amp;" "&amp;Y$1,Results!$G:$I,3,FALSE),-VLOOKUP($C9&amp;" "&amp;Y$1,Results!$H:$I,2,FALSE)),"")</f>
        <v/>
      </c>
      <c r="Z9" s="34" t="str">
        <f>IFERROR(IFERROR(VLOOKUP($C9&amp;" "&amp;Z$1,Results!$G:$I,3,FALSE),-VLOOKUP($C9&amp;" "&amp;Z$1,Results!$H:$I,2,FALSE)),"")</f>
        <v/>
      </c>
      <c r="AA9" s="14">
        <f>IFERROR(IFERROR(VLOOKUP($C9&amp;" "&amp;AA$1,Results!$G:$I,3,FALSE),-VLOOKUP($C9&amp;" "&amp;AA$1,Results!$H:$I,2,FALSE)),"")</f>
        <v>-78</v>
      </c>
      <c r="AB9" s="14">
        <f>IFERROR(IFERROR(VLOOKUP($C9&amp;" "&amp;AB$1,Results!$G:$I,3,FALSE),-VLOOKUP($C9&amp;" "&amp;AB$1,Results!$H:$I,2,FALSE)),"")</f>
        <v>-10</v>
      </c>
      <c r="AC9" s="66">
        <f>IFERROR(IFERROR(VLOOKUP($C9&amp;" "&amp;AC$1,Results!$G:$I,3,FALSE),-VLOOKUP($C9&amp;" "&amp;AC$1,Results!$H:$I,2,FALSE)),"")</f>
        <v>39</v>
      </c>
      <c r="AD9" s="34" t="str">
        <f>IFERROR(IFERROR(VLOOKUP($C9&amp;" "&amp;AD$1,Results!$G:$I,3,FALSE),-VLOOKUP($C9&amp;" "&amp;AD$1,Results!$H:$I,2,FALSE)),"")</f>
        <v/>
      </c>
      <c r="AE9" s="34">
        <f>IFERROR(IFERROR(VLOOKUP($C9&amp;" "&amp;AE$1,Results!$G:$I,3,FALSE),-VLOOKUP($C9&amp;" "&amp;AE$1,Results!$H:$I,2,FALSE)),"")</f>
        <v>180</v>
      </c>
      <c r="AF9" s="67">
        <f>IFERROR(IFERROR(VLOOKUP($C9&amp;" "&amp;AF$1,Results!$G:$I,3,FALSE),-VLOOKUP($C9&amp;" "&amp;AF$1,Results!$H:$I,2,FALSE)),"")</f>
        <v>2</v>
      </c>
      <c r="AG9" s="14">
        <f>IFERROR(IFERROR(VLOOKUP($C9&amp;" "&amp;AG$1,Results!$G:$I,3,FALSE),-VLOOKUP($C9&amp;" "&amp;AG$1,Results!$H:$I,2,FALSE)),"")</f>
        <v>4</v>
      </c>
      <c r="AH9" s="14" t="str">
        <f>IFERROR(IFERROR(VLOOKUP($C9&amp;" "&amp;AH$1,Results!$G:$I,3,FALSE),-VLOOKUP($C9&amp;" "&amp;AH$1,Results!$H:$I,2,FALSE)),"")</f>
        <v/>
      </c>
      <c r="AI9" s="14" t="str">
        <f>IFERROR(IFERROR(VLOOKUP($C9&amp;" "&amp;AI$1,Results!$G:$I,3,FALSE),-VLOOKUP($C9&amp;" "&amp;AI$1,Results!$H:$I,2,FALSE)),"")</f>
        <v/>
      </c>
      <c r="AJ9" s="14" t="str">
        <f>IFERROR(IFERROR(VLOOKUP($C9&amp;" "&amp;AJ$1,Results!$G:$I,3,FALSE),-VLOOKUP($C9&amp;" "&amp;AJ$1,Results!$H:$I,2,FALSE)),"")</f>
        <v/>
      </c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30"/>
      <c r="BK9" s="30"/>
      <c r="BL9" s="30"/>
      <c r="BM9" s="30"/>
      <c r="BN9" s="23"/>
      <c r="BO9" s="23"/>
      <c r="BP9" s="23"/>
      <c r="BW9" s="111">
        <f t="shared" si="7"/>
        <v>137</v>
      </c>
      <c r="BX9" s="15">
        <f t="shared" si="10"/>
        <v>0</v>
      </c>
      <c r="BY9" s="15">
        <f t="shared" si="11"/>
        <v>5</v>
      </c>
      <c r="BZ9" s="15">
        <f t="shared" si="12"/>
        <v>6</v>
      </c>
      <c r="CA9" s="90">
        <f t="shared" si="8"/>
        <v>0</v>
      </c>
      <c r="CC9" s="22">
        <f t="shared" si="4"/>
        <v>137</v>
      </c>
      <c r="CE9" s="8">
        <v>7</v>
      </c>
      <c r="CF9" s="15">
        <f t="shared" si="5"/>
        <v>0</v>
      </c>
      <c r="CG9" s="15">
        <f t="shared" si="9"/>
        <v>7</v>
      </c>
    </row>
    <row r="10" spans="1:85" s="11" customFormat="1">
      <c r="A10" s="8"/>
      <c r="B10" s="8">
        <v>7</v>
      </c>
      <c r="C10" s="16" t="s">
        <v>78</v>
      </c>
      <c r="D10" s="8"/>
      <c r="E10" s="8">
        <f>IF(AND(AB10&gt;0,$A10&lt;VLOOKUP(AB$1,$C:$L,10,FALSE)),1,IF(AND(AB10&lt;0,$A10&gt;VLOOKUP(AB$1,$C:$L,10,FALSE)),1,0))</f>
        <v>0</v>
      </c>
      <c r="F10" s="8">
        <f>IF(AND(AC10&gt;0,$A10&lt;VLOOKUP(AC$1,$C:$L,10,FALSE)),1,IF(AND(AC10&lt;0,$A10&gt;VLOOKUP(AC$1,$C:$L,10,FALSE)),1,0))</f>
        <v>0</v>
      </c>
      <c r="G10" s="8">
        <f>IF(AND(AD10&gt;0,$A10&lt;VLOOKUP(AD$1,$C:$L,10,FALSE)),1,IF(AND(AD10&lt;0,$A10&gt;VLOOKUP(AD$1,$C:$L,10,FALSE)),1,0))</f>
        <v>0</v>
      </c>
      <c r="H10" s="8">
        <f>IF(AND(AF10&gt;0,$A10&lt;VLOOKUP(AF$1,$C:$L,10,FALSE)),1,IF(AND(AF10&lt;0,$A10&gt;VLOOKUP(AF$1,$C:$L,10,FALSE)),1,0))</f>
        <v>0</v>
      </c>
      <c r="I10" s="8">
        <f>IF(AND(AG10&gt;0,$A10&lt;VLOOKUP(AG$1,$C:$L,10,FALSE)),1,IF(AND(AG10&lt;0,$A10&gt;VLOOKUP(AG$1,$C:$L,10,FALSE)),1,0))</f>
        <v>0</v>
      </c>
      <c r="J10" s="8">
        <f>IF(AND(AH10&gt;0,$A10&lt;VLOOKUP(AH$1,$C:$L,10,FALSE)),1,IF(AND(AH10&lt;0,$A10&gt;VLOOKUP(AH$1,$C:$L,10,FALSE)),1,0))</f>
        <v>0</v>
      </c>
      <c r="K10" s="108" t="s">
        <v>135</v>
      </c>
      <c r="L10" s="8">
        <f t="shared" si="0"/>
        <v>0</v>
      </c>
      <c r="M10" s="163">
        <v>2</v>
      </c>
      <c r="N10" s="17">
        <f t="shared" si="1"/>
        <v>0</v>
      </c>
      <c r="O10" s="2">
        <f t="shared" si="2"/>
        <v>6</v>
      </c>
      <c r="P10" s="2">
        <f t="shared" si="3"/>
        <v>0</v>
      </c>
      <c r="Q10" s="18">
        <f>COUNTIF($AC10:$AF10,"&gt;0")</f>
        <v>0</v>
      </c>
      <c r="R10" s="19">
        <f>COUNTIF($AC10:$AF10,"&lt;0")</f>
        <v>3</v>
      </c>
      <c r="S10" s="20">
        <f>COUNTIF($AC10:$AF10,"=0")</f>
        <v>0</v>
      </c>
      <c r="T10" s="2">
        <f t="shared" si="13"/>
        <v>0</v>
      </c>
      <c r="U10" s="2"/>
      <c r="V10" s="14"/>
      <c r="W10" s="14"/>
      <c r="X10" s="14"/>
      <c r="Y10" s="14" t="str">
        <f>IFERROR(IFERROR(VLOOKUP($C10&amp;" "&amp;Y$1,Results!$G:$I,3,FALSE),-VLOOKUP($C10&amp;" "&amp;Y$1,Results!$H:$I,2,FALSE)),"")</f>
        <v/>
      </c>
      <c r="Z10" s="14" t="str">
        <f>IFERROR(IFERROR(VLOOKUP($C10&amp;" "&amp;Z$1,Results!$G:$I,3,FALSE),-VLOOKUP($C10&amp;" "&amp;Z$1,Results!$H:$I,2,FALSE)),"")</f>
        <v/>
      </c>
      <c r="AA10" s="14" t="str">
        <f>IFERROR(IFERROR(VLOOKUP($C10&amp;" "&amp;AA$1,Results!$G:$I,3,FALSE),-VLOOKUP($C10&amp;" "&amp;AA$1,Results!$H:$I,2,FALSE)),"")</f>
        <v/>
      </c>
      <c r="AB10" s="14">
        <f>IFERROR(IFERROR(VLOOKUP($C10&amp;" "&amp;AB$1,Results!$G:$I,3,FALSE),-VLOOKUP($C10&amp;" "&amp;AB$1,Results!$H:$I,2,FALSE)),"")</f>
        <v>-135</v>
      </c>
      <c r="AC10" s="66">
        <f>IFERROR(IFERROR(VLOOKUP($C10&amp;" "&amp;AC$1,Results!$G:$I,3,FALSE),-VLOOKUP($C10&amp;" "&amp;AC$1,Results!$H:$I,2,FALSE)),"")</f>
        <v>-152</v>
      </c>
      <c r="AD10" s="34">
        <f>IFERROR(IFERROR(VLOOKUP($C10&amp;" "&amp;AD$1,Results!$G:$I,3,FALSE),-VLOOKUP($C10&amp;" "&amp;AD$1,Results!$H:$I,2,FALSE)),"")</f>
        <v>-180</v>
      </c>
      <c r="AE10" s="34" t="str">
        <f>IFERROR(IFERROR(VLOOKUP($C10&amp;" "&amp;AE$1,Results!$G:$I,3,FALSE),-VLOOKUP($C10&amp;" "&amp;AE$1,Results!$H:$I,2,FALSE)),"")</f>
        <v/>
      </c>
      <c r="AF10" s="67">
        <f>IFERROR(IFERROR(VLOOKUP($C10&amp;" "&amp;AF$1,Results!$G:$I,3,FALSE),-VLOOKUP($C10&amp;" "&amp;AF$1,Results!$H:$I,2,FALSE)),"")</f>
        <v>-20</v>
      </c>
      <c r="AG10" s="14">
        <f>IFERROR(IFERROR(VLOOKUP($C10&amp;" "&amp;AG$1,Results!$G:$I,3,FALSE),-VLOOKUP($C10&amp;" "&amp;AG$1,Results!$H:$I,2,FALSE)),"")</f>
        <v>-71</v>
      </c>
      <c r="AH10" s="14">
        <f>IFERROR(IFERROR(VLOOKUP($C10&amp;" "&amp;AH$1,Results!$G:$I,3,FALSE),-VLOOKUP($C10&amp;" "&amp;AH$1,Results!$H:$I,2,FALSE)),"")</f>
        <v>-105</v>
      </c>
      <c r="AI10" s="14" t="str">
        <f>IFERROR(IFERROR(VLOOKUP($C10&amp;" "&amp;AI$1,Results!$G:$I,3,FALSE),-VLOOKUP($C10&amp;" "&amp;AI$1,Results!$H:$I,2,FALSE)),"")</f>
        <v/>
      </c>
      <c r="AJ10" s="14" t="str">
        <f>IFERROR(IFERROR(VLOOKUP($C10&amp;" "&amp;AJ$1,Results!$G:$I,3,FALSE),-VLOOKUP($C10&amp;" "&amp;AJ$1,Results!$H:$I,2,FALSE)),"")</f>
        <v/>
      </c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30"/>
      <c r="BK10" s="30"/>
      <c r="BL10" s="30"/>
      <c r="BM10" s="30"/>
      <c r="BN10" s="23"/>
      <c r="BO10" s="23"/>
      <c r="BP10" s="23"/>
      <c r="BW10" s="111">
        <f t="shared" si="7"/>
        <v>-663</v>
      </c>
      <c r="BX10" s="15">
        <f t="shared" si="10"/>
        <v>0</v>
      </c>
      <c r="BY10" s="15">
        <f t="shared" si="11"/>
        <v>5</v>
      </c>
      <c r="BZ10" s="15">
        <f t="shared" si="12"/>
        <v>6</v>
      </c>
      <c r="CA10" s="90">
        <f t="shared" si="8"/>
        <v>0</v>
      </c>
      <c r="CC10" s="22">
        <f t="shared" si="4"/>
        <v>-663</v>
      </c>
      <c r="CE10" s="8">
        <v>6</v>
      </c>
      <c r="CF10" s="15">
        <f t="shared" si="5"/>
        <v>0</v>
      </c>
      <c r="CG10" s="15">
        <f t="shared" si="9"/>
        <v>6</v>
      </c>
    </row>
    <row r="11" spans="1:85" s="11" customFormat="1" ht="13.5" thickBot="1">
      <c r="A11" s="161"/>
      <c r="B11" s="161">
        <v>8</v>
      </c>
      <c r="C11" s="162" t="s">
        <v>11</v>
      </c>
      <c r="D11" s="161"/>
      <c r="E11" s="8">
        <f>IF(AND(AC11&gt;0,$A11&lt;VLOOKUP(AC$1,$C:$L,10,FALSE)),1,IF(AND(AC11&lt;0,$A11&gt;VLOOKUP(AC$1,$C:$L,10,FALSE)),1,0))</f>
        <v>0</v>
      </c>
      <c r="F11" s="8">
        <f>IF(AND(AD11&gt;0,$A11&lt;VLOOKUP(AD$1,$C:$L,10,FALSE)),1,IF(AND(AD11&lt;0,$A11&gt;VLOOKUP(AD$1,$C:$L,10,FALSE)),1,0))</f>
        <v>0</v>
      </c>
      <c r="G11" s="8">
        <f>IF(AND(AE11&gt;0,$A11&lt;VLOOKUP(AE$1,$C:$L,10,FALSE)),1,IF(AND(AE11&lt;0,$A11&gt;VLOOKUP(AE$1,$C:$L,10,FALSE)),1,0))</f>
        <v>0</v>
      </c>
      <c r="H11" s="8">
        <f>IF(AND(AG11&gt;0,$A11&lt;VLOOKUP(AG$1,$C:$L,10,FALSE)),1,IF(AND(AG11&lt;0,$A11&gt;VLOOKUP(AG$1,$C:$L,10,FALSE)),1,0))</f>
        <v>0</v>
      </c>
      <c r="I11" s="8">
        <f>IF(AND(AH11&gt;0,$A11&lt;VLOOKUP(AH$1,$C:$L,10,FALSE)),1,IF(AND(AH11&lt;0,$A11&gt;VLOOKUP(AH$1,$C:$L,10,FALSE)),1,0))</f>
        <v>0</v>
      </c>
      <c r="J11" s="8">
        <f>IF(AND(AI11&gt;0,$A11&lt;VLOOKUP(AI$1,$C:$L,10,FALSE)),1,IF(AND(AI11&lt;0,$A11&gt;VLOOKUP(AI$1,$C:$L,10,FALSE)),1,0))</f>
        <v>0</v>
      </c>
      <c r="K11" s="108" t="s">
        <v>135</v>
      </c>
      <c r="L11" s="161">
        <f t="shared" si="0"/>
        <v>0</v>
      </c>
      <c r="M11" s="164">
        <v>2</v>
      </c>
      <c r="N11" s="17">
        <f t="shared" si="1"/>
        <v>1</v>
      </c>
      <c r="O11" s="2">
        <f t="shared" si="2"/>
        <v>5</v>
      </c>
      <c r="P11" s="2">
        <f t="shared" si="3"/>
        <v>0</v>
      </c>
      <c r="Q11" s="18">
        <f>COUNTIF($AC11:$AF11,"&gt;0")</f>
        <v>1</v>
      </c>
      <c r="R11" s="19">
        <f>COUNTIF($AC11:$AF11,"&lt;0")</f>
        <v>2</v>
      </c>
      <c r="S11" s="20">
        <f>COUNTIF($AC11:$AF11,"=0")</f>
        <v>0</v>
      </c>
      <c r="T11" s="2">
        <f t="shared" si="13"/>
        <v>0</v>
      </c>
      <c r="U11" s="2"/>
      <c r="V11" s="14"/>
      <c r="W11" s="14"/>
      <c r="X11" s="14"/>
      <c r="Y11" s="14" t="str">
        <f>IFERROR(IFERROR(VLOOKUP($C11&amp;" "&amp;Y$1,Results!$G:$I,3,FALSE),-VLOOKUP($C11&amp;" "&amp;Y$1,Results!$H:$I,2,FALSE)),"")</f>
        <v/>
      </c>
      <c r="Z11" s="14" t="str">
        <f>IFERROR(IFERROR(VLOOKUP($C11&amp;" "&amp;Z$1,Results!$G:$I,3,FALSE),-VLOOKUP($C11&amp;" "&amp;Z$1,Results!$H:$I,2,FALSE)),"")</f>
        <v/>
      </c>
      <c r="AA11" s="14" t="str">
        <f>IFERROR(IFERROR(VLOOKUP($C11&amp;" "&amp;AA$1,Results!$G:$I,3,FALSE),-VLOOKUP($C11&amp;" "&amp;AA$1,Results!$H:$I,2,FALSE)),"")</f>
        <v/>
      </c>
      <c r="AB11" s="14" t="str">
        <f>IFERROR(IFERROR(VLOOKUP($C11&amp;" "&amp;AB$1,Results!$G:$I,3,FALSE),-VLOOKUP($C11&amp;" "&amp;AB$1,Results!$H:$I,2,FALSE)),"")</f>
        <v/>
      </c>
      <c r="AC11" s="68">
        <f>IFERROR(IFERROR(VLOOKUP($C11&amp;" "&amp;AC$1,Results!$G:$I,3,FALSE),-VLOOKUP($C11&amp;" "&amp;AC$1,Results!$H:$I,2,FALSE)),"")</f>
        <v>-59</v>
      </c>
      <c r="AD11" s="69">
        <f>IFERROR(IFERROR(VLOOKUP($C11&amp;" "&amp;AD$1,Results!$G:$I,3,FALSE),-VLOOKUP($C11&amp;" "&amp;AD$1,Results!$H:$I,2,FALSE)),"")</f>
        <v>-2</v>
      </c>
      <c r="AE11" s="69">
        <f>IFERROR(IFERROR(VLOOKUP($C11&amp;" "&amp;AE$1,Results!$G:$I,3,FALSE),-VLOOKUP($C11&amp;" "&amp;AE$1,Results!$H:$I,2,FALSE)),"")</f>
        <v>20</v>
      </c>
      <c r="AF11" s="35" t="str">
        <f>IFERROR(IFERROR(VLOOKUP($C11&amp;" "&amp;AF$1,Results!$G:$I,3,FALSE),-VLOOKUP($C11&amp;" "&amp;AF$1,Results!$H:$I,2,FALSE)),"")</f>
        <v/>
      </c>
      <c r="AG11" s="14">
        <f>IFERROR(IFERROR(VLOOKUP($C11&amp;" "&amp;AG$1,Results!$G:$I,3,FALSE),-VLOOKUP($C11&amp;" "&amp;AG$1,Results!$H:$I,2,FALSE)),"")</f>
        <v>-19</v>
      </c>
      <c r="AH11" s="14">
        <f>IFERROR(IFERROR(VLOOKUP($C11&amp;" "&amp;AH$1,Results!$G:$I,3,FALSE),-VLOOKUP($C11&amp;" "&amp;AH$1,Results!$H:$I,2,FALSE)),"")</f>
        <v>-13</v>
      </c>
      <c r="AI11" s="14">
        <f>IFERROR(IFERROR(VLOOKUP($C11&amp;" "&amp;AI$1,Results!$G:$I,3,FALSE),-VLOOKUP($C11&amp;" "&amp;AI$1,Results!$H:$I,2,FALSE)),"")</f>
        <v>-51</v>
      </c>
      <c r="AJ11" s="14" t="str">
        <f>IFERROR(IFERROR(VLOOKUP($C11&amp;" "&amp;AJ$1,Results!$G:$I,3,FALSE),-VLOOKUP($C11&amp;" "&amp;AJ$1,Results!$H:$I,2,FALSE)),"")</f>
        <v/>
      </c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30"/>
      <c r="BK11" s="30"/>
      <c r="BL11" s="30"/>
      <c r="BM11" s="30"/>
      <c r="BN11" s="23"/>
      <c r="BO11" s="23"/>
      <c r="BP11" s="23"/>
      <c r="BW11" s="111">
        <f t="shared" si="7"/>
        <v>-124</v>
      </c>
      <c r="BX11" s="15">
        <f t="shared" si="10"/>
        <v>0</v>
      </c>
      <c r="BY11" s="15">
        <f t="shared" si="11"/>
        <v>5</v>
      </c>
      <c r="BZ11" s="15">
        <f t="shared" si="12"/>
        <v>6</v>
      </c>
      <c r="CA11" s="90">
        <f t="shared" ref="CA11:CA40" si="14">+BX11/BZ11</f>
        <v>0</v>
      </c>
      <c r="CC11" s="22">
        <f t="shared" si="4"/>
        <v>-124</v>
      </c>
      <c r="CE11" s="8">
        <v>5</v>
      </c>
      <c r="CF11" s="15">
        <f t="shared" si="5"/>
        <v>0</v>
      </c>
      <c r="CG11" s="15">
        <f t="shared" si="9"/>
        <v>5</v>
      </c>
    </row>
    <row r="12" spans="1:85" s="11" customFormat="1">
      <c r="A12" s="161"/>
      <c r="B12" s="161">
        <v>9</v>
      </c>
      <c r="C12" s="162" t="s">
        <v>20</v>
      </c>
      <c r="D12" s="8"/>
      <c r="E12" s="8">
        <f>IF(AND(AD12&gt;0,$A12&lt;VLOOKUP(AD$1,$C:$L,10,FALSE)),1,IF(AND(AD12&lt;0,$A12&gt;VLOOKUP(AD$1,$C:$L,10,FALSE)),1,0))</f>
        <v>0</v>
      </c>
      <c r="F12" s="8">
        <f>IF(AND(AE12&gt;0,$A12&lt;VLOOKUP(AE$1,$C:$L,10,FALSE)),1,IF(AND(AE12&lt;0,$A12&gt;VLOOKUP(AE$1,$C:$L,10,FALSE)),1,0))</f>
        <v>0</v>
      </c>
      <c r="G12" s="8">
        <f>IF(AND(AF12&gt;0,$A12&lt;VLOOKUP(AF$1,$C:$L,10,FALSE)),1,IF(AND(AF12&lt;0,$A12&gt;VLOOKUP(AF$1,$C:$L,10,FALSE)),1,0))</f>
        <v>0</v>
      </c>
      <c r="H12" s="8">
        <f>IF(AND(AH12&gt;0,$A12&lt;VLOOKUP(AH$1,$C:$L,10,FALSE)),1,IF(AND(AH12&lt;0,$A12&gt;VLOOKUP(AH$1,$C:$L,10,FALSE)),1,0))</f>
        <v>0</v>
      </c>
      <c r="I12" s="8">
        <f>IF(AND(AI12&gt;0,$A12&lt;VLOOKUP(AI$1,$C:$L,10,FALSE)),1,IF(AND(AI12&lt;0,$A12&gt;VLOOKUP(AI$1,$C:$L,10,FALSE)),1,0))</f>
        <v>0</v>
      </c>
      <c r="J12" s="8">
        <f>IF(AND(AJ12&gt;0,$A12&lt;VLOOKUP(AJ$1,$C:$L,10,FALSE)),1,IF(AND(AJ12&lt;0,$A12&gt;VLOOKUP(AJ$1,$C:$L,10,FALSE)),1,0))</f>
        <v>0</v>
      </c>
      <c r="K12" s="108" t="s">
        <v>135</v>
      </c>
      <c r="L12" s="8">
        <f t="shared" si="0"/>
        <v>0</v>
      </c>
      <c r="M12" s="2">
        <v>3</v>
      </c>
      <c r="N12" s="17">
        <f t="shared" si="1"/>
        <v>3</v>
      </c>
      <c r="O12" s="2">
        <f t="shared" si="2"/>
        <v>3</v>
      </c>
      <c r="P12" s="2">
        <f t="shared" si="3"/>
        <v>0</v>
      </c>
      <c r="Q12" s="18">
        <f>COUNTIF($AG12:$AJ12,"&gt;0")</f>
        <v>1</v>
      </c>
      <c r="R12" s="19">
        <f>COUNTIF($AG12:$AJ12,"&lt;0")</f>
        <v>2</v>
      </c>
      <c r="S12" s="20">
        <f>COUNTIF($AG12:$AJ12,"=0")</f>
        <v>0</v>
      </c>
      <c r="T12" s="2">
        <f>COUNTIF(V12:BJ12,"NC")</f>
        <v>0</v>
      </c>
      <c r="U12" s="2"/>
      <c r="V12" s="14"/>
      <c r="W12" s="14"/>
      <c r="X12" s="14"/>
      <c r="Y12" s="14"/>
      <c r="Z12" s="14"/>
      <c r="AA12" s="14"/>
      <c r="AB12" s="14"/>
      <c r="AC12" s="14" t="str">
        <f>IFERROR(IFERROR(VLOOKUP($C12&amp;" "&amp;AC$1,Results!$G:$I,3,FALSE),-VLOOKUP($C12&amp;" "&amp;AC$1,Results!$H:$I,2,FALSE)),"")</f>
        <v/>
      </c>
      <c r="AD12" s="14">
        <f>IFERROR(IFERROR(VLOOKUP($C12&amp;" "&amp;AD$1,Results!$G:$I,3,FALSE),-VLOOKUP($C12&amp;" "&amp;AD$1,Results!$H:$I,2,FALSE)),"")</f>
        <v>-4</v>
      </c>
      <c r="AE12" s="14">
        <f>IFERROR(IFERROR(VLOOKUP($C12&amp;" "&amp;AE$1,Results!$G:$I,3,FALSE),-VLOOKUP($C12&amp;" "&amp;AE$1,Results!$H:$I,2,FALSE)),"")</f>
        <v>71</v>
      </c>
      <c r="AF12" s="14">
        <f>IFERROR(IFERROR(VLOOKUP($C12&amp;" "&amp;AF$1,Results!$G:$I,3,FALSE),-VLOOKUP($C12&amp;" "&amp;AF$1,Results!$H:$I,2,FALSE)),"")</f>
        <v>19</v>
      </c>
      <c r="AG12" s="33" t="str">
        <f>IFERROR(IFERROR(VLOOKUP($C12&amp;" "&amp;AG$1,Results!$G:$I,3,FALSE),-VLOOKUP($C12&amp;" "&amp;AG$1,Results!$H:$I,2,FALSE)),"")</f>
        <v/>
      </c>
      <c r="AH12" s="64">
        <f>IFERROR(IFERROR(VLOOKUP($C12&amp;" "&amp;AH$1,Results!$G:$I,3,FALSE),-VLOOKUP($C12&amp;" "&amp;AH$1,Results!$H:$I,2,FALSE)),"")</f>
        <v>-12</v>
      </c>
      <c r="AI12" s="64">
        <f>IFERROR(IFERROR(VLOOKUP($C12&amp;" "&amp;AI$1,Results!$G:$I,3,FALSE),-VLOOKUP($C12&amp;" "&amp;AI$1,Results!$H:$I,2,FALSE)),"")</f>
        <v>-46</v>
      </c>
      <c r="AJ12" s="65">
        <f>IFERROR(IFERROR(VLOOKUP($C12&amp;" "&amp;AJ$1,Results!$G:$I,3,FALSE),-VLOOKUP($C12&amp;" "&amp;AJ$1,Results!$H:$I,2,FALSE)),"")</f>
        <v>3</v>
      </c>
      <c r="AK12" s="14" t="str">
        <f>IFERROR(IFERROR(VLOOKUP($C12&amp;" "&amp;AK$1,Results!$G:$I,3,FALSE),-VLOOKUP($C12&amp;" "&amp;AK$1,Results!$H:$I,2,FALSE)),"")</f>
        <v/>
      </c>
      <c r="AL12" s="14" t="str">
        <f>IFERROR(IFERROR(VLOOKUP($C12&amp;" "&amp;AL$1,Results!$G:$I,3,FALSE),-VLOOKUP($C12&amp;" "&amp;AL$1,Results!$H:$I,2,FALSE)),"")</f>
        <v/>
      </c>
      <c r="AM12" s="14" t="str">
        <f>IFERROR(IFERROR(VLOOKUP($C12&amp;" "&amp;AM$1,Results!$G:$I,3,FALSE),-VLOOKUP($C12&amp;" "&amp;AM$1,Results!$H:$I,2,FALSE)),"")</f>
        <v/>
      </c>
      <c r="AN12" s="14" t="str">
        <f>IFERROR(IFERROR(VLOOKUP($C12&amp;" "&amp;AN$1,Results!$G:$I,3,FALSE),-VLOOKUP($C12&amp;" "&amp;AN$1,Results!$H:$I,2,FALSE)),"")</f>
        <v/>
      </c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30"/>
      <c r="BK12" s="30"/>
      <c r="BL12" s="30"/>
      <c r="BM12" s="30"/>
      <c r="BN12" s="23"/>
      <c r="BO12" s="23"/>
      <c r="BP12" s="23"/>
      <c r="BW12" s="111">
        <f t="shared" si="7"/>
        <v>31</v>
      </c>
      <c r="BX12" s="15">
        <f t="shared" si="10"/>
        <v>0</v>
      </c>
      <c r="BY12" s="15">
        <f t="shared" si="11"/>
        <v>5</v>
      </c>
      <c r="BZ12" s="15">
        <f t="shared" si="12"/>
        <v>6</v>
      </c>
      <c r="CA12" s="90">
        <f t="shared" si="14"/>
        <v>0</v>
      </c>
      <c r="CC12" s="22">
        <f t="shared" si="4"/>
        <v>31</v>
      </c>
      <c r="CE12" s="8">
        <v>16</v>
      </c>
      <c r="CF12" s="15">
        <f t="shared" si="5"/>
        <v>0</v>
      </c>
      <c r="CG12" s="15">
        <f t="shared" si="9"/>
        <v>16</v>
      </c>
    </row>
    <row r="13" spans="1:85" s="11" customFormat="1">
      <c r="A13" s="8"/>
      <c r="B13" s="8">
        <v>10</v>
      </c>
      <c r="C13" s="16" t="s">
        <v>12</v>
      </c>
      <c r="D13" s="8"/>
      <c r="E13" s="8">
        <f>IF(AND(AE13&gt;0,$A13&lt;VLOOKUP(AE$1,$C:$L,10,FALSE)),1,IF(AND(AE13&lt;0,$A13&gt;VLOOKUP(AE$1,$C:$L,10,FALSE)),1,0))</f>
        <v>0</v>
      </c>
      <c r="F13" s="8">
        <f>IF(AND(AF13&gt;0,$A13&lt;VLOOKUP(AF$1,$C:$L,10,FALSE)),1,IF(AND(AF13&lt;0,$A13&gt;VLOOKUP(AF$1,$C:$L,10,FALSE)),1,0))</f>
        <v>0</v>
      </c>
      <c r="G13" s="8">
        <f>IF(AND(AG13&gt;0,$A13&lt;VLOOKUP(AG$1,$C:$L,10,FALSE)),1,IF(AND(AG13&lt;0,$A13&gt;VLOOKUP(AG$1,$C:$L,10,FALSE)),1,0))</f>
        <v>0</v>
      </c>
      <c r="H13" s="8">
        <f>IF(AND(AI13&gt;0,$A13&lt;VLOOKUP(AI$1,$C:$L,10,FALSE)),1,IF(AND(AI13&lt;0,$A13&gt;VLOOKUP(AI$1,$C:$L,10,FALSE)),1,0))</f>
        <v>0</v>
      </c>
      <c r="I13" s="8">
        <f>IF(AND(AJ13&gt;0,$A13&lt;VLOOKUP(AJ$1,$C:$L,10,FALSE)),1,IF(AND(AJ13&lt;0,$A13&gt;VLOOKUP(AJ$1,$C:$L,10,FALSE)),1,0))</f>
        <v>0</v>
      </c>
      <c r="J13" s="8">
        <f>IF(AND(AK13&gt;0,$A13&lt;VLOOKUP(AK$1,$C:$L,10,FALSE)),1,IF(AND(AK13&lt;0,$A13&gt;VLOOKUP(AK$1,$C:$L,10,FALSE)),1,0))</f>
        <v>0</v>
      </c>
      <c r="K13" s="108" t="s">
        <v>135</v>
      </c>
      <c r="L13" s="8">
        <f t="shared" si="0"/>
        <v>0</v>
      </c>
      <c r="M13" s="2">
        <v>3</v>
      </c>
      <c r="N13" s="17">
        <f t="shared" si="1"/>
        <v>6</v>
      </c>
      <c r="O13" s="2">
        <f t="shared" si="2"/>
        <v>0</v>
      </c>
      <c r="P13" s="2">
        <f t="shared" si="3"/>
        <v>0</v>
      </c>
      <c r="Q13" s="18">
        <f>COUNTIF($AG13:$AJ13,"&gt;0")</f>
        <v>3</v>
      </c>
      <c r="R13" s="19">
        <f>COUNTIF($AG13:$AJ13,"&lt;0")</f>
        <v>0</v>
      </c>
      <c r="S13" s="20">
        <f>COUNTIF($AG13:$AJ13,"=0")</f>
        <v>0</v>
      </c>
      <c r="T13" s="2">
        <f t="shared" ref="T13:T15" si="15">COUNTIF(V13:BJ13,"NC")</f>
        <v>0</v>
      </c>
      <c r="U13" s="2"/>
      <c r="V13" s="14"/>
      <c r="W13" s="14"/>
      <c r="X13" s="14"/>
      <c r="Y13" s="14"/>
      <c r="Z13" s="14"/>
      <c r="AA13" s="14"/>
      <c r="AB13" s="14"/>
      <c r="AC13" s="14" t="str">
        <f>IFERROR(IFERROR(VLOOKUP($C13&amp;" "&amp;AC$1,Results!$G:$I,3,FALSE),-VLOOKUP($C13&amp;" "&amp;AC$1,Results!$H:$I,2,FALSE)),"")</f>
        <v/>
      </c>
      <c r="AD13" s="14" t="str">
        <f>IFERROR(IFERROR(VLOOKUP($C13&amp;" "&amp;AD$1,Results!$G:$I,3,FALSE),-VLOOKUP($C13&amp;" "&amp;AD$1,Results!$H:$I,2,FALSE)),"")</f>
        <v/>
      </c>
      <c r="AE13" s="14">
        <f>IFERROR(IFERROR(VLOOKUP($C13&amp;" "&amp;AE$1,Results!$G:$I,3,FALSE),-VLOOKUP($C13&amp;" "&amp;AE$1,Results!$H:$I,2,FALSE)),"")</f>
        <v>105</v>
      </c>
      <c r="AF13" s="14">
        <f>IFERROR(IFERROR(VLOOKUP($C13&amp;" "&amp;AF$1,Results!$G:$I,3,FALSE),-VLOOKUP($C13&amp;" "&amp;AF$1,Results!$H:$I,2,FALSE)),"")</f>
        <v>13</v>
      </c>
      <c r="AG13" s="66">
        <f>IFERROR(IFERROR(VLOOKUP($C13&amp;" "&amp;AG$1,Results!$G:$I,3,FALSE),-VLOOKUP($C13&amp;" "&amp;AG$1,Results!$H:$I,2,FALSE)),"")</f>
        <v>12</v>
      </c>
      <c r="AH13" s="34" t="str">
        <f>IFERROR(IFERROR(VLOOKUP($C13&amp;" "&amp;AH$1,Results!$G:$I,3,FALSE),-VLOOKUP($C13&amp;" "&amp;AH$1,Results!$H:$I,2,FALSE)),"")</f>
        <v/>
      </c>
      <c r="AI13" s="34">
        <f>IFERROR(IFERROR(VLOOKUP($C13&amp;" "&amp;AI$1,Results!$G:$I,3,FALSE),-VLOOKUP($C13&amp;" "&amp;AI$1,Results!$H:$I,2,FALSE)),"")</f>
        <v>46</v>
      </c>
      <c r="AJ13" s="67">
        <f>IFERROR(IFERROR(VLOOKUP($C13&amp;" "&amp;AJ$1,Results!$G:$I,3,FALSE),-VLOOKUP($C13&amp;" "&amp;AJ$1,Results!$H:$I,2,FALSE)),"")</f>
        <v>46</v>
      </c>
      <c r="AK13" s="14">
        <f>IFERROR(IFERROR(VLOOKUP($C13&amp;" "&amp;AK$1,Results!$G:$I,3,FALSE),-VLOOKUP($C13&amp;" "&amp;AK$1,Results!$H:$I,2,FALSE)),"")</f>
        <v>65</v>
      </c>
      <c r="AL13" s="14" t="str">
        <f>IFERROR(IFERROR(VLOOKUP($C13&amp;" "&amp;AL$1,Results!$G:$I,3,FALSE),-VLOOKUP($C13&amp;" "&amp;AL$1,Results!$H:$I,2,FALSE)),"")</f>
        <v/>
      </c>
      <c r="AM13" s="14" t="str">
        <f>IFERROR(IFERROR(VLOOKUP($C13&amp;" "&amp;AM$1,Results!$G:$I,3,FALSE),-VLOOKUP($C13&amp;" "&amp;AM$1,Results!$H:$I,2,FALSE)),"")</f>
        <v/>
      </c>
      <c r="AN13" s="14" t="str">
        <f>IFERROR(IFERROR(VLOOKUP($C13&amp;" "&amp;AN$1,Results!$G:$I,3,FALSE),-VLOOKUP($C13&amp;" "&amp;AN$1,Results!$H:$I,2,FALSE)),"")</f>
        <v/>
      </c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30"/>
      <c r="BK13" s="30"/>
      <c r="BL13" s="30"/>
      <c r="BM13" s="30"/>
      <c r="BN13" s="23"/>
      <c r="BO13" s="23"/>
      <c r="BP13" s="23"/>
      <c r="BW13" s="111">
        <f t="shared" si="7"/>
        <v>287</v>
      </c>
      <c r="BX13" s="15">
        <f t="shared" si="10"/>
        <v>0</v>
      </c>
      <c r="BY13" s="15">
        <f t="shared" si="11"/>
        <v>5</v>
      </c>
      <c r="BZ13" s="15">
        <f t="shared" si="12"/>
        <v>6</v>
      </c>
      <c r="CA13" s="90">
        <f t="shared" si="14"/>
        <v>0</v>
      </c>
      <c r="CC13" s="22">
        <f t="shared" si="4"/>
        <v>287</v>
      </c>
      <c r="CE13" s="8">
        <v>8</v>
      </c>
      <c r="CF13" s="15">
        <f t="shared" si="5"/>
        <v>0</v>
      </c>
      <c r="CG13" s="15">
        <f t="shared" si="9"/>
        <v>8</v>
      </c>
    </row>
    <row r="14" spans="1:85" s="11" customFormat="1">
      <c r="A14" s="8"/>
      <c r="B14" s="8">
        <v>11</v>
      </c>
      <c r="C14" s="61" t="s">
        <v>19</v>
      </c>
      <c r="D14" s="8"/>
      <c r="E14" s="8">
        <f>IF(AND(AF14&gt;0,$A14&lt;VLOOKUP(AF$1,$C:$L,10,FALSE)),1,IF(AND(AF14&lt;0,$A14&gt;VLOOKUP(AF$1,$C:$L,10,FALSE)),1,0))</f>
        <v>0</v>
      </c>
      <c r="F14" s="8">
        <f>IF(AND(AG14&gt;0,$A14&lt;VLOOKUP(AG$1,$C:$L,10,FALSE)),1,IF(AND(AG14&lt;0,$A14&gt;VLOOKUP(AG$1,$C:$L,10,FALSE)),1,0))</f>
        <v>0</v>
      </c>
      <c r="G14" s="8">
        <f>IF(AND(AH14&gt;0,$A14&lt;VLOOKUP(AH$1,$C:$L,10,FALSE)),1,IF(AND(AH14&lt;0,$A14&gt;VLOOKUP(AH$1,$C:$L,10,FALSE)),1,0))</f>
        <v>0</v>
      </c>
      <c r="H14" s="8">
        <f>IF(AND(AJ14&gt;0,$A14&lt;VLOOKUP(AJ$1,$C:$L,10,FALSE)),1,IF(AND(AJ14&lt;0,$A14&gt;VLOOKUP(AJ$1,$C:$L,10,FALSE)),1,0))</f>
        <v>0</v>
      </c>
      <c r="I14" s="8">
        <f>IF(AND(AK14&gt;0,$A14&lt;VLOOKUP(AK$1,$C:$L,10,FALSE)),1,IF(AND(AK14&lt;0,$A14&gt;VLOOKUP(AK$1,$C:$L,10,FALSE)),1,0))</f>
        <v>0</v>
      </c>
      <c r="J14" s="8">
        <f>IF(AND(AL14&gt;0,$A14&lt;VLOOKUP(AL$1,$C:$L,10,FALSE)),1,IF(AND(AL14&lt;0,$A14&gt;VLOOKUP(AL$1,$C:$L,10,FALSE)),1,0))</f>
        <v>0</v>
      </c>
      <c r="K14" s="108" t="s">
        <v>135</v>
      </c>
      <c r="L14" s="8">
        <f t="shared" si="0"/>
        <v>0</v>
      </c>
      <c r="M14" s="2">
        <v>3</v>
      </c>
      <c r="N14" s="17">
        <f t="shared" si="1"/>
        <v>5</v>
      </c>
      <c r="O14" s="2">
        <f t="shared" si="2"/>
        <v>1</v>
      </c>
      <c r="P14" s="2">
        <f t="shared" si="3"/>
        <v>0</v>
      </c>
      <c r="Q14" s="18">
        <f>COUNTIF($AG14:$AJ14,"&gt;0")</f>
        <v>2</v>
      </c>
      <c r="R14" s="19">
        <f>COUNTIF($AG14:$AJ14,"&lt;0")</f>
        <v>1</v>
      </c>
      <c r="S14" s="20">
        <f>COUNTIF($AG14:$AJ14,"=0")</f>
        <v>0</v>
      </c>
      <c r="T14" s="2">
        <f t="shared" si="15"/>
        <v>0</v>
      </c>
      <c r="U14" s="2"/>
      <c r="V14" s="14"/>
      <c r="W14" s="14"/>
      <c r="X14" s="14"/>
      <c r="Y14" s="14"/>
      <c r="Z14" s="14"/>
      <c r="AA14" s="14"/>
      <c r="AB14" s="14"/>
      <c r="AC14" s="70" t="str">
        <f>IFERROR(IFERROR(VLOOKUP($C14&amp;" "&amp;AC$1,Results!$G:$I,3,FALSE),-VLOOKUP($C14&amp;" "&amp;AC$1,Results!$H:$I,2,FALSE)),"")</f>
        <v/>
      </c>
      <c r="AD14" s="14" t="str">
        <f>IFERROR(IFERROR(VLOOKUP($C14&amp;" "&amp;AD$1,Results!$G:$I,3,FALSE),-VLOOKUP($C14&amp;" "&amp;AD$1,Results!$H:$I,2,FALSE)),"")</f>
        <v/>
      </c>
      <c r="AE14" s="14" t="str">
        <f>IFERROR(IFERROR(VLOOKUP($C14&amp;" "&amp;AE$1,Results!$G:$I,3,FALSE),-VLOOKUP($C14&amp;" "&amp;AE$1,Results!$H:$I,2,FALSE)),"")</f>
        <v/>
      </c>
      <c r="AF14" s="14">
        <f>IFERROR(IFERROR(VLOOKUP($C14&amp;" "&amp;AF$1,Results!$G:$I,3,FALSE),-VLOOKUP($C14&amp;" "&amp;AF$1,Results!$H:$I,2,FALSE)),"")</f>
        <v>51</v>
      </c>
      <c r="AG14" s="66">
        <f>IFERROR(IFERROR(VLOOKUP($C14&amp;" "&amp;AG$1,Results!$G:$I,3,FALSE),-VLOOKUP($C14&amp;" "&amp;AG$1,Results!$H:$I,2,FALSE)),"")</f>
        <v>46</v>
      </c>
      <c r="AH14" s="34">
        <f>IFERROR(IFERROR(VLOOKUP($C14&amp;" "&amp;AH$1,Results!$G:$I,3,FALSE),-VLOOKUP($C14&amp;" "&amp;AH$1,Results!$H:$I,2,FALSE)),"")</f>
        <v>-46</v>
      </c>
      <c r="AI14" s="34" t="str">
        <f>IFERROR(IFERROR(VLOOKUP($C14&amp;" "&amp;AI$1,Results!$G:$I,3,FALSE),-VLOOKUP($C14&amp;" "&amp;AI$1,Results!$H:$I,2,FALSE)),"")</f>
        <v/>
      </c>
      <c r="AJ14" s="67">
        <f>IFERROR(IFERROR(VLOOKUP($C14&amp;" "&amp;AJ$1,Results!$G:$I,3,FALSE),-VLOOKUP($C14&amp;" "&amp;AJ$1,Results!$H:$I,2,FALSE)),"")</f>
        <v>21</v>
      </c>
      <c r="AK14" s="14">
        <f>IFERROR(IFERROR(VLOOKUP($C14&amp;" "&amp;AK$1,Results!$G:$I,3,FALSE),-VLOOKUP($C14&amp;" "&amp;AK$1,Results!$H:$I,2,FALSE)),"")</f>
        <v>16</v>
      </c>
      <c r="AL14" s="14">
        <f>IFERROR(IFERROR(VLOOKUP($C14&amp;" "&amp;AL$1,Results!$G:$I,3,FALSE),-VLOOKUP($C14&amp;" "&amp;AL$1,Results!$H:$I,2,FALSE)),"")</f>
        <v>25</v>
      </c>
      <c r="AM14" s="14" t="str">
        <f>IFERROR(IFERROR(VLOOKUP($C14&amp;" "&amp;AM$1,Results!$G:$I,3,FALSE),-VLOOKUP($C14&amp;" "&amp;AM$1,Results!$H:$I,2,FALSE)),"")</f>
        <v/>
      </c>
      <c r="AN14" s="14" t="str">
        <f>IFERROR(IFERROR(VLOOKUP($C14&amp;" "&amp;AN$1,Results!$G:$I,3,FALSE),-VLOOKUP($C14&amp;" "&amp;AN$1,Results!$H:$I,2,FALSE)),"")</f>
        <v/>
      </c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30"/>
      <c r="BK14" s="30"/>
      <c r="BL14" s="30"/>
      <c r="BM14" s="30"/>
      <c r="BN14" s="23"/>
      <c r="BO14" s="23"/>
      <c r="BP14" s="23"/>
      <c r="BW14" s="111">
        <f t="shared" si="7"/>
        <v>113</v>
      </c>
      <c r="BX14" s="15">
        <f t="shared" si="10"/>
        <v>0</v>
      </c>
      <c r="BY14" s="15">
        <f t="shared" si="11"/>
        <v>5</v>
      </c>
      <c r="BZ14" s="15">
        <f t="shared" si="12"/>
        <v>6</v>
      </c>
      <c r="CA14" s="90">
        <f t="shared" si="14"/>
        <v>0</v>
      </c>
      <c r="CC14" s="22">
        <f t="shared" si="4"/>
        <v>113</v>
      </c>
      <c r="CE14" s="8">
        <v>10</v>
      </c>
      <c r="CF14" s="15">
        <f t="shared" si="5"/>
        <v>0</v>
      </c>
      <c r="CG14" s="15">
        <f t="shared" si="9"/>
        <v>10</v>
      </c>
    </row>
    <row r="15" spans="1:85" s="11" customFormat="1" ht="13.5" thickBot="1">
      <c r="A15" s="15"/>
      <c r="B15" s="15">
        <v>12</v>
      </c>
      <c r="C15" s="16" t="s">
        <v>17</v>
      </c>
      <c r="D15" s="8"/>
      <c r="E15" s="8">
        <f>IF(AND(AG15&gt;0,$A15&lt;VLOOKUP(AG$1,$C:$L,10,FALSE)),1,IF(AND(AG15&lt;0,$A15&gt;VLOOKUP(AG$1,$C:$L,10,FALSE)),1,0))</f>
        <v>0</v>
      </c>
      <c r="F15" s="8">
        <f>IF(AND(AH15&gt;0,$A15&lt;VLOOKUP(AH$1,$C:$L,10,FALSE)),1,IF(AND(AH15&lt;0,$A15&gt;VLOOKUP(AH$1,$C:$L,10,FALSE)),1,0))</f>
        <v>0</v>
      </c>
      <c r="G15" s="8">
        <f>IF(AND(AI15&gt;0,$A15&lt;VLOOKUP(AI$1,$C:$L,10,FALSE)),1,IF(AND(AI15&lt;0,$A15&gt;VLOOKUP(AI$1,$C:$L,10,FALSE)),1,0))</f>
        <v>0</v>
      </c>
      <c r="H15" s="8">
        <f>IF(AND(AK15&gt;0,$A15&lt;VLOOKUP(AK$1,$C:$L,10,FALSE)),1,IF(AND(AK15&lt;0,$A15&gt;VLOOKUP(AK$1,$C:$L,10,FALSE)),1,0))</f>
        <v>0</v>
      </c>
      <c r="I15" s="8">
        <f>IF(AND(AL15&gt;0,$A15&lt;VLOOKUP(AL$1,$C:$L,10,FALSE)),1,IF(AND(AL15&lt;0,$A15&gt;VLOOKUP(AL$1,$C:$L,10,FALSE)),1,0))</f>
        <v>0</v>
      </c>
      <c r="J15" s="8">
        <f>IF(AND(AM15&gt;0,$A15&lt;VLOOKUP(AM$1,$C:$L,10,FALSE)),1,IF(AND(AM15&lt;0,$A15&gt;VLOOKUP(AM$1,$C:$L,10,FALSE)),1,0))</f>
        <v>0</v>
      </c>
      <c r="K15" s="108" t="s">
        <v>135</v>
      </c>
      <c r="L15" s="8">
        <f t="shared" si="0"/>
        <v>0</v>
      </c>
      <c r="M15" s="2">
        <v>3</v>
      </c>
      <c r="N15" s="17">
        <f t="shared" si="1"/>
        <v>2</v>
      </c>
      <c r="O15" s="2">
        <f t="shared" si="2"/>
        <v>4</v>
      </c>
      <c r="P15" s="2">
        <f t="shared" si="3"/>
        <v>0</v>
      </c>
      <c r="Q15" s="18">
        <f>COUNTIF($AG15:$AJ15,"&gt;0")</f>
        <v>0</v>
      </c>
      <c r="R15" s="19">
        <f>COUNTIF($AG15:$AJ15,"&lt;0")</f>
        <v>3</v>
      </c>
      <c r="S15" s="20">
        <f>COUNTIF($AG15:$AJ15,"=0")</f>
        <v>0</v>
      </c>
      <c r="T15" s="2">
        <f t="shared" si="15"/>
        <v>0</v>
      </c>
      <c r="U15" s="2"/>
      <c r="V15" s="14"/>
      <c r="W15" s="14"/>
      <c r="X15" s="14"/>
      <c r="Y15" s="14"/>
      <c r="Z15" s="14"/>
      <c r="AA15" s="14"/>
      <c r="AB15" s="14"/>
      <c r="AC15" s="14" t="str">
        <f>IFERROR(IFERROR(VLOOKUP($C15&amp;" "&amp;AC$1,Results!$G:$I,3,FALSE),-VLOOKUP($C15&amp;" "&amp;AC$1,Results!$H:$I,2,FALSE)),"")</f>
        <v/>
      </c>
      <c r="AD15" s="14" t="str">
        <f>IFERROR(IFERROR(VLOOKUP($C15&amp;" "&amp;AD$1,Results!$G:$I,3,FALSE),-VLOOKUP($C15&amp;" "&amp;AD$1,Results!$H:$I,2,FALSE)),"")</f>
        <v/>
      </c>
      <c r="AE15" s="14" t="str">
        <f>IFERROR(IFERROR(VLOOKUP($C15&amp;" "&amp;AE$1,Results!$G:$I,3,FALSE),-VLOOKUP($C15&amp;" "&amp;AE$1,Results!$H:$I,2,FALSE)),"")</f>
        <v/>
      </c>
      <c r="AF15" s="14" t="str">
        <f>IFERROR(IFERROR(VLOOKUP($C15&amp;" "&amp;AF$1,Results!$G:$I,3,FALSE),-VLOOKUP($C15&amp;" "&amp;AF$1,Results!$H:$I,2,FALSE)),"")</f>
        <v/>
      </c>
      <c r="AG15" s="68">
        <f>IFERROR(IFERROR(VLOOKUP($C15&amp;" "&amp;AG$1,Results!$G:$I,3,FALSE),-VLOOKUP($C15&amp;" "&amp;AG$1,Results!$H:$I,2,FALSE)),"")</f>
        <v>-3</v>
      </c>
      <c r="AH15" s="69">
        <f>IFERROR(IFERROR(VLOOKUP($C15&amp;" "&amp;AH$1,Results!$G:$I,3,FALSE),-VLOOKUP($C15&amp;" "&amp;AH$1,Results!$H:$I,2,FALSE)),"")</f>
        <v>-46</v>
      </c>
      <c r="AI15" s="69">
        <f>IFERROR(IFERROR(VLOOKUP($C15&amp;" "&amp;AI$1,Results!$G:$I,3,FALSE),-VLOOKUP($C15&amp;" "&amp;AI$1,Results!$H:$I,2,FALSE)),"")</f>
        <v>-21</v>
      </c>
      <c r="AJ15" s="35" t="str">
        <f>IFERROR(IFERROR(VLOOKUP($C15&amp;" "&amp;AJ$1,Results!$G:$I,3,FALSE),-VLOOKUP($C15&amp;" "&amp;AJ$1,Results!$H:$I,2,FALSE)),"")</f>
        <v/>
      </c>
      <c r="AK15" s="14">
        <f>IFERROR(IFERROR(VLOOKUP($C15&amp;" "&amp;AK$1,Results!$G:$I,3,FALSE),-VLOOKUP($C15&amp;" "&amp;AK$1,Results!$H:$I,2,FALSE)),"")</f>
        <v>30</v>
      </c>
      <c r="AL15" s="14">
        <f>IFERROR(IFERROR(VLOOKUP($C15&amp;" "&amp;AL$1,Results!$G:$I,3,FALSE),-VLOOKUP($C15&amp;" "&amp;AL$1,Results!$H:$I,2,FALSE)),"")</f>
        <v>-83</v>
      </c>
      <c r="AM15" s="14">
        <f>IFERROR(IFERROR(VLOOKUP($C15&amp;" "&amp;AM$1,Results!$G:$I,3,FALSE),-VLOOKUP($C15&amp;" "&amp;AM$1,Results!$H:$I,2,FALSE)),"")</f>
        <v>108</v>
      </c>
      <c r="AN15" s="14" t="str">
        <f>IFERROR(IFERROR(VLOOKUP($C15&amp;" "&amp;AN$1,Results!$G:$I,3,FALSE),-VLOOKUP($C15&amp;" "&amp;AN$1,Results!$H:$I,2,FALSE)),"")</f>
        <v/>
      </c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30"/>
      <c r="BK15" s="30"/>
      <c r="BL15" s="30"/>
      <c r="BM15" s="30"/>
      <c r="BN15" s="23"/>
      <c r="BO15" s="23"/>
      <c r="BP15" s="23"/>
      <c r="BW15" s="111">
        <f t="shared" si="7"/>
        <v>-15</v>
      </c>
      <c r="BX15" s="15">
        <f t="shared" si="10"/>
        <v>0</v>
      </c>
      <c r="BY15" s="15">
        <f t="shared" si="11"/>
        <v>5</v>
      </c>
      <c r="BZ15" s="15">
        <f t="shared" si="12"/>
        <v>6</v>
      </c>
      <c r="CA15" s="90">
        <f t="shared" si="14"/>
        <v>0</v>
      </c>
      <c r="CC15" s="22">
        <f t="shared" si="4"/>
        <v>-15</v>
      </c>
      <c r="CE15" s="8">
        <v>14</v>
      </c>
      <c r="CF15" s="15">
        <f t="shared" si="5"/>
        <v>0</v>
      </c>
      <c r="CG15" s="15">
        <f t="shared" si="9"/>
        <v>14</v>
      </c>
    </row>
    <row r="16" spans="1:85" s="11" customFormat="1">
      <c r="A16" s="8"/>
      <c r="B16" s="8">
        <v>13</v>
      </c>
      <c r="C16" s="16" t="s">
        <v>13</v>
      </c>
      <c r="D16" s="8"/>
      <c r="E16" s="8">
        <f>IF(AND(AH16&gt;0,$A16&lt;VLOOKUP(AH$1,$C:$L,10,FALSE)),1,IF(AND(AH16&lt;0,$A16&gt;VLOOKUP(AH$1,$C:$L,10,FALSE)),1,0))</f>
        <v>0</v>
      </c>
      <c r="F16" s="8">
        <f>IF(AND(AI16&gt;0,$A16&lt;VLOOKUP(AI$1,$C:$L,10,FALSE)),1,IF(AND(AI16&lt;0,$A16&gt;VLOOKUP(AI$1,$C:$L,10,FALSE)),1,0))</f>
        <v>0</v>
      </c>
      <c r="G16" s="8">
        <f>IF(AND(AJ16&gt;0,$A16&lt;VLOOKUP(AJ$1,$C:$L,10,FALSE)),1,IF(AND(AJ16&lt;0,$A16&gt;VLOOKUP(AJ$1,$C:$L,10,FALSE)),1,0))</f>
        <v>0</v>
      </c>
      <c r="H16" s="8">
        <f>IF(AND(AL16&gt;0,$A16&lt;VLOOKUP(AL$1,$C:$L,10,FALSE)),1,IF(AND(AL16&lt;0,$A16&gt;VLOOKUP(AL$1,$C:$L,10,FALSE)),1,0))</f>
        <v>0</v>
      </c>
      <c r="I16" s="8">
        <f>IF(AND(AM16&gt;0,$A16&lt;VLOOKUP(AM$1,$C:$L,10,FALSE)),1,IF(AND(AM16&lt;0,$A16&gt;VLOOKUP(AM$1,$C:$L,10,FALSE)),1,0))</f>
        <v>0</v>
      </c>
      <c r="J16" s="8">
        <f>IF(AND(AN16&gt;0,$A16&lt;VLOOKUP(AN$1,$C:$L,10,FALSE)),1,IF(AND(AN16&lt;0,$A16&gt;VLOOKUP(AN$1,$C:$L,10,FALSE)),1,0))</f>
        <v>0</v>
      </c>
      <c r="K16" s="108" t="s">
        <v>135</v>
      </c>
      <c r="L16" s="8">
        <f t="shared" si="0"/>
        <v>0</v>
      </c>
      <c r="M16" s="2">
        <v>4</v>
      </c>
      <c r="N16" s="17">
        <f t="shared" si="1"/>
        <v>2</v>
      </c>
      <c r="O16" s="2">
        <f t="shared" si="2"/>
        <v>3</v>
      </c>
      <c r="P16" s="2">
        <f t="shared" si="3"/>
        <v>1</v>
      </c>
      <c r="Q16" s="18">
        <f>COUNTIF($AK16:$AN16,"&gt;0")</f>
        <v>2</v>
      </c>
      <c r="R16" s="19">
        <f>COUNTIF($AK16:$AN16,"&lt;0")</f>
        <v>0</v>
      </c>
      <c r="S16" s="20">
        <f>COUNTIF($AK16:$AN16,"=0")</f>
        <v>1</v>
      </c>
      <c r="T16" s="2">
        <f>COUNTIF(V16:BJ16,"NC")</f>
        <v>0</v>
      </c>
      <c r="U16" s="2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 t="str">
        <f>IFERROR(IFERROR(VLOOKUP($C16&amp;" "&amp;AG$1,Results!$G:$I,3,FALSE),-VLOOKUP($C16&amp;" "&amp;AG$1,Results!$H:$I,2,FALSE)),"")</f>
        <v/>
      </c>
      <c r="AH16" s="14">
        <f>IFERROR(IFERROR(VLOOKUP($C16&amp;" "&amp;AH$1,Results!$G:$I,3,FALSE),-VLOOKUP($C16&amp;" "&amp;AH$1,Results!$H:$I,2,FALSE)),"")</f>
        <v>-65</v>
      </c>
      <c r="AI16" s="14">
        <f>IFERROR(IFERROR(VLOOKUP($C16&amp;" "&amp;AI$1,Results!$G:$I,3,FALSE),-VLOOKUP($C16&amp;" "&amp;AI$1,Results!$H:$I,2,FALSE)),"")</f>
        <v>-16</v>
      </c>
      <c r="AJ16" s="14">
        <f>IFERROR(IFERROR(VLOOKUP($C16&amp;" "&amp;AJ$1,Results!$G:$I,3,FALSE),-VLOOKUP($C16&amp;" "&amp;AJ$1,Results!$H:$I,2,FALSE)),"")</f>
        <v>-30</v>
      </c>
      <c r="AK16" s="33" t="str">
        <f>IFERROR(IFERROR(VLOOKUP($C16&amp;" "&amp;AK$1,Results!$G:$I,3,FALSE),-VLOOKUP($C16&amp;" "&amp;AK$1,Results!$H:$I,2,FALSE)),"")</f>
        <v/>
      </c>
      <c r="AL16" s="64">
        <f>IFERROR(IFERROR(VLOOKUP($C16&amp;" "&amp;AL$1,Results!$G:$I,3,FALSE),-VLOOKUP($C16&amp;" "&amp;AL$1,Results!$H:$I,2,FALSE)),"")</f>
        <v>0</v>
      </c>
      <c r="AM16" s="64">
        <f>IFERROR(IFERROR(VLOOKUP($C16&amp;" "&amp;AM$1,Results!$G:$I,3,FALSE),-VLOOKUP($C16&amp;" "&amp;AM$1,Results!$H:$I,2,FALSE)),"")</f>
        <v>122</v>
      </c>
      <c r="AN16" s="65">
        <f>IFERROR(IFERROR(VLOOKUP($C16&amp;" "&amp;AN$1,Results!$G:$I,3,FALSE),-VLOOKUP($C16&amp;" "&amp;AN$1,Results!$H:$I,2,FALSE)),"")</f>
        <v>4</v>
      </c>
      <c r="AO16" s="14" t="str">
        <f>IFERROR(IFERROR(VLOOKUP($C16&amp;" "&amp;AO$1,Results!$G:$I,3,FALSE),-VLOOKUP($C16&amp;" "&amp;AO$1,Results!$H:$I,2,FALSE)),"")</f>
        <v/>
      </c>
      <c r="AP16" s="14" t="str">
        <f>IFERROR(IFERROR(VLOOKUP($C16&amp;" "&amp;AP$1,Results!$G:$I,3,FALSE),-VLOOKUP($C16&amp;" "&amp;AP$1,Results!$H:$I,2,FALSE)),"")</f>
        <v/>
      </c>
      <c r="AQ16" s="14" t="str">
        <f>IFERROR(IFERROR(VLOOKUP($C16&amp;" "&amp;AQ$1,Results!$G:$I,3,FALSE),-VLOOKUP($C16&amp;" "&amp;AQ$1,Results!$H:$I,2,FALSE)),"")</f>
        <v/>
      </c>
      <c r="AR16" s="14" t="str">
        <f>IFERROR(IFERROR(VLOOKUP($C16&amp;" "&amp;AR$1,Results!$G:$I,3,FALSE),-VLOOKUP($C16&amp;" "&amp;AR$1,Results!$H:$I,2,FALSE)),"")</f>
        <v/>
      </c>
      <c r="AS16" s="14" t="str">
        <f>IFERROR(IFERROR(VLOOKUP($C16&amp;" "&amp;AS$1,Results!$G:$I,3,FALSE),-VLOOKUP($C16&amp;" "&amp;AS$1,Results!$H:$I,2,FALSE)),"")</f>
        <v/>
      </c>
      <c r="AT16" s="14" t="str">
        <f>IFERROR(IFERROR(VLOOKUP($C16&amp;" "&amp;AT$1,Results!$G:$I,3,FALSE),-VLOOKUP($C16&amp;" "&amp;AT$1,Results!$H:$I,2,FALSE)),"")</f>
        <v/>
      </c>
      <c r="AU16" s="14" t="str">
        <f>IFERROR(IFERROR(VLOOKUP($C16&amp;" "&amp;AU$1,Results!$G:$I,3,FALSE),-VLOOKUP($C16&amp;" "&amp;AU$1,Results!$H:$I,2,FALSE)),"")</f>
        <v/>
      </c>
      <c r="AV16" s="14" t="str">
        <f>IFERROR(IFERROR(VLOOKUP($C16&amp;" "&amp;AV$1,Results!$G:$I,3,FALSE),-VLOOKUP($C16&amp;" "&amp;AV$1,Results!$H:$I,2,FALSE)),"")</f>
        <v/>
      </c>
      <c r="AW16" s="14" t="str">
        <f>IFERROR(IFERROR(VLOOKUP($C16&amp;" "&amp;AW$1,Results!$G:$I,3,FALSE),-VLOOKUP($C16&amp;" "&amp;AW$1,Results!$H:$I,2,FALSE)),"")</f>
        <v/>
      </c>
      <c r="AX16" s="14" t="str">
        <f>IFERROR(IFERROR(VLOOKUP($C16&amp;" "&amp;AX$1,Results!$G:$I,3,FALSE),-VLOOKUP($C16&amp;" "&amp;AX$1,Results!$H:$I,2,FALSE)),"")</f>
        <v/>
      </c>
      <c r="AY16" s="14" t="str">
        <f>IFERROR(IFERROR(VLOOKUP($C16&amp;" "&amp;AY$1,Results!$G:$I,3,FALSE),-VLOOKUP($C16&amp;" "&amp;AY$1,Results!$H:$I,2,FALSE)),"")</f>
        <v/>
      </c>
      <c r="AZ16" s="14" t="str">
        <f>IFERROR(IFERROR(VLOOKUP($C16&amp;" "&amp;AZ$1,Results!$G:$I,3,FALSE),-VLOOKUP($C16&amp;" "&amp;AZ$1,Results!$H:$I,2,FALSE)),"")</f>
        <v/>
      </c>
      <c r="BA16" s="14" t="str">
        <f>IFERROR(IFERROR(VLOOKUP($C16&amp;" "&amp;BA$1,Results!$G:$I,3,FALSE),-VLOOKUP($C16&amp;" "&amp;BA$1,Results!$H:$I,2,FALSE)),"")</f>
        <v/>
      </c>
      <c r="BB16" s="14" t="str">
        <f>IFERROR(IFERROR(VLOOKUP($C16&amp;" "&amp;BB$1,Results!$G:$I,3,FALSE),-VLOOKUP($C16&amp;" "&amp;BB$1,Results!$H:$I,2,FALSE)),"")</f>
        <v/>
      </c>
      <c r="BC16" s="14" t="str">
        <f>IFERROR(IFERROR(VLOOKUP($C16&amp;" "&amp;BC$1,Results!$G:$I,3,FALSE),-VLOOKUP($C16&amp;" "&amp;BC$1,Results!$H:$I,2,FALSE)),"")</f>
        <v/>
      </c>
      <c r="BD16" s="14" t="str">
        <f>IFERROR(IFERROR(VLOOKUP($C16&amp;" "&amp;BD$1,Results!$G:$I,3,FALSE),-VLOOKUP($C16&amp;" "&amp;BD$1,Results!$H:$I,2,FALSE)),"")</f>
        <v/>
      </c>
      <c r="BE16" s="14"/>
      <c r="BF16" s="14"/>
      <c r="BG16" s="14"/>
      <c r="BH16" s="14"/>
      <c r="BI16" s="14"/>
      <c r="BJ16" s="30"/>
      <c r="BK16" s="30"/>
      <c r="BL16" s="30"/>
      <c r="BM16" s="30"/>
      <c r="BN16" s="23"/>
      <c r="BO16" s="23"/>
      <c r="BP16" s="23"/>
      <c r="BW16" s="111">
        <f t="shared" si="7"/>
        <v>15</v>
      </c>
      <c r="BX16" s="15">
        <f t="shared" si="10"/>
        <v>0</v>
      </c>
      <c r="BY16" s="15">
        <f t="shared" si="11"/>
        <v>5</v>
      </c>
      <c r="BZ16" s="15">
        <f t="shared" si="12"/>
        <v>6</v>
      </c>
      <c r="CA16" s="90">
        <f t="shared" si="14"/>
        <v>0</v>
      </c>
      <c r="CC16" s="22">
        <f t="shared" si="4"/>
        <v>15</v>
      </c>
      <c r="CE16" s="8">
        <v>15</v>
      </c>
      <c r="CF16" s="15">
        <f t="shared" si="5"/>
        <v>0</v>
      </c>
      <c r="CG16" s="15">
        <f t="shared" si="9"/>
        <v>15</v>
      </c>
    </row>
    <row r="17" spans="1:85" s="11" customFormat="1">
      <c r="A17" s="15"/>
      <c r="B17" s="15">
        <v>14</v>
      </c>
      <c r="C17" s="16" t="s">
        <v>26</v>
      </c>
      <c r="D17" s="8"/>
      <c r="E17" s="8">
        <f>IF(AND(AI17&gt;0,$A17&lt;VLOOKUP(AI$1,$C:$L,10,FALSE)),1,IF(AND(AI17&lt;0,$A17&gt;VLOOKUP(AI$1,$C:$L,10,FALSE)),1,0))</f>
        <v>0</v>
      </c>
      <c r="F17" s="8">
        <f>IF(AND(AJ17&gt;0,$A17&lt;VLOOKUP(AJ$1,$C:$L,10,FALSE)),1,IF(AND(AJ17&lt;0,$A17&gt;VLOOKUP(AJ$1,$C:$L,10,FALSE)),1,0))</f>
        <v>0</v>
      </c>
      <c r="G17" s="8">
        <f>IF(AND(AK17&gt;0,$A17&lt;VLOOKUP(AK$1,$C:$L,10,FALSE)),1,IF(AND(AK17&lt;0,$A17&gt;VLOOKUP(AK$1,$C:$L,10,FALSE)),1,0))</f>
        <v>0</v>
      </c>
      <c r="H17" s="8">
        <f>IF(AND(AM17&gt;0,$A17&lt;VLOOKUP(AM$1,$C:$L,10,FALSE)),1,IF(AND(AM17&lt;0,$A17&gt;VLOOKUP(AM$1,$C:$L,10,FALSE)),1,0))</f>
        <v>0</v>
      </c>
      <c r="I17" s="8">
        <f>IF(AND(AN17&gt;0,$A17&lt;VLOOKUP(AN$1,$C:$L,10,FALSE)),1,IF(AND(AN17&lt;0,$A17&gt;VLOOKUP(AN$1,$C:$L,10,FALSE)),1,0))</f>
        <v>0</v>
      </c>
      <c r="J17" s="8">
        <f>IF(AND(AO17&gt;0,$A17&lt;VLOOKUP(AO$1,$C:$L,10,FALSE)),1,IF(AND(AO17&lt;0,$A17&gt;VLOOKUP(AO$1,$C:$L,10,FALSE)),1,0))</f>
        <v>0</v>
      </c>
      <c r="K17" s="108" t="s">
        <v>135</v>
      </c>
      <c r="L17" s="8">
        <f t="shared" si="0"/>
        <v>0</v>
      </c>
      <c r="M17" s="2">
        <v>4</v>
      </c>
      <c r="N17" s="17">
        <f t="shared" si="1"/>
        <v>4</v>
      </c>
      <c r="O17" s="2">
        <f t="shared" si="2"/>
        <v>1</v>
      </c>
      <c r="P17" s="2">
        <f t="shared" si="3"/>
        <v>1</v>
      </c>
      <c r="Q17" s="18">
        <f>COUNTIF($AK17:$AN17,"&gt;0")</f>
        <v>2</v>
      </c>
      <c r="R17" s="19">
        <f>COUNTIF($AK17:$AN17,"&lt;0")</f>
        <v>0</v>
      </c>
      <c r="S17" s="20">
        <f>COUNTIF($AK17:$AN17,"=0")</f>
        <v>1</v>
      </c>
      <c r="T17" s="2">
        <f t="shared" ref="T17:T19" si="16">COUNTIF(V17:BJ17,"NC")</f>
        <v>0</v>
      </c>
      <c r="U17" s="2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 t="str">
        <f>IFERROR(IFERROR(VLOOKUP($C17&amp;" "&amp;AG$1,Results!$G:$I,3,FALSE),-VLOOKUP($C17&amp;" "&amp;AG$1,Results!$H:$I,2,FALSE)),"")</f>
        <v/>
      </c>
      <c r="AH17" s="14" t="str">
        <f>IFERROR(IFERROR(VLOOKUP($C17&amp;" "&amp;AH$1,Results!$G:$I,3,FALSE),-VLOOKUP($C17&amp;" "&amp;AH$1,Results!$H:$I,2,FALSE)),"")</f>
        <v/>
      </c>
      <c r="AI17" s="14">
        <f>IFERROR(IFERROR(VLOOKUP($C17&amp;" "&amp;AI$1,Results!$G:$I,3,FALSE),-VLOOKUP($C17&amp;" "&amp;AI$1,Results!$H:$I,2,FALSE)),"")</f>
        <v>-25</v>
      </c>
      <c r="AJ17" s="14">
        <f>IFERROR(IFERROR(VLOOKUP($C17&amp;" "&amp;AJ$1,Results!$G:$I,3,FALSE),-VLOOKUP($C17&amp;" "&amp;AJ$1,Results!$H:$I,2,FALSE)),"")</f>
        <v>83</v>
      </c>
      <c r="AK17" s="66">
        <f>IFERROR(IFERROR(VLOOKUP($C17&amp;" "&amp;AK$1,Results!$G:$I,3,FALSE),-VLOOKUP($C17&amp;" "&amp;AK$1,Results!$H:$I,2,FALSE)),"")</f>
        <v>0</v>
      </c>
      <c r="AL17" s="34" t="str">
        <f>IFERROR(IFERROR(VLOOKUP($C17&amp;" "&amp;AL$1,Results!$G:$I,3,FALSE),-VLOOKUP($C17&amp;" "&amp;AL$1,Results!$H:$I,2,FALSE)),"")</f>
        <v/>
      </c>
      <c r="AM17" s="34">
        <f>IFERROR(IFERROR(VLOOKUP($C17&amp;" "&amp;AM$1,Results!$G:$I,3,FALSE),-VLOOKUP($C17&amp;" "&amp;AM$1,Results!$H:$I,2,FALSE)),"")</f>
        <v>82</v>
      </c>
      <c r="AN17" s="67">
        <f>IFERROR(IFERROR(VLOOKUP($C17&amp;" "&amp;AN$1,Results!$G:$I,3,FALSE),-VLOOKUP($C17&amp;" "&amp;AN$1,Results!$H:$I,2,FALSE)),"")</f>
        <v>28</v>
      </c>
      <c r="AO17" s="14">
        <f>IFERROR(IFERROR(VLOOKUP($C17&amp;" "&amp;AO$1,Results!$G:$I,3,FALSE),-VLOOKUP($C17&amp;" "&amp;AO$1,Results!$H:$I,2,FALSE)),"")</f>
        <v>65</v>
      </c>
      <c r="AP17" s="14" t="str">
        <f>IFERROR(IFERROR(VLOOKUP($C17&amp;" "&amp;AP$1,Results!$G:$I,3,FALSE),-VLOOKUP($C17&amp;" "&amp;AP$1,Results!$H:$I,2,FALSE)),"")</f>
        <v/>
      </c>
      <c r="AQ17" s="14" t="str">
        <f>IFERROR(IFERROR(VLOOKUP($C17&amp;" "&amp;AQ$1,Results!$G:$I,3,FALSE),-VLOOKUP($C17&amp;" "&amp;AQ$1,Results!$H:$I,2,FALSE)),"")</f>
        <v/>
      </c>
      <c r="AR17" s="14" t="str">
        <f>IFERROR(IFERROR(VLOOKUP($C17&amp;" "&amp;AR$1,Results!$G:$I,3,FALSE),-VLOOKUP($C17&amp;" "&amp;AR$1,Results!$H:$I,2,FALSE)),"")</f>
        <v/>
      </c>
      <c r="AS17" s="14" t="str">
        <f>IFERROR(IFERROR(VLOOKUP($C17&amp;" "&amp;AS$1,Results!$G:$I,3,FALSE),-VLOOKUP($C17&amp;" "&amp;AS$1,Results!$H:$I,2,FALSE)),"")</f>
        <v/>
      </c>
      <c r="AT17" s="14" t="str">
        <f>IFERROR(IFERROR(VLOOKUP($C17&amp;" "&amp;AT$1,Results!$G:$I,3,FALSE),-VLOOKUP($C17&amp;" "&amp;AT$1,Results!$H:$I,2,FALSE)),"")</f>
        <v/>
      </c>
      <c r="AU17" s="14" t="str">
        <f>IFERROR(IFERROR(VLOOKUP($C17&amp;" "&amp;AU$1,Results!$G:$I,3,FALSE),-VLOOKUP($C17&amp;" "&amp;AU$1,Results!$H:$I,2,FALSE)),"")</f>
        <v/>
      </c>
      <c r="AV17" s="14" t="str">
        <f>IFERROR(IFERROR(VLOOKUP($C17&amp;" "&amp;AV$1,Results!$G:$I,3,FALSE),-VLOOKUP($C17&amp;" "&amp;AV$1,Results!$H:$I,2,FALSE)),"")</f>
        <v/>
      </c>
      <c r="AW17" s="14" t="str">
        <f>IFERROR(IFERROR(VLOOKUP($C17&amp;" "&amp;AW$1,Results!$G:$I,3,FALSE),-VLOOKUP($C17&amp;" "&amp;AW$1,Results!$H:$I,2,FALSE)),"")</f>
        <v/>
      </c>
      <c r="AX17" s="14" t="str">
        <f>IFERROR(IFERROR(VLOOKUP($C17&amp;" "&amp;AX$1,Results!$G:$I,3,FALSE),-VLOOKUP($C17&amp;" "&amp;AX$1,Results!$H:$I,2,FALSE)),"")</f>
        <v/>
      </c>
      <c r="AY17" s="14" t="str">
        <f>IFERROR(IFERROR(VLOOKUP($C17&amp;" "&amp;AY$1,Results!$G:$I,3,FALSE),-VLOOKUP($C17&amp;" "&amp;AY$1,Results!$H:$I,2,FALSE)),"")</f>
        <v/>
      </c>
      <c r="AZ17" s="14" t="str">
        <f>IFERROR(IFERROR(VLOOKUP($C17&amp;" "&amp;AZ$1,Results!$G:$I,3,FALSE),-VLOOKUP($C17&amp;" "&amp;AZ$1,Results!$H:$I,2,FALSE)),"")</f>
        <v/>
      </c>
      <c r="BA17" s="14" t="str">
        <f>IFERROR(IFERROR(VLOOKUP($C17&amp;" "&amp;BA$1,Results!$G:$I,3,FALSE),-VLOOKUP($C17&amp;" "&amp;BA$1,Results!$H:$I,2,FALSE)),"")</f>
        <v/>
      </c>
      <c r="BB17" s="14" t="str">
        <f>IFERROR(IFERROR(VLOOKUP($C17&amp;" "&amp;BB$1,Results!$G:$I,3,FALSE),-VLOOKUP($C17&amp;" "&amp;BB$1,Results!$H:$I,2,FALSE)),"")</f>
        <v/>
      </c>
      <c r="BC17" s="14" t="str">
        <f>IFERROR(IFERROR(VLOOKUP($C17&amp;" "&amp;BC$1,Results!$G:$I,3,FALSE),-VLOOKUP($C17&amp;" "&amp;BC$1,Results!$H:$I,2,FALSE)),"")</f>
        <v/>
      </c>
      <c r="BD17" s="14" t="str">
        <f>IFERROR(IFERROR(VLOOKUP($C17&amp;" "&amp;BD$1,Results!$G:$I,3,FALSE),-VLOOKUP($C17&amp;" "&amp;BD$1,Results!$H:$I,2,FALSE)),"")</f>
        <v/>
      </c>
      <c r="BE17" s="14"/>
      <c r="BF17" s="14"/>
      <c r="BG17" s="14"/>
      <c r="BH17" s="14"/>
      <c r="BI17" s="14"/>
      <c r="BJ17" s="30"/>
      <c r="BK17" s="30"/>
      <c r="BL17" s="30"/>
      <c r="BM17" s="30"/>
      <c r="BN17" s="23"/>
      <c r="BO17" s="23"/>
      <c r="BP17" s="23"/>
      <c r="BW17" s="111">
        <f t="shared" si="7"/>
        <v>233</v>
      </c>
      <c r="BX17" s="15">
        <f t="shared" si="10"/>
        <v>0</v>
      </c>
      <c r="BY17" s="15">
        <f t="shared" si="11"/>
        <v>5</v>
      </c>
      <c r="BZ17" s="15">
        <f t="shared" si="12"/>
        <v>6</v>
      </c>
      <c r="CA17" s="90">
        <f t="shared" si="14"/>
        <v>0</v>
      </c>
      <c r="CC17" s="22">
        <f t="shared" si="4"/>
        <v>233</v>
      </c>
      <c r="CE17" s="8">
        <v>11</v>
      </c>
      <c r="CF17" s="15">
        <f t="shared" si="5"/>
        <v>0</v>
      </c>
      <c r="CG17" s="15">
        <f t="shared" si="9"/>
        <v>11</v>
      </c>
    </row>
    <row r="18" spans="1:85" s="11" customFormat="1">
      <c r="A18" s="15"/>
      <c r="B18" s="15">
        <v>15</v>
      </c>
      <c r="C18" s="16" t="s">
        <v>2</v>
      </c>
      <c r="D18" s="8"/>
      <c r="E18" s="8">
        <f>IF(AND(AJ18&gt;0,$A18&lt;VLOOKUP(AJ$1,$C:$L,10,FALSE)),1,IF(AND(AJ18&lt;0,$A18&gt;VLOOKUP(AJ$1,$C:$L,10,FALSE)),1,0))</f>
        <v>0</v>
      </c>
      <c r="F18" s="8">
        <f>IF(AND(AK18&gt;0,$A18&lt;VLOOKUP(AK$1,$C:$L,10,FALSE)),1,IF(AND(AK18&lt;0,$A18&gt;VLOOKUP(AK$1,$C:$L,10,FALSE)),1,0))</f>
        <v>0</v>
      </c>
      <c r="G18" s="8">
        <f>IF(AND(AL18&gt;0,$A18&lt;VLOOKUP(AL$1,$C:$L,10,FALSE)),1,IF(AND(AL18&lt;0,$A18&gt;VLOOKUP(AL$1,$C:$L,10,FALSE)),1,0))</f>
        <v>0</v>
      </c>
      <c r="H18" s="8">
        <f>IF(AND(AN18&gt;0,$A18&lt;VLOOKUP(AN$1,$C:$L,10,FALSE)),1,IF(AND(AN18&lt;0,$A18&gt;VLOOKUP(AN$1,$C:$L,10,FALSE)),1,0))</f>
        <v>0</v>
      </c>
      <c r="I18" s="8">
        <f>IF(AND(AO18&gt;0,$A18&lt;VLOOKUP(AO$1,$C:$L,10,FALSE)),1,IF(AND(AO18&lt;0,$A18&gt;VLOOKUP(AO$1,$C:$L,10,FALSE)),1,0))</f>
        <v>0</v>
      </c>
      <c r="J18" s="8">
        <f>IF(AND(AP18&gt;0,$A18&lt;VLOOKUP(AP$1,$C:$L,10,FALSE)),1,IF(AND(AP18&lt;0,$A18&gt;VLOOKUP(AP$1,$C:$L,10,FALSE)),1,0))</f>
        <v>0</v>
      </c>
      <c r="K18" s="108" t="s">
        <v>135</v>
      </c>
      <c r="L18" s="8">
        <f t="shared" si="0"/>
        <v>0</v>
      </c>
      <c r="M18" s="2">
        <v>4</v>
      </c>
      <c r="N18" s="17">
        <f t="shared" si="1"/>
        <v>2</v>
      </c>
      <c r="O18" s="2">
        <f t="shared" si="2"/>
        <v>4</v>
      </c>
      <c r="P18" s="2">
        <f t="shared" si="3"/>
        <v>0</v>
      </c>
      <c r="Q18" s="18">
        <f>COUNTIF($AK18:$AN18,"&gt;0")</f>
        <v>0</v>
      </c>
      <c r="R18" s="19">
        <f>COUNTIF($AK18:$AN18,"&lt;0")</f>
        <v>3</v>
      </c>
      <c r="S18" s="20">
        <f>COUNTIF($AK18:$AN18,"=0")</f>
        <v>0</v>
      </c>
      <c r="T18" s="2">
        <f t="shared" si="16"/>
        <v>0</v>
      </c>
      <c r="U18" s="2"/>
      <c r="V18" s="14"/>
      <c r="W18" s="14"/>
      <c r="X18" s="14"/>
      <c r="Y18" s="77"/>
      <c r="Z18" s="14"/>
      <c r="AA18" s="14"/>
      <c r="AB18" s="14"/>
      <c r="AC18" s="14"/>
      <c r="AD18" s="14"/>
      <c r="AE18" s="14"/>
      <c r="AF18" s="14"/>
      <c r="AG18" s="14" t="str">
        <f>IFERROR(IFERROR(VLOOKUP($C18&amp;" "&amp;AG$1,Results!$G:$I,3,FALSE),-VLOOKUP($C18&amp;" "&amp;AG$1,Results!$H:$I,2,FALSE)),"")</f>
        <v/>
      </c>
      <c r="AH18" s="14" t="str">
        <f>IFERROR(IFERROR(VLOOKUP($C18&amp;" "&amp;AH$1,Results!$G:$I,3,FALSE),-VLOOKUP($C18&amp;" "&amp;AH$1,Results!$H:$I,2,FALSE)),"")</f>
        <v/>
      </c>
      <c r="AI18" s="14" t="str">
        <f>IFERROR(IFERROR(VLOOKUP($C18&amp;" "&amp;AI$1,Results!$G:$I,3,FALSE),-VLOOKUP($C18&amp;" "&amp;AI$1,Results!$H:$I,2,FALSE)),"")</f>
        <v/>
      </c>
      <c r="AJ18" s="14">
        <f>IFERROR(IFERROR(VLOOKUP($C18&amp;" "&amp;AJ$1,Results!$G:$I,3,FALSE),-VLOOKUP($C18&amp;" "&amp;AJ$1,Results!$H:$I,2,FALSE)),"")</f>
        <v>-108</v>
      </c>
      <c r="AK18" s="66">
        <f>IFERROR(IFERROR(VLOOKUP($C18&amp;" "&amp;AK$1,Results!$G:$I,3,FALSE),-VLOOKUP($C18&amp;" "&amp;AK$1,Results!$H:$I,2,FALSE)),"")</f>
        <v>-122</v>
      </c>
      <c r="AL18" s="34">
        <f>IFERROR(IFERROR(VLOOKUP($C18&amp;" "&amp;AL$1,Results!$G:$I,3,FALSE),-VLOOKUP($C18&amp;" "&amp;AL$1,Results!$H:$I,2,FALSE)),"")</f>
        <v>-82</v>
      </c>
      <c r="AM18" s="34" t="str">
        <f>IFERROR(IFERROR(VLOOKUP($C18&amp;" "&amp;AM$1,Results!$G:$I,3,FALSE),-VLOOKUP($C18&amp;" "&amp;AM$1,Results!$H:$I,2,FALSE)),"")</f>
        <v/>
      </c>
      <c r="AN18" s="67">
        <f>IFERROR(IFERROR(VLOOKUP($C18&amp;" "&amp;AN$1,Results!$G:$I,3,FALSE),-VLOOKUP($C18&amp;" "&amp;AN$1,Results!$H:$I,2,FALSE)),"")</f>
        <v>-20</v>
      </c>
      <c r="AO18" s="14">
        <f>IFERROR(IFERROR(VLOOKUP($C18&amp;" "&amp;AO$1,Results!$G:$I,3,FALSE),-VLOOKUP($C18&amp;" "&amp;AO$1,Results!$H:$I,2,FALSE)),"")</f>
        <v>55</v>
      </c>
      <c r="AP18" s="14">
        <f>IFERROR(IFERROR(VLOOKUP($C18&amp;" "&amp;AP$1,Results!$G:$I,3,FALSE),-VLOOKUP($C18&amp;" "&amp;AP$1,Results!$H:$I,2,FALSE)),"")</f>
        <v>53</v>
      </c>
      <c r="AQ18" s="14" t="str">
        <f>IFERROR(IFERROR(VLOOKUP($C18&amp;" "&amp;AQ$1,Results!$G:$I,3,FALSE),-VLOOKUP($C18&amp;" "&amp;AQ$1,Results!$H:$I,2,FALSE)),"")</f>
        <v/>
      </c>
      <c r="AR18" s="14" t="str">
        <f>IFERROR(IFERROR(VLOOKUP($C18&amp;" "&amp;AR$1,Results!$G:$I,3,FALSE),-VLOOKUP($C18&amp;" "&amp;AR$1,Results!$H:$I,2,FALSE)),"")</f>
        <v/>
      </c>
      <c r="AS18" s="14" t="str">
        <f>IFERROR(IFERROR(VLOOKUP($C18&amp;" "&amp;AS$1,Results!$G:$I,3,FALSE),-VLOOKUP($C18&amp;" "&amp;AS$1,Results!$H:$I,2,FALSE)),"")</f>
        <v/>
      </c>
      <c r="AT18" s="14" t="str">
        <f>IFERROR(IFERROR(VLOOKUP($C18&amp;" "&amp;AT$1,Results!$G:$I,3,FALSE),-VLOOKUP($C18&amp;" "&amp;AT$1,Results!$H:$I,2,FALSE)),"")</f>
        <v/>
      </c>
      <c r="AU18" s="14" t="str">
        <f>IFERROR(IFERROR(VLOOKUP($C18&amp;" "&amp;AU$1,Results!$G:$I,3,FALSE),-VLOOKUP($C18&amp;" "&amp;AU$1,Results!$H:$I,2,FALSE)),"")</f>
        <v/>
      </c>
      <c r="AV18" s="14" t="str">
        <f>IFERROR(IFERROR(VLOOKUP($C18&amp;" "&amp;AV$1,Results!$G:$I,3,FALSE),-VLOOKUP($C18&amp;" "&amp;AV$1,Results!$H:$I,2,FALSE)),"")</f>
        <v/>
      </c>
      <c r="AW18" s="14" t="str">
        <f>IFERROR(IFERROR(VLOOKUP($C18&amp;" "&amp;AW$1,Results!$G:$I,3,FALSE),-VLOOKUP($C18&amp;" "&amp;AW$1,Results!$H:$I,2,FALSE)),"")</f>
        <v/>
      </c>
      <c r="AX18" s="14" t="str">
        <f>IFERROR(IFERROR(VLOOKUP($C18&amp;" "&amp;AX$1,Results!$G:$I,3,FALSE),-VLOOKUP($C18&amp;" "&amp;AX$1,Results!$H:$I,2,FALSE)),"")</f>
        <v/>
      </c>
      <c r="AY18" s="14" t="str">
        <f>IFERROR(IFERROR(VLOOKUP($C18&amp;" "&amp;AY$1,Results!$G:$I,3,FALSE),-VLOOKUP($C18&amp;" "&amp;AY$1,Results!$H:$I,2,FALSE)),"")</f>
        <v/>
      </c>
      <c r="AZ18" s="14" t="str">
        <f>IFERROR(IFERROR(VLOOKUP($C18&amp;" "&amp;AZ$1,Results!$G:$I,3,FALSE),-VLOOKUP($C18&amp;" "&amp;AZ$1,Results!$H:$I,2,FALSE)),"")</f>
        <v/>
      </c>
      <c r="BA18" s="14" t="str">
        <f>IFERROR(IFERROR(VLOOKUP($C18&amp;" "&amp;BA$1,Results!$G:$I,3,FALSE),-VLOOKUP($C18&amp;" "&amp;BA$1,Results!$H:$I,2,FALSE)),"")</f>
        <v/>
      </c>
      <c r="BB18" s="14" t="str">
        <f>IFERROR(IFERROR(VLOOKUP($C18&amp;" "&amp;BB$1,Results!$G:$I,3,FALSE),-VLOOKUP($C18&amp;" "&amp;BB$1,Results!$H:$I,2,FALSE)),"")</f>
        <v/>
      </c>
      <c r="BC18" s="14" t="str">
        <f>IFERROR(IFERROR(VLOOKUP($C18&amp;" "&amp;BC$1,Results!$G:$I,3,FALSE),-VLOOKUP($C18&amp;" "&amp;BC$1,Results!$H:$I,2,FALSE)),"")</f>
        <v/>
      </c>
      <c r="BD18" s="14" t="str">
        <f>IFERROR(IFERROR(VLOOKUP($C18&amp;" "&amp;BD$1,Results!$G:$I,3,FALSE),-VLOOKUP($C18&amp;" "&amp;BD$1,Results!$H:$I,2,FALSE)),"")</f>
        <v/>
      </c>
      <c r="BE18" s="14"/>
      <c r="BF18" s="14"/>
      <c r="BG18" s="14"/>
      <c r="BH18" s="14"/>
      <c r="BI18" s="14"/>
      <c r="BJ18" s="30"/>
      <c r="BK18" s="30"/>
      <c r="BL18" s="30"/>
      <c r="BM18" s="30"/>
      <c r="BN18" s="23"/>
      <c r="BO18" s="23"/>
      <c r="BP18" s="23"/>
      <c r="BW18" s="111">
        <f t="shared" si="7"/>
        <v>-224</v>
      </c>
      <c r="BX18" s="15">
        <f t="shared" si="10"/>
        <v>0</v>
      </c>
      <c r="BY18" s="15">
        <f t="shared" si="11"/>
        <v>5</v>
      </c>
      <c r="BZ18" s="15">
        <f t="shared" si="12"/>
        <v>6</v>
      </c>
      <c r="CA18" s="90">
        <f t="shared" si="14"/>
        <v>0</v>
      </c>
      <c r="CC18" s="22">
        <f t="shared" si="4"/>
        <v>-224</v>
      </c>
      <c r="CE18" s="8">
        <v>12</v>
      </c>
      <c r="CF18" s="15">
        <f t="shared" si="5"/>
        <v>0</v>
      </c>
      <c r="CG18" s="15">
        <f t="shared" si="9"/>
        <v>12</v>
      </c>
    </row>
    <row r="19" spans="1:85" ht="13.5" thickBot="1">
      <c r="B19" s="15">
        <v>16</v>
      </c>
      <c r="C19" s="16" t="s">
        <v>36</v>
      </c>
      <c r="D19" s="8"/>
      <c r="E19" s="8">
        <f>IF(AND(AK19&gt;0,$A19&lt;VLOOKUP(AK$1,$C:$L,10,FALSE)),1,IF(AND(AK19&lt;0,$A19&gt;VLOOKUP(AK$1,$C:$L,10,FALSE)),1,0))</f>
        <v>0</v>
      </c>
      <c r="F19" s="8">
        <f>IF(AND(AL19&gt;0,$A19&lt;VLOOKUP(AL$1,$C:$L,10,FALSE)),1,IF(AND(AL19&lt;0,$A19&gt;VLOOKUP(AL$1,$C:$L,10,FALSE)),1,0))</f>
        <v>0</v>
      </c>
      <c r="G19" s="8">
        <f>IF(AND(AM19&gt;0,$A19&lt;VLOOKUP(AM$1,$C:$L,10,FALSE)),1,IF(AND(AM19&lt;0,$A19&gt;VLOOKUP(AM$1,$C:$L,10,FALSE)),1,0))</f>
        <v>0</v>
      </c>
      <c r="H19" s="8">
        <f>IF(AND(AO19&gt;0,$A19&lt;VLOOKUP(AO$1,$C:$L,10,FALSE)),1,IF(AND(AO19&lt;0,$A19&gt;VLOOKUP(AO$1,$C:$L,10,FALSE)),1,0))</f>
        <v>0</v>
      </c>
      <c r="I19" s="8">
        <f>IF(AND(AP19&gt;0,$A19&lt;VLOOKUP(AP$1,$C:$L,10,FALSE)),1,IF(AND(AP19&lt;0,$A19&gt;VLOOKUP(AP$1,$C:$L,10,FALSE)),1,0))</f>
        <v>0</v>
      </c>
      <c r="J19" s="8">
        <f>IF(AND(AQ19&gt;0,$A19&lt;VLOOKUP(AQ$1,$C:$L,10,FALSE)),1,IF(AND(AQ19&lt;0,$A19&gt;VLOOKUP(AQ$1,$C:$L,10,FALSE)),1,0))</f>
        <v>0</v>
      </c>
      <c r="K19" s="108" t="s">
        <v>135</v>
      </c>
      <c r="L19" s="8">
        <f t="shared" si="0"/>
        <v>0</v>
      </c>
      <c r="M19" s="2">
        <v>4</v>
      </c>
      <c r="N19" s="17">
        <f t="shared" si="1"/>
        <v>4</v>
      </c>
      <c r="O19" s="2">
        <f t="shared" si="2"/>
        <v>2</v>
      </c>
      <c r="P19" s="2">
        <f t="shared" si="3"/>
        <v>0</v>
      </c>
      <c r="Q19" s="18">
        <f>COUNTIF($AK19:$AN19,"&gt;0")</f>
        <v>1</v>
      </c>
      <c r="R19" s="19">
        <f>COUNTIF($AK19:$AN19,"&lt;0")</f>
        <v>2</v>
      </c>
      <c r="S19" s="20">
        <f>COUNTIF($AK19:$AN19,"=0")</f>
        <v>0</v>
      </c>
      <c r="T19" s="2">
        <f t="shared" si="16"/>
        <v>0</v>
      </c>
      <c r="U19" s="2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 t="str">
        <f>IFERROR(IFERROR(VLOOKUP($C19&amp;" "&amp;AG$1,Results!$G:$I,3,FALSE),-VLOOKUP($C19&amp;" "&amp;AG$1,Results!$H:$I,2,FALSE)),"")</f>
        <v/>
      </c>
      <c r="AH19" s="14" t="str">
        <f>IFERROR(IFERROR(VLOOKUP($C19&amp;" "&amp;AH$1,Results!$G:$I,3,FALSE),-VLOOKUP($C19&amp;" "&amp;AH$1,Results!$H:$I,2,FALSE)),"")</f>
        <v/>
      </c>
      <c r="AI19" s="14" t="str">
        <f>IFERROR(IFERROR(VLOOKUP($C19&amp;" "&amp;AI$1,Results!$G:$I,3,FALSE),-VLOOKUP($C19&amp;" "&amp;AI$1,Results!$H:$I,2,FALSE)),"")</f>
        <v/>
      </c>
      <c r="AJ19" s="14" t="str">
        <f>IFERROR(IFERROR(VLOOKUP($C19&amp;" "&amp;AJ$1,Results!$G:$I,3,FALSE),-VLOOKUP($C19&amp;" "&amp;AJ$1,Results!$H:$I,2,FALSE)),"")</f>
        <v/>
      </c>
      <c r="AK19" s="68">
        <f>IFERROR(IFERROR(VLOOKUP($C19&amp;" "&amp;AK$1,Results!$G:$I,3,FALSE),-VLOOKUP($C19&amp;" "&amp;AK$1,Results!$H:$I,2,FALSE)),"")</f>
        <v>-4</v>
      </c>
      <c r="AL19" s="69">
        <f>IFERROR(IFERROR(VLOOKUP($C19&amp;" "&amp;AL$1,Results!$G:$I,3,FALSE),-VLOOKUP($C19&amp;" "&amp;AL$1,Results!$H:$I,2,FALSE)),"")</f>
        <v>-28</v>
      </c>
      <c r="AM19" s="69">
        <f>IFERROR(IFERROR(VLOOKUP($C19&amp;" "&amp;AM$1,Results!$G:$I,3,FALSE),-VLOOKUP($C19&amp;" "&amp;AM$1,Results!$H:$I,2,FALSE)),"")</f>
        <v>20</v>
      </c>
      <c r="AN19" s="35" t="str">
        <f>IFERROR(IFERROR(VLOOKUP($C19&amp;" "&amp;AN$1,Results!$G:$I,3,FALSE),-VLOOKUP($C19&amp;" "&amp;AN$1,Results!$H:$I,2,FALSE)),"")</f>
        <v/>
      </c>
      <c r="AO19" s="14">
        <f>IFERROR(IFERROR(VLOOKUP($C19&amp;" "&amp;AO$1,Results!$G:$I,3,FALSE),-VLOOKUP($C19&amp;" "&amp;AO$1,Results!$H:$I,2,FALSE)),"")</f>
        <v>65</v>
      </c>
      <c r="AP19" s="14">
        <f>IFERROR(IFERROR(VLOOKUP($C19&amp;" "&amp;AP$1,Results!$G:$I,3,FALSE),-VLOOKUP($C19&amp;" "&amp;AP$1,Results!$H:$I,2,FALSE)),"")</f>
        <v>55</v>
      </c>
      <c r="AQ19" s="14">
        <f>IFERROR(IFERROR(VLOOKUP($C19&amp;" "&amp;AQ$1,Results!$G:$I,3,FALSE),-VLOOKUP($C19&amp;" "&amp;AQ$1,Results!$H:$I,2,FALSE)),"")</f>
        <v>3</v>
      </c>
      <c r="AR19" s="14" t="str">
        <f>IFERROR(IFERROR(VLOOKUP($C19&amp;" "&amp;AR$1,Results!$G:$I,3,FALSE),-VLOOKUP($C19&amp;" "&amp;AR$1,Results!$H:$I,2,FALSE)),"")</f>
        <v/>
      </c>
      <c r="AS19" s="14" t="str">
        <f>IFERROR(IFERROR(VLOOKUP($C19&amp;" "&amp;AS$1,Results!$G:$I,3,FALSE),-VLOOKUP($C19&amp;" "&amp;AS$1,Results!$H:$I,2,FALSE)),"")</f>
        <v/>
      </c>
      <c r="AT19" s="14" t="str">
        <f>IFERROR(IFERROR(VLOOKUP($C19&amp;" "&amp;AT$1,Results!$G:$I,3,FALSE),-VLOOKUP($C19&amp;" "&amp;AT$1,Results!$H:$I,2,FALSE)),"")</f>
        <v/>
      </c>
      <c r="AU19" s="14" t="str">
        <f>IFERROR(IFERROR(VLOOKUP($C19&amp;" "&amp;AU$1,Results!$G:$I,3,FALSE),-VLOOKUP($C19&amp;" "&amp;AU$1,Results!$H:$I,2,FALSE)),"")</f>
        <v/>
      </c>
      <c r="AV19" s="14" t="str">
        <f>IFERROR(IFERROR(VLOOKUP($C19&amp;" "&amp;AV$1,Results!$G:$I,3,FALSE),-VLOOKUP($C19&amp;" "&amp;AV$1,Results!$H:$I,2,FALSE)),"")</f>
        <v/>
      </c>
      <c r="AW19" s="14" t="str">
        <f>IFERROR(IFERROR(VLOOKUP($C19&amp;" "&amp;AW$1,Results!$G:$I,3,FALSE),-VLOOKUP($C19&amp;" "&amp;AW$1,Results!$H:$I,2,FALSE)),"")</f>
        <v/>
      </c>
      <c r="AX19" s="14" t="str">
        <f>IFERROR(IFERROR(VLOOKUP($C19&amp;" "&amp;AX$1,Results!$G:$I,3,FALSE),-VLOOKUP($C19&amp;" "&amp;AX$1,Results!$H:$I,2,FALSE)),"")</f>
        <v/>
      </c>
      <c r="AY19" s="14" t="str">
        <f>IFERROR(IFERROR(VLOOKUP($C19&amp;" "&amp;AY$1,Results!$G:$I,3,FALSE),-VLOOKUP($C19&amp;" "&amp;AY$1,Results!$H:$I,2,FALSE)),"")</f>
        <v/>
      </c>
      <c r="AZ19" s="14" t="str">
        <f>IFERROR(IFERROR(VLOOKUP($C19&amp;" "&amp;AZ$1,Results!$G:$I,3,FALSE),-VLOOKUP($C19&amp;" "&amp;AZ$1,Results!$H:$I,2,FALSE)),"")</f>
        <v/>
      </c>
      <c r="BA19" s="14" t="str">
        <f>IFERROR(IFERROR(VLOOKUP($C19&amp;" "&amp;BA$1,Results!$G:$I,3,FALSE),-VLOOKUP($C19&amp;" "&amp;BA$1,Results!$H:$I,2,FALSE)),"")</f>
        <v/>
      </c>
      <c r="BB19" s="14" t="str">
        <f>IFERROR(IFERROR(VLOOKUP($C19&amp;" "&amp;BB$1,Results!$G:$I,3,FALSE),-VLOOKUP($C19&amp;" "&amp;BB$1,Results!$H:$I,2,FALSE)),"")</f>
        <v/>
      </c>
      <c r="BC19" s="14" t="str">
        <f>IFERROR(IFERROR(VLOOKUP($C19&amp;" "&amp;BC$1,Results!$G:$I,3,FALSE),-VLOOKUP($C19&amp;" "&amp;BC$1,Results!$H:$I,2,FALSE)),"")</f>
        <v/>
      </c>
      <c r="BD19" s="14" t="str">
        <f>IFERROR(IFERROR(VLOOKUP($C19&amp;" "&amp;BD$1,Results!$G:$I,3,FALSE),-VLOOKUP($C19&amp;" "&amp;BD$1,Results!$H:$I,2,FALSE)),"")</f>
        <v/>
      </c>
      <c r="BE19" s="14"/>
      <c r="BF19" s="14"/>
      <c r="BG19" s="14"/>
      <c r="BH19" s="14"/>
      <c r="BI19" s="14"/>
      <c r="BJ19" s="30"/>
      <c r="BK19" s="30"/>
      <c r="BL19" s="30"/>
      <c r="BM19" s="30"/>
      <c r="BN19" s="23"/>
      <c r="BO19" s="23"/>
      <c r="BP19" s="23"/>
      <c r="BQ19" s="11"/>
      <c r="BR19" s="11"/>
      <c r="BW19" s="111">
        <f t="shared" si="7"/>
        <v>111</v>
      </c>
      <c r="BX19" s="15">
        <f t="shared" si="10"/>
        <v>0</v>
      </c>
      <c r="BY19" s="15">
        <f t="shared" si="11"/>
        <v>5</v>
      </c>
      <c r="BZ19" s="15">
        <f t="shared" si="12"/>
        <v>6</v>
      </c>
      <c r="CA19" s="90">
        <f t="shared" si="14"/>
        <v>0</v>
      </c>
      <c r="CC19" s="22">
        <f t="shared" si="4"/>
        <v>111</v>
      </c>
      <c r="CE19" s="15">
        <v>13</v>
      </c>
      <c r="CF19" s="15">
        <f t="shared" si="5"/>
        <v>0</v>
      </c>
      <c r="CG19" s="15">
        <f t="shared" si="9"/>
        <v>13</v>
      </c>
    </row>
    <row r="20" spans="1:85">
      <c r="B20" s="15">
        <v>17</v>
      </c>
      <c r="C20" s="16" t="s">
        <v>16</v>
      </c>
      <c r="D20" s="8"/>
      <c r="E20" s="8">
        <f>IF(AND(AL20&gt;0,$A20&lt;VLOOKUP(AL$1,$C:$L,10,FALSE)),1,IF(AND(AL20&lt;0,$A20&gt;VLOOKUP(AL$1,$C:$L,10,FALSE)),1,0))</f>
        <v>0</v>
      </c>
      <c r="F20" s="8">
        <f>IF(AND(AM20&gt;0,$A20&lt;VLOOKUP(AM$1,$C:$L,10,FALSE)),1,IF(AND(AM20&lt;0,$A20&gt;VLOOKUP(AM$1,$C:$L,10,FALSE)),1,0))</f>
        <v>0</v>
      </c>
      <c r="G20" s="8">
        <f>IF(AND(AN20&gt;0,$A20&lt;VLOOKUP(AN$1,$C:$L,10,FALSE)),1,IF(AND(AN20&lt;0,$A20&gt;VLOOKUP(AN$1,$C:$L,10,FALSE)),1,0))</f>
        <v>0</v>
      </c>
      <c r="H20" s="8">
        <f>IF(AND(AP20&gt;0,$A20&lt;VLOOKUP(AP$1,$C:$L,10,FALSE)),1,IF(AND(AP20&lt;0,$A20&gt;VLOOKUP(AP$1,$C:$L,10,FALSE)),1,0))</f>
        <v>0</v>
      </c>
      <c r="I20" s="8">
        <f>IF(AND(AQ20&gt;0,$A20&lt;VLOOKUP(AQ$1,$C:$L,10,FALSE)),1,IF(AND(AQ20&lt;0,$A20&gt;VLOOKUP(AQ$1,$C:$L,10,FALSE)),1,0))</f>
        <v>0</v>
      </c>
      <c r="J20" s="8">
        <f>IF(AND(AR20&gt;0,$A20&lt;VLOOKUP(AR$1,$C:$L,10,FALSE)),1,IF(AND(AR20&lt;0,$A20&gt;VLOOKUP(AR$1,$C:$L,10,FALSE)),1,0))</f>
        <v>0</v>
      </c>
      <c r="K20" s="108" t="s">
        <v>135</v>
      </c>
      <c r="L20" s="8">
        <f t="shared" si="0"/>
        <v>0</v>
      </c>
      <c r="M20" s="2">
        <v>5</v>
      </c>
      <c r="N20" s="17">
        <f t="shared" si="1"/>
        <v>1</v>
      </c>
      <c r="O20" s="2">
        <f t="shared" si="2"/>
        <v>5</v>
      </c>
      <c r="P20" s="2">
        <f t="shared" si="3"/>
        <v>0</v>
      </c>
      <c r="Q20" s="18">
        <f>COUNTIF($AO20:$AR20,"&gt;0")</f>
        <v>1</v>
      </c>
      <c r="R20" s="19">
        <f>COUNTIF($AO20:$AR20,"&lt;0")</f>
        <v>2</v>
      </c>
      <c r="S20" s="20">
        <f>COUNTIF($AO20:$AR20,"=0")</f>
        <v>0</v>
      </c>
      <c r="T20" s="2">
        <f>COUNTIF(V20:BJ20,"NC")</f>
        <v>0</v>
      </c>
      <c r="U20" s="2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 t="str">
        <f>IFERROR(IFERROR(VLOOKUP($C20&amp;" "&amp;AG$1,Results!$G:$I,3,FALSE),-VLOOKUP($C20&amp;" "&amp;AG$1,Results!$H:$I,2,FALSE)),"")</f>
        <v/>
      </c>
      <c r="AH20" s="14" t="str">
        <f>IFERROR(IFERROR(VLOOKUP($C20&amp;" "&amp;AH$1,Results!$G:$I,3,FALSE),-VLOOKUP($C20&amp;" "&amp;AH$1,Results!$H:$I,2,FALSE)),"")</f>
        <v/>
      </c>
      <c r="AI20" s="14" t="str">
        <f>IFERROR(IFERROR(VLOOKUP($C20&amp;" "&amp;AI$1,Results!$G:$I,3,FALSE),-VLOOKUP($C20&amp;" "&amp;AI$1,Results!$H:$I,2,FALSE)),"")</f>
        <v/>
      </c>
      <c r="AJ20" s="14" t="str">
        <f>IFERROR(IFERROR(VLOOKUP($C20&amp;" "&amp;AJ$1,Results!$G:$I,3,FALSE),-VLOOKUP($C20&amp;" "&amp;AJ$1,Results!$H:$I,2,FALSE)),"")</f>
        <v/>
      </c>
      <c r="AK20" s="14" t="str">
        <f>IFERROR(IFERROR(VLOOKUP($C20&amp;" "&amp;AK$1,Results!$G:$I,3,FALSE),-VLOOKUP($C20&amp;" "&amp;AK$1,Results!$H:$I,2,FALSE)),"")</f>
        <v/>
      </c>
      <c r="AL20" s="14">
        <f>IFERROR(IFERROR(VLOOKUP($C20&amp;" "&amp;AL$1,Results!$G:$I,3,FALSE),-VLOOKUP($C20&amp;" "&amp;AL$1,Results!$H:$I,2,FALSE)),"")</f>
        <v>-65</v>
      </c>
      <c r="AM20" s="14">
        <f>IFERROR(IFERROR(VLOOKUP($C20&amp;" "&amp;AM$1,Results!$G:$I,3,FALSE),-VLOOKUP($C20&amp;" "&amp;AM$1,Results!$H:$I,2,FALSE)),"")</f>
        <v>-55</v>
      </c>
      <c r="AN20" s="14">
        <f>IFERROR(IFERROR(VLOOKUP($C20&amp;" "&amp;AN$1,Results!$G:$I,3,FALSE),-VLOOKUP($C20&amp;" "&amp;AN$1,Results!$H:$I,2,FALSE)),"")</f>
        <v>-65</v>
      </c>
      <c r="AO20" s="33" t="str">
        <f>IFERROR(IFERROR(VLOOKUP($C20&amp;" "&amp;AO$1,Results!$G:$I,3,FALSE),-VLOOKUP($C20&amp;" "&amp;AO$1,Results!$H:$I,2,FALSE)),"")</f>
        <v/>
      </c>
      <c r="AP20" s="64">
        <f>IFERROR(IFERROR(VLOOKUP($C20&amp;" "&amp;AP$1,Results!$G:$I,3,FALSE),-VLOOKUP($C20&amp;" "&amp;AP$1,Results!$H:$I,2,FALSE)),"")</f>
        <v>-3</v>
      </c>
      <c r="AQ20" s="64">
        <f>IFERROR(IFERROR(VLOOKUP($C20&amp;" "&amp;AQ$1,Results!$G:$I,3,FALSE),-VLOOKUP($C20&amp;" "&amp;AQ$1,Results!$H:$I,2,FALSE)),"")</f>
        <v>4</v>
      </c>
      <c r="AR20" s="65">
        <f>IFERROR(IFERROR(VLOOKUP($C20&amp;" "&amp;AR$1,Results!$G:$I,3,FALSE),-VLOOKUP($C20&amp;" "&amp;AR$1,Results!$H:$I,2,FALSE)),"")</f>
        <v>-13</v>
      </c>
      <c r="AS20" s="14" t="str">
        <f>IFERROR(IFERROR(VLOOKUP($C20&amp;" "&amp;AS$1,Results!$G:$I,3,FALSE),-VLOOKUP($C20&amp;" "&amp;AS$1,Results!$H:$I,2,FALSE)),"")</f>
        <v/>
      </c>
      <c r="AT20" s="14" t="str">
        <f>IFERROR(IFERROR(VLOOKUP($C20&amp;" "&amp;AT$1,Results!$G:$I,3,FALSE),-VLOOKUP($C20&amp;" "&amp;AT$1,Results!$H:$I,2,FALSE)),"")</f>
        <v/>
      </c>
      <c r="AU20" s="14" t="str">
        <f>IFERROR(IFERROR(VLOOKUP($C20&amp;" "&amp;AU$1,Results!$G:$I,3,FALSE),-VLOOKUP($C20&amp;" "&amp;AU$1,Results!$H:$I,2,FALSE)),"")</f>
        <v/>
      </c>
      <c r="AV20" s="14" t="str">
        <f>IFERROR(IFERROR(VLOOKUP($C20&amp;" "&amp;AV$1,Results!$G:$I,3,FALSE),-VLOOKUP($C20&amp;" "&amp;AV$1,Results!$H:$I,2,FALSE)),"")</f>
        <v/>
      </c>
      <c r="AW20" s="14" t="str">
        <f>IFERROR(IFERROR(VLOOKUP($C20&amp;" "&amp;AW$1,Results!$G:$I,3,FALSE),-VLOOKUP($C20&amp;" "&amp;AW$1,Results!$H:$I,2,FALSE)),"")</f>
        <v/>
      </c>
      <c r="AX20" s="14" t="str">
        <f>IFERROR(IFERROR(VLOOKUP($C20&amp;" "&amp;AX$1,Results!$G:$I,3,FALSE),-VLOOKUP($C20&amp;" "&amp;AX$1,Results!$H:$I,2,FALSE)),"")</f>
        <v/>
      </c>
      <c r="AY20" s="14" t="str">
        <f>IFERROR(IFERROR(VLOOKUP($C20&amp;" "&amp;AY$1,Results!$G:$I,3,FALSE),-VLOOKUP($C20&amp;" "&amp;AY$1,Results!$H:$I,2,FALSE)),"")</f>
        <v/>
      </c>
      <c r="AZ20" s="14" t="str">
        <f>IFERROR(IFERROR(VLOOKUP($C20&amp;" "&amp;AZ$1,Results!$G:$I,3,FALSE),-VLOOKUP($C20&amp;" "&amp;AZ$1,Results!$H:$I,2,FALSE)),"")</f>
        <v/>
      </c>
      <c r="BA20" s="14" t="str">
        <f>IFERROR(IFERROR(VLOOKUP($C20&amp;" "&amp;BA$1,Results!$G:$I,3,FALSE),-VLOOKUP($C20&amp;" "&amp;BA$1,Results!$H:$I,2,FALSE)),"")</f>
        <v/>
      </c>
      <c r="BB20" s="14" t="str">
        <f>IFERROR(IFERROR(VLOOKUP($C20&amp;" "&amp;BB$1,Results!$G:$I,3,FALSE),-VLOOKUP($C20&amp;" "&amp;BB$1,Results!$H:$I,2,FALSE)),"")</f>
        <v/>
      </c>
      <c r="BC20" s="14" t="str">
        <f>IFERROR(IFERROR(VLOOKUP($C20&amp;" "&amp;BC$1,Results!$G:$I,3,FALSE),-VLOOKUP($C20&amp;" "&amp;BC$1,Results!$H:$I,2,FALSE)),"")</f>
        <v/>
      </c>
      <c r="BD20" s="14" t="str">
        <f>IFERROR(IFERROR(VLOOKUP($C20&amp;" "&amp;BD$1,Results!$G:$I,3,FALSE),-VLOOKUP($C20&amp;" "&amp;BD$1,Results!$H:$I,2,FALSE)),"")</f>
        <v/>
      </c>
      <c r="BE20" s="14"/>
      <c r="BF20" s="14"/>
      <c r="BG20" s="14"/>
      <c r="BH20" s="14"/>
      <c r="BI20" s="14"/>
      <c r="BJ20" s="30"/>
      <c r="BK20" s="30"/>
      <c r="BL20" s="30"/>
      <c r="BM20" s="30"/>
      <c r="BN20" s="23"/>
      <c r="BO20" s="23"/>
      <c r="BP20" s="23"/>
      <c r="BQ20" s="11"/>
      <c r="BR20" s="11"/>
      <c r="BW20" s="111">
        <f t="shared" si="7"/>
        <v>-197</v>
      </c>
      <c r="BX20" s="15">
        <f t="shared" si="10"/>
        <v>0</v>
      </c>
      <c r="BY20" s="15">
        <f t="shared" si="11"/>
        <v>5</v>
      </c>
      <c r="BZ20" s="15">
        <f t="shared" si="12"/>
        <v>6</v>
      </c>
      <c r="CA20" s="90">
        <f t="shared" si="14"/>
        <v>0</v>
      </c>
      <c r="CC20" s="22">
        <f t="shared" si="4"/>
        <v>-197</v>
      </c>
      <c r="CE20" s="15">
        <v>18</v>
      </c>
      <c r="CF20" s="15">
        <f t="shared" si="5"/>
        <v>0</v>
      </c>
      <c r="CG20" s="15">
        <f t="shared" si="9"/>
        <v>18</v>
      </c>
    </row>
    <row r="21" spans="1:85">
      <c r="A21" s="8"/>
      <c r="B21" s="8">
        <v>18</v>
      </c>
      <c r="C21" s="16" t="s">
        <v>24</v>
      </c>
      <c r="D21" s="8"/>
      <c r="E21" s="8">
        <f>IF(AND(AM21&gt;0,$A21&lt;VLOOKUP(AM$1,$C:$L,10,FALSE)),1,IF(AND(AM21&lt;0,$A21&gt;VLOOKUP(AM$1,$C:$L,10,FALSE)),1,0))</f>
        <v>0</v>
      </c>
      <c r="F21" s="8">
        <f>IF(AND(AN21&gt;0,$A21&lt;VLOOKUP(AN$1,$C:$L,10,FALSE)),1,IF(AND(AN21&lt;0,$A21&gt;VLOOKUP(AN$1,$C:$L,10,FALSE)),1,0))</f>
        <v>0</v>
      </c>
      <c r="G21" s="8">
        <f>IF(AND(AO21&gt;0,$A21&lt;VLOOKUP(AO$1,$C:$L,10,FALSE)),1,IF(AND(AO21&lt;0,$A21&gt;VLOOKUP(AO$1,$C:$L,10,FALSE)),1,0))</f>
        <v>0</v>
      </c>
      <c r="H21" s="8">
        <f>IF(AND(AQ21&gt;0,$A21&lt;VLOOKUP(AQ$1,$C:$L,10,FALSE)),1,IF(AND(AQ21&lt;0,$A21&gt;VLOOKUP(AQ$1,$C:$L,10,FALSE)),1,0))</f>
        <v>0</v>
      </c>
      <c r="I21" s="8">
        <f>IF(AND(AR21&gt;0,$A21&lt;VLOOKUP(AR$1,$C:$L,10,FALSE)),1,IF(AND(AR21&lt;0,$A21&gt;VLOOKUP(AR$1,$C:$L,10,FALSE)),1,0))</f>
        <v>0</v>
      </c>
      <c r="J21" s="8">
        <f>IF(AND(AS21&gt;0,$A21&lt;VLOOKUP(AS$1,$C:$L,10,FALSE)),1,IF(AND(AS21&lt;0,$A21&gt;VLOOKUP(AS$1,$C:$L,10,FALSE)),1,0))</f>
        <v>0</v>
      </c>
      <c r="K21" s="108" t="s">
        <v>135</v>
      </c>
      <c r="L21" s="8">
        <f t="shared" si="0"/>
        <v>0</v>
      </c>
      <c r="M21" s="2">
        <v>5</v>
      </c>
      <c r="N21" s="17">
        <f t="shared" si="1"/>
        <v>3</v>
      </c>
      <c r="O21" s="2">
        <f t="shared" si="2"/>
        <v>3</v>
      </c>
      <c r="P21" s="2">
        <f t="shared" si="3"/>
        <v>0</v>
      </c>
      <c r="Q21" s="18">
        <f>COUNTIF($AO21:$AR21,"&gt;0")</f>
        <v>2</v>
      </c>
      <c r="R21" s="19">
        <f>COUNTIF($AO21:$AR21,"&lt;0")</f>
        <v>1</v>
      </c>
      <c r="S21" s="20">
        <f>COUNTIF($AO21:$AR21,"=0")</f>
        <v>0</v>
      </c>
      <c r="T21" s="2">
        <f t="shared" ref="T21:T23" si="17">COUNTIF(V21:BJ21,"NC")</f>
        <v>0</v>
      </c>
      <c r="U21" s="2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 t="str">
        <f>IFERROR(IFERROR(VLOOKUP($C21&amp;" "&amp;AG$1,Results!$G:$I,3,FALSE),-VLOOKUP($C21&amp;" "&amp;AG$1,Results!$H:$I,2,FALSE)),"")</f>
        <v/>
      </c>
      <c r="AH21" s="14" t="str">
        <f>IFERROR(IFERROR(VLOOKUP($C21&amp;" "&amp;AH$1,Results!$G:$I,3,FALSE),-VLOOKUP($C21&amp;" "&amp;AH$1,Results!$H:$I,2,FALSE)),"")</f>
        <v/>
      </c>
      <c r="AI21" s="14" t="str">
        <f>IFERROR(IFERROR(VLOOKUP($C21&amp;" "&amp;AI$1,Results!$G:$I,3,FALSE),-VLOOKUP($C21&amp;" "&amp;AI$1,Results!$H:$I,2,FALSE)),"")</f>
        <v/>
      </c>
      <c r="AJ21" s="14" t="str">
        <f>IFERROR(IFERROR(VLOOKUP($C21&amp;" "&amp;AJ$1,Results!$G:$I,3,FALSE),-VLOOKUP($C21&amp;" "&amp;AJ$1,Results!$H:$I,2,FALSE)),"")</f>
        <v/>
      </c>
      <c r="AK21" s="14" t="str">
        <f>IFERROR(IFERROR(VLOOKUP($C21&amp;" "&amp;AK$1,Results!$G:$I,3,FALSE),-VLOOKUP($C21&amp;" "&amp;AK$1,Results!$H:$I,2,FALSE)),"")</f>
        <v/>
      </c>
      <c r="AL21" s="14" t="str">
        <f>IFERROR(IFERROR(VLOOKUP($C21&amp;" "&amp;AL$1,Results!$G:$I,3,FALSE),-VLOOKUP($C21&amp;" "&amp;AL$1,Results!$H:$I,2,FALSE)),"")</f>
        <v/>
      </c>
      <c r="AM21" s="14">
        <f>IFERROR(IFERROR(VLOOKUP($C21&amp;" "&amp;AM$1,Results!$G:$I,3,FALSE),-VLOOKUP($C21&amp;" "&amp;AM$1,Results!$H:$I,2,FALSE)),"")</f>
        <v>-53</v>
      </c>
      <c r="AN21" s="14">
        <f>IFERROR(IFERROR(VLOOKUP($C21&amp;" "&amp;AN$1,Results!$G:$I,3,FALSE),-VLOOKUP($C21&amp;" "&amp;AN$1,Results!$H:$I,2,FALSE)),"")</f>
        <v>-55</v>
      </c>
      <c r="AO21" s="66">
        <f>IFERROR(IFERROR(VLOOKUP($C21&amp;" "&amp;AO$1,Results!$G:$I,3,FALSE),-VLOOKUP($C21&amp;" "&amp;AO$1,Results!$H:$I,2,FALSE)),"")</f>
        <v>3</v>
      </c>
      <c r="AP21" s="34" t="str">
        <f>IFERROR(IFERROR(VLOOKUP($C21&amp;" "&amp;AP$1,Results!$G:$I,3,FALSE),-VLOOKUP($C21&amp;" "&amp;AP$1,Results!$H:$I,2,FALSE)),"")</f>
        <v/>
      </c>
      <c r="AQ21" s="34">
        <f>IFERROR(IFERROR(VLOOKUP($C21&amp;" "&amp;AQ$1,Results!$G:$I,3,FALSE),-VLOOKUP($C21&amp;" "&amp;AQ$1,Results!$H:$I,2,FALSE)),"")</f>
        <v>-47</v>
      </c>
      <c r="AR21" s="67">
        <f>IFERROR(IFERROR(VLOOKUP($C21&amp;" "&amp;AR$1,Results!$G:$I,3,FALSE),-VLOOKUP($C21&amp;" "&amp;AR$1,Results!$H:$I,2,FALSE)),"")</f>
        <v>33</v>
      </c>
      <c r="AS21" s="14">
        <f>IFERROR(IFERROR(VLOOKUP($C21&amp;" "&amp;AS$1,Results!$G:$I,3,FALSE),-VLOOKUP($C21&amp;" "&amp;AS$1,Results!$H:$I,2,FALSE)),"")</f>
        <v>94</v>
      </c>
      <c r="AT21" s="14" t="str">
        <f>IFERROR(IFERROR(VLOOKUP($C21&amp;" "&amp;AT$1,Results!$G:$I,3,FALSE),-VLOOKUP($C21&amp;" "&amp;AT$1,Results!$H:$I,2,FALSE)),"")</f>
        <v/>
      </c>
      <c r="AU21" s="14" t="str">
        <f>IFERROR(IFERROR(VLOOKUP($C21&amp;" "&amp;AU$1,Results!$G:$I,3,FALSE),-VLOOKUP($C21&amp;" "&amp;AU$1,Results!$H:$I,2,FALSE)),"")</f>
        <v/>
      </c>
      <c r="AV21" s="14" t="str">
        <f>IFERROR(IFERROR(VLOOKUP($C21&amp;" "&amp;AV$1,Results!$G:$I,3,FALSE),-VLOOKUP($C21&amp;" "&amp;AV$1,Results!$H:$I,2,FALSE)),"")</f>
        <v/>
      </c>
      <c r="AW21" s="14" t="str">
        <f>IFERROR(IFERROR(VLOOKUP($C21&amp;" "&amp;AW$1,Results!$G:$I,3,FALSE),-VLOOKUP($C21&amp;" "&amp;AW$1,Results!$H:$I,2,FALSE)),"")</f>
        <v/>
      </c>
      <c r="AX21" s="14" t="str">
        <f>IFERROR(IFERROR(VLOOKUP($C21&amp;" "&amp;AX$1,Results!$G:$I,3,FALSE),-VLOOKUP($C21&amp;" "&amp;AX$1,Results!$H:$I,2,FALSE)),"")</f>
        <v/>
      </c>
      <c r="AY21" s="14" t="str">
        <f>IFERROR(IFERROR(VLOOKUP($C21&amp;" "&amp;AY$1,Results!$G:$I,3,FALSE),-VLOOKUP($C21&amp;" "&amp;AY$1,Results!$H:$I,2,FALSE)),"")</f>
        <v/>
      </c>
      <c r="AZ21" s="14" t="str">
        <f>IFERROR(IFERROR(VLOOKUP($C21&amp;" "&amp;AZ$1,Results!$G:$I,3,FALSE),-VLOOKUP($C21&amp;" "&amp;AZ$1,Results!$H:$I,2,FALSE)),"")</f>
        <v/>
      </c>
      <c r="BA21" s="14" t="str">
        <f>IFERROR(IFERROR(VLOOKUP($C21&amp;" "&amp;BA$1,Results!$G:$I,3,FALSE),-VLOOKUP($C21&amp;" "&amp;BA$1,Results!$H:$I,2,FALSE)),"")</f>
        <v/>
      </c>
      <c r="BB21" s="14" t="str">
        <f>IFERROR(IFERROR(VLOOKUP($C21&amp;" "&amp;BB$1,Results!$G:$I,3,FALSE),-VLOOKUP($C21&amp;" "&amp;BB$1,Results!$H:$I,2,FALSE)),"")</f>
        <v/>
      </c>
      <c r="BC21" s="14" t="str">
        <f>IFERROR(IFERROR(VLOOKUP($C21&amp;" "&amp;BC$1,Results!$G:$I,3,FALSE),-VLOOKUP($C21&amp;" "&amp;BC$1,Results!$H:$I,2,FALSE)),"")</f>
        <v/>
      </c>
      <c r="BD21" s="14" t="str">
        <f>IFERROR(IFERROR(VLOOKUP($C21&amp;" "&amp;BD$1,Results!$G:$I,3,FALSE),-VLOOKUP($C21&amp;" "&amp;BD$1,Results!$H:$I,2,FALSE)),"")</f>
        <v/>
      </c>
      <c r="BE21" s="14"/>
      <c r="BF21" s="14"/>
      <c r="BG21" s="14"/>
      <c r="BH21" s="14"/>
      <c r="BI21" s="14"/>
      <c r="BJ21" s="30"/>
      <c r="BK21" s="30"/>
      <c r="BL21" s="30"/>
      <c r="BM21" s="30"/>
      <c r="BN21" s="23"/>
      <c r="BO21" s="23"/>
      <c r="BP21" s="23"/>
      <c r="BQ21" s="11"/>
      <c r="BR21" s="11"/>
      <c r="BW21" s="111">
        <f t="shared" si="7"/>
        <v>-25</v>
      </c>
      <c r="BX21" s="15">
        <f t="shared" si="10"/>
        <v>0</v>
      </c>
      <c r="BY21" s="15">
        <f t="shared" si="11"/>
        <v>5</v>
      </c>
      <c r="BZ21" s="15">
        <f t="shared" si="12"/>
        <v>6</v>
      </c>
      <c r="CA21" s="90">
        <f t="shared" si="14"/>
        <v>0</v>
      </c>
      <c r="CC21" s="22">
        <f t="shared" si="4"/>
        <v>-25</v>
      </c>
      <c r="CE21" s="15">
        <v>19</v>
      </c>
      <c r="CF21" s="15">
        <f t="shared" si="5"/>
        <v>0</v>
      </c>
      <c r="CG21" s="15">
        <f t="shared" si="9"/>
        <v>19</v>
      </c>
    </row>
    <row r="22" spans="1:85">
      <c r="A22" s="161"/>
      <c r="B22" s="161">
        <v>19</v>
      </c>
      <c r="C22" s="16" t="s">
        <v>14</v>
      </c>
      <c r="D22" s="8"/>
      <c r="E22" s="8">
        <f>IF(AND(AN22&gt;0,$A22&lt;VLOOKUP(AN$1,$C:$L,10,FALSE)),1,IF(AND(AN22&lt;0,$A22&gt;VLOOKUP(AN$1,$C:$L,10,FALSE)),1,0))</f>
        <v>0</v>
      </c>
      <c r="F22" s="8">
        <f>IF(AND(AO22&gt;0,$A22&lt;VLOOKUP(AO$1,$C:$L,10,FALSE)),1,IF(AND(AO22&lt;0,$A22&gt;VLOOKUP(AO$1,$C:$L,10,FALSE)),1,0))</f>
        <v>0</v>
      </c>
      <c r="G22" s="8">
        <f>IF(AND(AP22&gt;0,$A22&lt;VLOOKUP(AP$1,$C:$L,10,FALSE)),1,IF(AND(AP22&lt;0,$A22&gt;VLOOKUP(AP$1,$C:$L,10,FALSE)),1,0))</f>
        <v>0</v>
      </c>
      <c r="H22" s="8">
        <f>IF(AND(AR22&gt;0,$A22&lt;VLOOKUP(AR$1,$C:$L,10,FALSE)),1,IF(AND(AR22&lt;0,$A22&gt;VLOOKUP(AR$1,$C:$L,10,FALSE)),1,0))</f>
        <v>0</v>
      </c>
      <c r="I22" s="8">
        <f>IF(AND(AS22&gt;0,$A22&lt;VLOOKUP(AS$1,$C:$L,10,FALSE)),1,IF(AND(AS22&lt;0,$A22&gt;VLOOKUP(AS$1,$C:$L,10,FALSE)),1,0))</f>
        <v>0</v>
      </c>
      <c r="J22" s="8">
        <f>IF(AND(AT22&gt;0,$A22&lt;VLOOKUP(AT$1,$C:$L,10,FALSE)),1,IF(AND(AT22&lt;0,$A22&gt;VLOOKUP(AT$1,$C:$L,10,FALSE)),1,0))</f>
        <v>0</v>
      </c>
      <c r="K22" s="108" t="s">
        <v>135</v>
      </c>
      <c r="L22" s="8">
        <f t="shared" si="0"/>
        <v>0</v>
      </c>
      <c r="M22" s="2">
        <v>5</v>
      </c>
      <c r="N22" s="17">
        <f t="shared" si="1"/>
        <v>4</v>
      </c>
      <c r="O22" s="2">
        <f t="shared" si="2"/>
        <v>2</v>
      </c>
      <c r="P22" s="2">
        <f t="shared" si="3"/>
        <v>0</v>
      </c>
      <c r="Q22" s="18">
        <f>COUNTIF($AO22:$AR22,"&gt;0")</f>
        <v>2</v>
      </c>
      <c r="R22" s="19">
        <f>COUNTIF($AO22:$AR22,"&lt;0")</f>
        <v>1</v>
      </c>
      <c r="S22" s="20">
        <f>COUNTIF($AO22:$AR22,"=0")</f>
        <v>0</v>
      </c>
      <c r="T22" s="2">
        <f t="shared" si="17"/>
        <v>0</v>
      </c>
      <c r="U22" s="2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 t="str">
        <f>IFERROR(IFERROR(VLOOKUP($C22&amp;" "&amp;AG$1,Results!$G:$I,3,FALSE),-VLOOKUP($C22&amp;" "&amp;AG$1,Results!$H:$I,2,FALSE)),"")</f>
        <v/>
      </c>
      <c r="AH22" s="14" t="str">
        <f>IFERROR(IFERROR(VLOOKUP($C22&amp;" "&amp;AH$1,Results!$G:$I,3,FALSE),-VLOOKUP($C22&amp;" "&amp;AH$1,Results!$H:$I,2,FALSE)),"")</f>
        <v/>
      </c>
      <c r="AI22" s="14" t="str">
        <f>IFERROR(IFERROR(VLOOKUP($C22&amp;" "&amp;AI$1,Results!$G:$I,3,FALSE),-VLOOKUP($C22&amp;" "&amp;AI$1,Results!$H:$I,2,FALSE)),"")</f>
        <v/>
      </c>
      <c r="AJ22" s="14" t="str">
        <f>IFERROR(IFERROR(VLOOKUP($C22&amp;" "&amp;AJ$1,Results!$G:$I,3,FALSE),-VLOOKUP($C22&amp;" "&amp;AJ$1,Results!$H:$I,2,FALSE)),"")</f>
        <v/>
      </c>
      <c r="AK22" s="14" t="str">
        <f>IFERROR(IFERROR(VLOOKUP($C22&amp;" "&amp;AK$1,Results!$G:$I,3,FALSE),-VLOOKUP($C22&amp;" "&amp;AK$1,Results!$H:$I,2,FALSE)),"")</f>
        <v/>
      </c>
      <c r="AL22" s="14" t="str">
        <f>IFERROR(IFERROR(VLOOKUP($C22&amp;" "&amp;AL$1,Results!$G:$I,3,FALSE),-VLOOKUP($C22&amp;" "&amp;AL$1,Results!$H:$I,2,FALSE)),"")</f>
        <v/>
      </c>
      <c r="AM22" s="14" t="str">
        <f>IFERROR(IFERROR(VLOOKUP($C22&amp;" "&amp;AM$1,Results!$G:$I,3,FALSE),-VLOOKUP($C22&amp;" "&amp;AM$1,Results!$H:$I,2,FALSE)),"")</f>
        <v/>
      </c>
      <c r="AN22" s="14">
        <f>IFERROR(IFERROR(VLOOKUP($C22&amp;" "&amp;AN$1,Results!$G:$I,3,FALSE),-VLOOKUP($C22&amp;" "&amp;AN$1,Results!$H:$I,2,FALSE)),"")</f>
        <v>-3</v>
      </c>
      <c r="AO22" s="66">
        <f>IFERROR(IFERROR(VLOOKUP($C22&amp;" "&amp;AO$1,Results!$G:$I,3,FALSE),-VLOOKUP($C22&amp;" "&amp;AO$1,Results!$H:$I,2,FALSE)),"")</f>
        <v>-4</v>
      </c>
      <c r="AP22" s="34">
        <f>IFERROR(IFERROR(VLOOKUP($C22&amp;" "&amp;AP$1,Results!$G:$I,3,FALSE),-VLOOKUP($C22&amp;" "&amp;AP$1,Results!$H:$I,2,FALSE)),"")</f>
        <v>47</v>
      </c>
      <c r="AQ22" s="34" t="str">
        <f>IFERROR(IFERROR(VLOOKUP($C22&amp;" "&amp;AQ$1,Results!$G:$I,3,FALSE),-VLOOKUP($C22&amp;" "&amp;AQ$1,Results!$H:$I,2,FALSE)),"")</f>
        <v/>
      </c>
      <c r="AR22" s="67">
        <f>IFERROR(IFERROR(VLOOKUP($C22&amp;" "&amp;AR$1,Results!$G:$I,3,FALSE),-VLOOKUP($C22&amp;" "&amp;AR$1,Results!$H:$I,2,FALSE)),"")</f>
        <v>41</v>
      </c>
      <c r="AS22" s="14">
        <f>IFERROR(IFERROR(VLOOKUP($C22&amp;" "&amp;AS$1,Results!$G:$I,3,FALSE),-VLOOKUP($C22&amp;" "&amp;AS$1,Results!$H:$I,2,FALSE)),"")</f>
        <v>63</v>
      </c>
      <c r="AT22" s="14">
        <f>IFERROR(IFERROR(VLOOKUP($C22&amp;" "&amp;AT$1,Results!$G:$I,3,FALSE),-VLOOKUP($C22&amp;" "&amp;AT$1,Results!$H:$I,2,FALSE)),"")</f>
        <v>44</v>
      </c>
      <c r="AU22" s="14" t="str">
        <f>IFERROR(IFERROR(VLOOKUP($C22&amp;" "&amp;AU$1,Results!$G:$I,3,FALSE),-VLOOKUP($C22&amp;" "&amp;AU$1,Results!$H:$I,2,FALSE)),"")</f>
        <v/>
      </c>
      <c r="AV22" s="14" t="str">
        <f>IFERROR(IFERROR(VLOOKUP($C22&amp;" "&amp;AV$1,Results!$G:$I,3,FALSE),-VLOOKUP($C22&amp;" "&amp;AV$1,Results!$H:$I,2,FALSE)),"")</f>
        <v/>
      </c>
      <c r="AW22" s="14" t="str">
        <f>IFERROR(IFERROR(VLOOKUP($C22&amp;" "&amp;AW$1,Results!$G:$I,3,FALSE),-VLOOKUP($C22&amp;" "&amp;AW$1,Results!$H:$I,2,FALSE)),"")</f>
        <v/>
      </c>
      <c r="AX22" s="14" t="str">
        <f>IFERROR(IFERROR(VLOOKUP($C22&amp;" "&amp;AX$1,Results!$G:$I,3,FALSE),-VLOOKUP($C22&amp;" "&amp;AX$1,Results!$H:$I,2,FALSE)),"")</f>
        <v/>
      </c>
      <c r="AY22" s="14" t="str">
        <f>IFERROR(IFERROR(VLOOKUP($C22&amp;" "&amp;AY$1,Results!$G:$I,3,FALSE),-VLOOKUP($C22&amp;" "&amp;AY$1,Results!$H:$I,2,FALSE)),"")</f>
        <v/>
      </c>
      <c r="AZ22" s="14" t="str">
        <f>IFERROR(IFERROR(VLOOKUP($C22&amp;" "&amp;AZ$1,Results!$G:$I,3,FALSE),-VLOOKUP($C22&amp;" "&amp;AZ$1,Results!$H:$I,2,FALSE)),"")</f>
        <v/>
      </c>
      <c r="BA22" s="14" t="str">
        <f>IFERROR(IFERROR(VLOOKUP($C22&amp;" "&amp;BA$1,Results!$G:$I,3,FALSE),-VLOOKUP($C22&amp;" "&amp;BA$1,Results!$H:$I,2,FALSE)),"")</f>
        <v/>
      </c>
      <c r="BB22" s="14" t="str">
        <f>IFERROR(IFERROR(VLOOKUP($C22&amp;" "&amp;BB$1,Results!$G:$I,3,FALSE),-VLOOKUP($C22&amp;" "&amp;BB$1,Results!$H:$I,2,FALSE)),"")</f>
        <v/>
      </c>
      <c r="BC22" s="14" t="str">
        <f>IFERROR(IFERROR(VLOOKUP($C22&amp;" "&amp;BC$1,Results!$G:$I,3,FALSE),-VLOOKUP($C22&amp;" "&amp;BC$1,Results!$H:$I,2,FALSE)),"")</f>
        <v/>
      </c>
      <c r="BD22" s="14" t="str">
        <f>IFERROR(IFERROR(VLOOKUP($C22&amp;" "&amp;BD$1,Results!$G:$I,3,FALSE),-VLOOKUP($C22&amp;" "&amp;BD$1,Results!$H:$I,2,FALSE)),"")</f>
        <v/>
      </c>
      <c r="BE22" s="14"/>
      <c r="BF22" s="14"/>
      <c r="BG22" s="14"/>
      <c r="BH22" s="14"/>
      <c r="BI22" s="14"/>
      <c r="BJ22" s="30"/>
      <c r="BK22" s="30"/>
      <c r="BL22" s="30"/>
      <c r="BM22" s="30"/>
      <c r="BN22" s="23"/>
      <c r="BO22" s="23"/>
      <c r="BP22" s="23"/>
      <c r="BQ22" s="11"/>
      <c r="BR22" s="11"/>
      <c r="BW22" s="111">
        <f t="shared" si="7"/>
        <v>188</v>
      </c>
      <c r="BX22" s="15">
        <f t="shared" si="10"/>
        <v>0</v>
      </c>
      <c r="BY22" s="15">
        <f t="shared" si="11"/>
        <v>5</v>
      </c>
      <c r="BZ22" s="15">
        <f t="shared" si="12"/>
        <v>6</v>
      </c>
      <c r="CA22" s="90">
        <f t="shared" si="14"/>
        <v>0</v>
      </c>
      <c r="CC22" s="22">
        <f t="shared" si="4"/>
        <v>188</v>
      </c>
      <c r="CE22" s="15">
        <v>22</v>
      </c>
      <c r="CF22" s="15">
        <f t="shared" si="5"/>
        <v>0</v>
      </c>
      <c r="CG22" s="15">
        <f t="shared" si="9"/>
        <v>22</v>
      </c>
    </row>
    <row r="23" spans="1:85" ht="13.5" thickBot="1">
      <c r="A23" s="8"/>
      <c r="B23" s="8">
        <v>20</v>
      </c>
      <c r="C23" s="16" t="s">
        <v>29</v>
      </c>
      <c r="D23" s="8"/>
      <c r="E23" s="8">
        <f>IF(AND(AO23&gt;0,$A23&lt;VLOOKUP(AO$1,$C:$L,10,FALSE)),1,IF(AND(AO23&lt;0,$A23&gt;VLOOKUP(AO$1,$C:$L,10,FALSE)),1,0))</f>
        <v>0</v>
      </c>
      <c r="F23" s="8">
        <f>IF(AND(AP23&gt;0,$A23&lt;VLOOKUP(AP$1,$C:$L,10,FALSE)),1,IF(AND(AP23&lt;0,$A23&gt;VLOOKUP(AP$1,$C:$L,10,FALSE)),1,0))</f>
        <v>0</v>
      </c>
      <c r="G23" s="8">
        <f>IF(AND(AQ23&gt;0,$A23&lt;VLOOKUP(AQ$1,$C:$L,10,FALSE)),1,IF(AND(AQ23&lt;0,$A23&gt;VLOOKUP(AQ$1,$C:$L,10,FALSE)),1,0))</f>
        <v>0</v>
      </c>
      <c r="H23" s="8">
        <f>IF(AND(AS23&gt;0,$A23&lt;VLOOKUP(AS$1,$C:$L,10,FALSE)),1,IF(AND(AS23&lt;0,$A23&gt;VLOOKUP(AS$1,$C:$L,10,FALSE)),1,0))</f>
        <v>0</v>
      </c>
      <c r="I23" s="8">
        <f>IF(AND(AT23&gt;0,$A23&lt;VLOOKUP(AT$1,$C:$L,10,FALSE)),1,IF(AND(AT23&lt;0,$A23&gt;VLOOKUP(AT$1,$C:$L,10,FALSE)),1,0))</f>
        <v>0</v>
      </c>
      <c r="J23" s="8">
        <f>IF(AND(AU23&gt;0,$A23&lt;VLOOKUP(AU$1,$C:$L,10,FALSE)),1,IF(AND(AU23&lt;0,$A23&gt;VLOOKUP(AU$1,$C:$L,10,FALSE)),1,0))</f>
        <v>0</v>
      </c>
      <c r="K23" s="108" t="s">
        <v>135</v>
      </c>
      <c r="L23" s="8">
        <f t="shared" si="0"/>
        <v>0</v>
      </c>
      <c r="M23" s="103">
        <v>5</v>
      </c>
      <c r="N23" s="17">
        <f t="shared" si="1"/>
        <v>2</v>
      </c>
      <c r="O23" s="2">
        <f t="shared" si="2"/>
        <v>4</v>
      </c>
      <c r="P23" s="2">
        <f t="shared" si="3"/>
        <v>0</v>
      </c>
      <c r="Q23" s="18">
        <f>COUNTIF($AO23:$AR23,"&gt;0")</f>
        <v>1</v>
      </c>
      <c r="R23" s="19">
        <f>COUNTIF($AO23:$AR23,"&lt;0")</f>
        <v>2</v>
      </c>
      <c r="S23" s="20">
        <f>COUNTIF($AO23:$AR23,"=0")</f>
        <v>0</v>
      </c>
      <c r="T23" s="2">
        <f t="shared" si="17"/>
        <v>0</v>
      </c>
      <c r="U23" s="2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 t="str">
        <f>IFERROR(IFERROR(VLOOKUP($C23&amp;" "&amp;AG$1,Results!$G:$I,3,FALSE),-VLOOKUP($C23&amp;" "&amp;AG$1,Results!$H:$I,2,FALSE)),"")</f>
        <v/>
      </c>
      <c r="AH23" s="14" t="str">
        <f>IFERROR(IFERROR(VLOOKUP($C23&amp;" "&amp;AH$1,Results!$G:$I,3,FALSE),-VLOOKUP($C23&amp;" "&amp;AH$1,Results!$H:$I,2,FALSE)),"")</f>
        <v/>
      </c>
      <c r="AI23" s="14" t="str">
        <f>IFERROR(IFERROR(VLOOKUP($C23&amp;" "&amp;AI$1,Results!$G:$I,3,FALSE),-VLOOKUP($C23&amp;" "&amp;AI$1,Results!$H:$I,2,FALSE)),"")</f>
        <v/>
      </c>
      <c r="AJ23" s="14" t="str">
        <f>IFERROR(IFERROR(VLOOKUP($C23&amp;" "&amp;AJ$1,Results!$G:$I,3,FALSE),-VLOOKUP($C23&amp;" "&amp;AJ$1,Results!$H:$I,2,FALSE)),"")</f>
        <v/>
      </c>
      <c r="AK23" s="14" t="str">
        <f>IFERROR(IFERROR(VLOOKUP($C23&amp;" "&amp;AK$1,Results!$G:$I,3,FALSE),-VLOOKUP($C23&amp;" "&amp;AK$1,Results!$H:$I,2,FALSE)),"")</f>
        <v/>
      </c>
      <c r="AL23" s="14" t="str">
        <f>IFERROR(IFERROR(VLOOKUP($C23&amp;" "&amp;AL$1,Results!$G:$I,3,FALSE),-VLOOKUP($C23&amp;" "&amp;AL$1,Results!$H:$I,2,FALSE)),"")</f>
        <v/>
      </c>
      <c r="AM23" s="14" t="str">
        <f>IFERROR(IFERROR(VLOOKUP($C23&amp;" "&amp;AM$1,Results!$G:$I,3,FALSE),-VLOOKUP($C23&amp;" "&amp;AM$1,Results!$H:$I,2,FALSE)),"")</f>
        <v/>
      </c>
      <c r="AN23" s="14" t="str">
        <f>IFERROR(IFERROR(VLOOKUP($C23&amp;" "&amp;AN$1,Results!$G:$I,3,FALSE),-VLOOKUP($C23&amp;" "&amp;AN$1,Results!$H:$I,2,FALSE)),"")</f>
        <v/>
      </c>
      <c r="AO23" s="68">
        <f>IFERROR(IFERROR(VLOOKUP($C23&amp;" "&amp;AO$1,Results!$G:$I,3,FALSE),-VLOOKUP($C23&amp;" "&amp;AO$1,Results!$H:$I,2,FALSE)),"")</f>
        <v>13</v>
      </c>
      <c r="AP23" s="69">
        <f>IFERROR(IFERROR(VLOOKUP($C23&amp;" "&amp;AP$1,Results!$G:$I,3,FALSE),-VLOOKUP($C23&amp;" "&amp;AP$1,Results!$H:$I,2,FALSE)),"")</f>
        <v>-33</v>
      </c>
      <c r="AQ23" s="69">
        <f>IFERROR(IFERROR(VLOOKUP($C23&amp;" "&amp;AQ$1,Results!$G:$I,3,FALSE),-VLOOKUP($C23&amp;" "&amp;AQ$1,Results!$H:$I,2,FALSE)),"")</f>
        <v>-41</v>
      </c>
      <c r="AR23" s="35" t="str">
        <f>IFERROR(IFERROR(VLOOKUP($C23&amp;" "&amp;AR$1,Results!$G:$I,3,FALSE),-VLOOKUP($C23&amp;" "&amp;AR$1,Results!$H:$I,2,FALSE)),"")</f>
        <v/>
      </c>
      <c r="AS23" s="14">
        <f>IFERROR(IFERROR(VLOOKUP($C23&amp;" "&amp;AS$1,Results!$G:$I,3,FALSE),-VLOOKUP($C23&amp;" "&amp;AS$1,Results!$H:$I,2,FALSE)),"")</f>
        <v>10</v>
      </c>
      <c r="AT23" s="14">
        <f>IFERROR(IFERROR(VLOOKUP($C23&amp;" "&amp;AT$1,Results!$G:$I,3,FALSE),-VLOOKUP($C23&amp;" "&amp;AT$1,Results!$H:$I,2,FALSE)),"")</f>
        <v>-92</v>
      </c>
      <c r="AU23" s="14">
        <f>IFERROR(IFERROR(VLOOKUP($C23&amp;" "&amp;AU$1,Results!$G:$I,3,FALSE),-VLOOKUP($C23&amp;" "&amp;AU$1,Results!$H:$I,2,FALSE)),"")</f>
        <v>-36</v>
      </c>
      <c r="AV23" s="14" t="str">
        <f>IFERROR(IFERROR(VLOOKUP($C23&amp;" "&amp;AV$1,Results!$G:$I,3,FALSE),-VLOOKUP($C23&amp;" "&amp;AV$1,Results!$H:$I,2,FALSE)),"")</f>
        <v/>
      </c>
      <c r="AW23" s="14" t="str">
        <f>IFERROR(IFERROR(VLOOKUP($C23&amp;" "&amp;AW$1,Results!$G:$I,3,FALSE),-VLOOKUP($C23&amp;" "&amp;AW$1,Results!$H:$I,2,FALSE)),"")</f>
        <v/>
      </c>
      <c r="AX23" s="14" t="str">
        <f>IFERROR(IFERROR(VLOOKUP($C23&amp;" "&amp;AX$1,Results!$G:$I,3,FALSE),-VLOOKUP($C23&amp;" "&amp;AX$1,Results!$H:$I,2,FALSE)),"")</f>
        <v/>
      </c>
      <c r="AY23" s="14" t="str">
        <f>IFERROR(IFERROR(VLOOKUP($C23&amp;" "&amp;AY$1,Results!$G:$I,3,FALSE),-VLOOKUP($C23&amp;" "&amp;AY$1,Results!$H:$I,2,FALSE)),"")</f>
        <v/>
      </c>
      <c r="AZ23" s="14" t="str">
        <f>IFERROR(IFERROR(VLOOKUP($C23&amp;" "&amp;AZ$1,Results!$G:$I,3,FALSE),-VLOOKUP($C23&amp;" "&amp;AZ$1,Results!$H:$I,2,FALSE)),"")</f>
        <v/>
      </c>
      <c r="BA23" s="14" t="str">
        <f>IFERROR(IFERROR(VLOOKUP($C23&amp;" "&amp;BA$1,Results!$G:$I,3,FALSE),-VLOOKUP($C23&amp;" "&amp;BA$1,Results!$H:$I,2,FALSE)),"")</f>
        <v/>
      </c>
      <c r="BB23" s="14" t="str">
        <f>IFERROR(IFERROR(VLOOKUP($C23&amp;" "&amp;BB$1,Results!$G:$I,3,FALSE),-VLOOKUP($C23&amp;" "&amp;BB$1,Results!$H:$I,2,FALSE)),"")</f>
        <v/>
      </c>
      <c r="BC23" s="14" t="str">
        <f>IFERROR(IFERROR(VLOOKUP($C23&amp;" "&amp;BC$1,Results!$G:$I,3,FALSE),-VLOOKUP($C23&amp;" "&amp;BC$1,Results!$H:$I,2,FALSE)),"")</f>
        <v/>
      </c>
      <c r="BD23" s="14" t="str">
        <f>IFERROR(IFERROR(VLOOKUP($C23&amp;" "&amp;BD$1,Results!$G:$I,3,FALSE),-VLOOKUP($C23&amp;" "&amp;BD$1,Results!$H:$I,2,FALSE)),"")</f>
        <v/>
      </c>
      <c r="BE23" s="14"/>
      <c r="BF23" s="14"/>
      <c r="BG23" s="14"/>
      <c r="BH23" s="14"/>
      <c r="BI23" s="14"/>
      <c r="BJ23" s="30"/>
      <c r="BK23" s="30"/>
      <c r="BL23" s="30"/>
      <c r="BM23" s="30"/>
      <c r="BN23" s="23"/>
      <c r="BO23" s="23"/>
      <c r="BP23" s="23"/>
      <c r="BQ23" s="11"/>
      <c r="BR23" s="11"/>
      <c r="BW23" s="111">
        <f t="shared" si="7"/>
        <v>-179</v>
      </c>
      <c r="BX23" s="15">
        <f t="shared" si="10"/>
        <v>0</v>
      </c>
      <c r="BY23" s="15">
        <f t="shared" si="11"/>
        <v>5</v>
      </c>
      <c r="BZ23" s="15">
        <f t="shared" si="12"/>
        <v>6</v>
      </c>
      <c r="CA23" s="90">
        <f t="shared" si="14"/>
        <v>0</v>
      </c>
      <c r="CC23" s="22">
        <f t="shared" si="4"/>
        <v>-179</v>
      </c>
      <c r="CE23" s="15">
        <v>17</v>
      </c>
      <c r="CF23" s="15">
        <f t="shared" si="5"/>
        <v>0</v>
      </c>
      <c r="CG23" s="15">
        <f t="shared" si="9"/>
        <v>17</v>
      </c>
    </row>
    <row r="24" spans="1:85">
      <c r="B24" s="15">
        <v>21</v>
      </c>
      <c r="C24" s="16" t="s">
        <v>97</v>
      </c>
      <c r="D24" s="8"/>
      <c r="E24" s="8">
        <f>IF(AND(AP24&gt;0,$A24&lt;VLOOKUP(AP$1,$C:$L,10,FALSE)),1,IF(AND(AP24&lt;0,$A24&gt;VLOOKUP(AP$1,$C:$L,10,FALSE)),1,0))</f>
        <v>0</v>
      </c>
      <c r="F24" s="8">
        <f>IF(AND(AQ24&gt;0,$A24&lt;VLOOKUP(AQ$1,$C:$L,10,FALSE)),1,IF(AND(AQ24&lt;0,$A24&gt;VLOOKUP(AQ$1,$C:$L,10,FALSE)),1,0))</f>
        <v>0</v>
      </c>
      <c r="G24" s="8">
        <f>IF(AND(AR24&gt;0,$A24&lt;VLOOKUP(AR$1,$C:$L,10,FALSE)),1,IF(AND(AR24&lt;0,$A24&gt;VLOOKUP(AR$1,$C:$L,10,FALSE)),1,0))</f>
        <v>0</v>
      </c>
      <c r="H24" s="8">
        <f>IF(AND(AT24&gt;0,$A24&lt;VLOOKUP(AT$1,$C:$L,10,FALSE)),1,IF(AND(AT24&lt;0,$A24&gt;VLOOKUP(AT$1,$C:$L,10,FALSE)),1,0))</f>
        <v>0</v>
      </c>
      <c r="I24" s="8">
        <f>IF(AND(AU24&gt;0,$A24&lt;VLOOKUP(AU$1,$C:$L,10,FALSE)),1,IF(AND(AU24&lt;0,$A24&gt;VLOOKUP(AU$1,$C:$L,10,FALSE)),1,0))</f>
        <v>0</v>
      </c>
      <c r="J24" s="8">
        <f>IF(AND(AV24&gt;0,$A24&lt;VLOOKUP(AV$1,$C:$L,10,FALSE)),1,IF(AND(AV24&lt;0,$A24&gt;VLOOKUP(AV$1,$C:$L,10,FALSE)),1,0))</f>
        <v>0</v>
      </c>
      <c r="K24" s="108" t="s">
        <v>135</v>
      </c>
      <c r="L24" s="8">
        <f t="shared" si="0"/>
        <v>0</v>
      </c>
      <c r="M24" s="2">
        <v>6</v>
      </c>
      <c r="N24" s="17">
        <f t="shared" si="1"/>
        <v>0</v>
      </c>
      <c r="O24" s="2">
        <f t="shared" si="2"/>
        <v>6</v>
      </c>
      <c r="P24" s="2">
        <f t="shared" si="3"/>
        <v>0</v>
      </c>
      <c r="Q24" s="18">
        <f>COUNTIF($AS24:$AV24,"&gt;0")</f>
        <v>0</v>
      </c>
      <c r="R24" s="19">
        <f>COUNTIF($AS24:$AV24,"&lt;0")</f>
        <v>3</v>
      </c>
      <c r="S24" s="20">
        <f>COUNTIF($AS24:$AV24,"=0")</f>
        <v>0</v>
      </c>
      <c r="T24" s="2">
        <f>COUNTIF(V24:BJ24,"NC")</f>
        <v>0</v>
      </c>
      <c r="U24" s="2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 t="str">
        <f>IFERROR(IFERROR(VLOOKUP($C24&amp;" "&amp;AG$1,Results!$G:$I,3,FALSE),-VLOOKUP($C24&amp;" "&amp;AG$1,Results!$H:$I,2,FALSE)),"")</f>
        <v/>
      </c>
      <c r="AH24" s="14" t="str">
        <f>IFERROR(IFERROR(VLOOKUP($C24&amp;" "&amp;AH$1,Results!$G:$I,3,FALSE),-VLOOKUP($C24&amp;" "&amp;AH$1,Results!$H:$I,2,FALSE)),"")</f>
        <v/>
      </c>
      <c r="AI24" s="14" t="str">
        <f>IFERROR(IFERROR(VLOOKUP($C24&amp;" "&amp;AI$1,Results!$G:$I,3,FALSE),-VLOOKUP($C24&amp;" "&amp;AI$1,Results!$H:$I,2,FALSE)),"")</f>
        <v/>
      </c>
      <c r="AJ24" s="14" t="str">
        <f>IFERROR(IFERROR(VLOOKUP($C24&amp;" "&amp;AJ$1,Results!$G:$I,3,FALSE),-VLOOKUP($C24&amp;" "&amp;AJ$1,Results!$H:$I,2,FALSE)),"")</f>
        <v/>
      </c>
      <c r="AK24" s="14" t="str">
        <f>IFERROR(IFERROR(VLOOKUP($C24&amp;" "&amp;AK$1,Results!$G:$I,3,FALSE),-VLOOKUP($C24&amp;" "&amp;AK$1,Results!$H:$I,2,FALSE)),"")</f>
        <v/>
      </c>
      <c r="AL24" s="14" t="str">
        <f>IFERROR(IFERROR(VLOOKUP($C24&amp;" "&amp;AL$1,Results!$G:$I,3,FALSE),-VLOOKUP($C24&amp;" "&amp;AL$1,Results!$H:$I,2,FALSE)),"")</f>
        <v/>
      </c>
      <c r="AM24" s="14" t="str">
        <f>IFERROR(IFERROR(VLOOKUP($C24&amp;" "&amp;AM$1,Results!$G:$I,3,FALSE),-VLOOKUP($C24&amp;" "&amp;AM$1,Results!$H:$I,2,FALSE)),"")</f>
        <v/>
      </c>
      <c r="AN24" s="14" t="str">
        <f>IFERROR(IFERROR(VLOOKUP($C24&amp;" "&amp;AN$1,Results!$G:$I,3,FALSE),-VLOOKUP($C24&amp;" "&amp;AN$1,Results!$H:$I,2,FALSE)),"")</f>
        <v/>
      </c>
      <c r="AO24" s="14" t="str">
        <f>IFERROR(IFERROR(VLOOKUP($C24&amp;" "&amp;AO$1,Results!$G:$I,3,FALSE),-VLOOKUP($C24&amp;" "&amp;AO$1,Results!$H:$I,2,FALSE)),"")</f>
        <v/>
      </c>
      <c r="AP24" s="14">
        <f>IFERROR(IFERROR(VLOOKUP($C24&amp;" "&amp;AP$1,Results!$G:$I,3,FALSE),-VLOOKUP($C24&amp;" "&amp;AP$1,Results!$H:$I,2,FALSE)),"")</f>
        <v>-94</v>
      </c>
      <c r="AQ24" s="14">
        <f>IFERROR(IFERROR(VLOOKUP($C24&amp;" "&amp;AQ$1,Results!$G:$I,3,FALSE),-VLOOKUP($C24&amp;" "&amp;AQ$1,Results!$H:$I,2,FALSE)),"")</f>
        <v>-63</v>
      </c>
      <c r="AR24" s="14">
        <f>IFERROR(IFERROR(VLOOKUP($C24&amp;" "&amp;AR$1,Results!$G:$I,3,FALSE),-VLOOKUP($C24&amp;" "&amp;AR$1,Results!$H:$I,2,FALSE)),"")</f>
        <v>-10</v>
      </c>
      <c r="AS24" s="33" t="str">
        <f>IFERROR(IFERROR(VLOOKUP($C24&amp;" "&amp;AS$1,Results!$G:$I,3,FALSE),-VLOOKUP($C24&amp;" "&amp;AS$1,Results!$H:$I,2,FALSE)),"")</f>
        <v/>
      </c>
      <c r="AT24" s="64">
        <f>IFERROR(IFERROR(VLOOKUP($C24&amp;" "&amp;AT$1,Results!$G:$I,3,FALSE),-VLOOKUP($C24&amp;" "&amp;AT$1,Results!$H:$I,2,FALSE)),"")</f>
        <v>-7</v>
      </c>
      <c r="AU24" s="64">
        <f>IFERROR(IFERROR(VLOOKUP($C24&amp;" "&amp;AU$1,Results!$G:$I,3,FALSE),-VLOOKUP($C24&amp;" "&amp;AU$1,Results!$H:$I,2,FALSE)),"")</f>
        <v>-74</v>
      </c>
      <c r="AV24" s="65">
        <f>IFERROR(IFERROR(VLOOKUP($C24&amp;" "&amp;AV$1,Results!$G:$I,3,FALSE),-VLOOKUP($C24&amp;" "&amp;AV$1,Results!$H:$I,2,FALSE)),"")</f>
        <v>-101</v>
      </c>
      <c r="AW24" s="14" t="str">
        <f>IFERROR(IFERROR(VLOOKUP($C24&amp;" "&amp;AW$1,Results!$G:$I,3,FALSE),-VLOOKUP($C24&amp;" "&amp;AW$1,Results!$H:$I,2,FALSE)),"")</f>
        <v/>
      </c>
      <c r="AX24" s="14" t="str">
        <f>IFERROR(IFERROR(VLOOKUP($C24&amp;" "&amp;AX$1,Results!$G:$I,3,FALSE),-VLOOKUP($C24&amp;" "&amp;AX$1,Results!$H:$I,2,FALSE)),"")</f>
        <v/>
      </c>
      <c r="AY24" s="14" t="str">
        <f>IFERROR(IFERROR(VLOOKUP($C24&amp;" "&amp;AY$1,Results!$G:$I,3,FALSE),-VLOOKUP($C24&amp;" "&amp;AY$1,Results!$H:$I,2,FALSE)),"")</f>
        <v/>
      </c>
      <c r="AZ24" s="14" t="str">
        <f>IFERROR(IFERROR(VLOOKUP($C24&amp;" "&amp;AZ$1,Results!$G:$I,3,FALSE),-VLOOKUP($C24&amp;" "&amp;AZ$1,Results!$H:$I,2,FALSE)),"")</f>
        <v/>
      </c>
      <c r="BA24" s="14" t="str">
        <f>IFERROR(IFERROR(VLOOKUP($C24&amp;" "&amp;BA$1,Results!$G:$I,3,FALSE),-VLOOKUP($C24&amp;" "&amp;BA$1,Results!$H:$I,2,FALSE)),"")</f>
        <v/>
      </c>
      <c r="BB24" s="14" t="str">
        <f>IFERROR(IFERROR(VLOOKUP($C24&amp;" "&amp;BB$1,Results!$G:$I,3,FALSE),-VLOOKUP($C24&amp;" "&amp;BB$1,Results!$H:$I,2,FALSE)),"")</f>
        <v/>
      </c>
      <c r="BC24" s="14" t="str">
        <f>IFERROR(IFERROR(VLOOKUP($C24&amp;" "&amp;BC$1,Results!$G:$I,3,FALSE),-VLOOKUP($C24&amp;" "&amp;BC$1,Results!$H:$I,2,FALSE)),"")</f>
        <v/>
      </c>
      <c r="BD24" s="14" t="str">
        <f>IFERROR(IFERROR(VLOOKUP($C24&amp;" "&amp;BD$1,Results!$G:$I,3,FALSE),-VLOOKUP($C24&amp;" "&amp;BD$1,Results!$H:$I,2,FALSE)),"")</f>
        <v/>
      </c>
      <c r="BE24" s="14"/>
      <c r="BF24" s="14"/>
      <c r="BG24" s="14"/>
      <c r="BH24" s="14"/>
      <c r="BI24" s="14"/>
      <c r="BJ24" s="30"/>
      <c r="BK24" s="30"/>
      <c r="BL24" s="30"/>
      <c r="BM24" s="30"/>
      <c r="BN24" s="23"/>
      <c r="BO24" s="23"/>
      <c r="BP24" s="23"/>
      <c r="BQ24" s="11"/>
      <c r="BR24" s="11"/>
      <c r="BW24" s="111">
        <f t="shared" si="7"/>
        <v>-349</v>
      </c>
      <c r="BX24" s="15">
        <f t="shared" si="10"/>
        <v>0</v>
      </c>
      <c r="BY24" s="15">
        <f t="shared" si="11"/>
        <v>5</v>
      </c>
      <c r="BZ24" s="15">
        <f t="shared" si="12"/>
        <v>6</v>
      </c>
      <c r="CA24" s="90">
        <f t="shared" si="14"/>
        <v>0</v>
      </c>
      <c r="CC24" s="22">
        <f t="shared" si="4"/>
        <v>-349</v>
      </c>
      <c r="CE24" s="15">
        <v>21</v>
      </c>
      <c r="CF24" s="15">
        <f t="shared" si="5"/>
        <v>0</v>
      </c>
      <c r="CG24" s="15">
        <f t="shared" si="9"/>
        <v>21</v>
      </c>
    </row>
    <row r="25" spans="1:85">
      <c r="B25" s="15">
        <v>22</v>
      </c>
      <c r="C25" s="16" t="s">
        <v>104</v>
      </c>
      <c r="D25" s="8"/>
      <c r="E25" s="8">
        <f>IF(AND(AQ25&gt;0,$A25&lt;VLOOKUP(AQ$1,$C:$L,10,FALSE)),1,IF(AND(AQ25&lt;0,$A25&gt;VLOOKUP(AQ$1,$C:$L,10,FALSE)),1,0))</f>
        <v>0</v>
      </c>
      <c r="F25" s="8">
        <f>IF(AND(AR25&gt;0,$A25&lt;VLOOKUP(AR$1,$C:$L,10,FALSE)),1,IF(AND(AR25&lt;0,$A25&gt;VLOOKUP(AR$1,$C:$L,10,FALSE)),1,0))</f>
        <v>0</v>
      </c>
      <c r="G25" s="8">
        <f>IF(AND(AS25&gt;0,$A25&lt;VLOOKUP(AS$1,$C:$L,10,FALSE)),1,IF(AND(AS25&lt;0,$A25&gt;VLOOKUP(AS$1,$C:$L,10,FALSE)),1,0))</f>
        <v>0</v>
      </c>
      <c r="H25" s="8">
        <f>IF(AND(AU25&gt;0,$A25&lt;VLOOKUP(AU$1,$C:$L,10,FALSE)),1,IF(AND(AU25&lt;0,$A25&gt;VLOOKUP(AU$1,$C:$L,10,FALSE)),1,0))</f>
        <v>0</v>
      </c>
      <c r="I25" s="8">
        <f>IF(AND(AV25&gt;0,$A25&lt;VLOOKUP(AV$1,$C:$L,10,FALSE)),1,IF(AND(AV25&lt;0,$A25&gt;VLOOKUP(AV$1,$C:$L,10,FALSE)),1,0))</f>
        <v>0</v>
      </c>
      <c r="J25" s="8">
        <f>IF(AND(AW25&gt;0,$A25&lt;VLOOKUP(AW$1,$C:$L,10,FALSE)),1,IF(AND(AW25&lt;0,$A25&gt;VLOOKUP(AW$1,$C:$L,10,FALSE)),1,0))</f>
        <v>0</v>
      </c>
      <c r="K25" s="108" t="s">
        <v>135</v>
      </c>
      <c r="L25" s="8">
        <f t="shared" si="0"/>
        <v>0</v>
      </c>
      <c r="M25" s="2">
        <v>6</v>
      </c>
      <c r="N25" s="17">
        <f t="shared" si="1"/>
        <v>3</v>
      </c>
      <c r="O25" s="2">
        <f t="shared" si="2"/>
        <v>3</v>
      </c>
      <c r="P25" s="2">
        <f t="shared" si="3"/>
        <v>0</v>
      </c>
      <c r="Q25" s="18">
        <f>COUNTIF($AS25:$AV25,"&gt;0")</f>
        <v>1</v>
      </c>
      <c r="R25" s="19">
        <f>COUNTIF($AS25:$AV25,"&lt;0")</f>
        <v>2</v>
      </c>
      <c r="S25" s="20">
        <f>COUNTIF($AS25:$AV25,"=0")</f>
        <v>0</v>
      </c>
      <c r="T25" s="2">
        <f t="shared" ref="T25:T27" si="18">COUNTIF(V25:BJ25,"NC")</f>
        <v>0</v>
      </c>
      <c r="U25" s="2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 t="str">
        <f>IFERROR(IFERROR(VLOOKUP($C25&amp;" "&amp;AG$1,Results!$G:$I,3,FALSE),-VLOOKUP($C25&amp;" "&amp;AG$1,Results!$H:$I,2,FALSE)),"")</f>
        <v/>
      </c>
      <c r="AH25" s="14" t="str">
        <f>IFERROR(IFERROR(VLOOKUP($C25&amp;" "&amp;AH$1,Results!$G:$I,3,FALSE),-VLOOKUP($C25&amp;" "&amp;AH$1,Results!$H:$I,2,FALSE)),"")</f>
        <v/>
      </c>
      <c r="AI25" s="14" t="str">
        <f>IFERROR(IFERROR(VLOOKUP($C25&amp;" "&amp;AI$1,Results!$G:$I,3,FALSE),-VLOOKUP($C25&amp;" "&amp;AI$1,Results!$H:$I,2,FALSE)),"")</f>
        <v/>
      </c>
      <c r="AJ25" s="14" t="str">
        <f>IFERROR(IFERROR(VLOOKUP($C25&amp;" "&amp;AJ$1,Results!$G:$I,3,FALSE),-VLOOKUP($C25&amp;" "&amp;AJ$1,Results!$H:$I,2,FALSE)),"")</f>
        <v/>
      </c>
      <c r="AK25" s="14" t="str">
        <f>IFERROR(IFERROR(VLOOKUP($C25&amp;" "&amp;AK$1,Results!$G:$I,3,FALSE),-VLOOKUP($C25&amp;" "&amp;AK$1,Results!$H:$I,2,FALSE)),"")</f>
        <v/>
      </c>
      <c r="AL25" s="14" t="str">
        <f>IFERROR(IFERROR(VLOOKUP($C25&amp;" "&amp;AL$1,Results!$G:$I,3,FALSE),-VLOOKUP($C25&amp;" "&amp;AL$1,Results!$H:$I,2,FALSE)),"")</f>
        <v/>
      </c>
      <c r="AM25" s="14" t="str">
        <f>IFERROR(IFERROR(VLOOKUP($C25&amp;" "&amp;AM$1,Results!$G:$I,3,FALSE),-VLOOKUP($C25&amp;" "&amp;AM$1,Results!$H:$I,2,FALSE)),"")</f>
        <v/>
      </c>
      <c r="AN25" s="14" t="str">
        <f>IFERROR(IFERROR(VLOOKUP($C25&amp;" "&amp;AN$1,Results!$G:$I,3,FALSE),-VLOOKUP($C25&amp;" "&amp;AN$1,Results!$H:$I,2,FALSE)),"")</f>
        <v/>
      </c>
      <c r="AO25" s="14" t="str">
        <f>IFERROR(IFERROR(VLOOKUP($C25&amp;" "&amp;AO$1,Results!$G:$I,3,FALSE),-VLOOKUP($C25&amp;" "&amp;AO$1,Results!$H:$I,2,FALSE)),"")</f>
        <v/>
      </c>
      <c r="AP25" s="14" t="str">
        <f>IFERROR(IFERROR(VLOOKUP($C25&amp;" "&amp;AP$1,Results!$G:$I,3,FALSE),-VLOOKUP($C25&amp;" "&amp;AP$1,Results!$H:$I,2,FALSE)),"")</f>
        <v/>
      </c>
      <c r="AQ25" s="14">
        <f>IFERROR(IFERROR(VLOOKUP($C25&amp;" "&amp;AQ$1,Results!$G:$I,3,FALSE),-VLOOKUP($C25&amp;" "&amp;AQ$1,Results!$H:$I,2,FALSE)),"")</f>
        <v>-44</v>
      </c>
      <c r="AR25" s="14">
        <f>IFERROR(IFERROR(VLOOKUP($C25&amp;" "&amp;AR$1,Results!$G:$I,3,FALSE),-VLOOKUP($C25&amp;" "&amp;AR$1,Results!$H:$I,2,FALSE)),"")</f>
        <v>92</v>
      </c>
      <c r="AS25" s="66">
        <f>IFERROR(IFERROR(VLOOKUP($C25&amp;" "&amp;AS$1,Results!$G:$I,3,FALSE),-VLOOKUP($C25&amp;" "&amp;AS$1,Results!$H:$I,2,FALSE)),"")</f>
        <v>7</v>
      </c>
      <c r="AT25" s="34" t="str">
        <f>IFERROR(IFERROR(VLOOKUP($C25&amp;" "&amp;AT$1,Results!$G:$I,3,FALSE),-VLOOKUP($C25&amp;" "&amp;AT$1,Results!$H:$I,2,FALSE)),"")</f>
        <v/>
      </c>
      <c r="AU25" s="34">
        <f>IFERROR(IFERROR(VLOOKUP($C25&amp;" "&amp;AU$1,Results!$G:$I,3,FALSE),-VLOOKUP($C25&amp;" "&amp;AU$1,Results!$H:$I,2,FALSE)),"")</f>
        <v>-88</v>
      </c>
      <c r="AV25" s="67">
        <f>IFERROR(IFERROR(VLOOKUP($C25&amp;" "&amp;AV$1,Results!$G:$I,3,FALSE),-VLOOKUP($C25&amp;" "&amp;AV$1,Results!$H:$I,2,FALSE)),"")</f>
        <v>-18</v>
      </c>
      <c r="AW25" s="14">
        <f>IFERROR(IFERROR(VLOOKUP($C25&amp;" "&amp;AW$1,Results!$G:$I,3,FALSE),-VLOOKUP($C25&amp;" "&amp;AW$1,Results!$H:$I,2,FALSE)),"")</f>
        <v>14</v>
      </c>
      <c r="AX25" s="14" t="str">
        <f>IFERROR(IFERROR(VLOOKUP($C25&amp;" "&amp;AX$1,Results!$G:$I,3,FALSE),-VLOOKUP($C25&amp;" "&amp;AX$1,Results!$H:$I,2,FALSE)),"")</f>
        <v/>
      </c>
      <c r="AY25" s="14" t="str">
        <f>IFERROR(IFERROR(VLOOKUP($C25&amp;" "&amp;AY$1,Results!$G:$I,3,FALSE),-VLOOKUP($C25&amp;" "&amp;AY$1,Results!$H:$I,2,FALSE)),"")</f>
        <v/>
      </c>
      <c r="AZ25" s="14" t="str">
        <f>IFERROR(IFERROR(VLOOKUP($C25&amp;" "&amp;AZ$1,Results!$G:$I,3,FALSE),-VLOOKUP($C25&amp;" "&amp;AZ$1,Results!$H:$I,2,FALSE)),"")</f>
        <v/>
      </c>
      <c r="BA25" s="14" t="str">
        <f>IFERROR(IFERROR(VLOOKUP($C25&amp;" "&amp;BA$1,Results!$G:$I,3,FALSE),-VLOOKUP($C25&amp;" "&amp;BA$1,Results!$H:$I,2,FALSE)),"")</f>
        <v/>
      </c>
      <c r="BB25" s="14" t="str">
        <f>IFERROR(IFERROR(VLOOKUP($C25&amp;" "&amp;BB$1,Results!$G:$I,3,FALSE),-VLOOKUP($C25&amp;" "&amp;BB$1,Results!$H:$I,2,FALSE)),"")</f>
        <v/>
      </c>
      <c r="BC25" s="14" t="str">
        <f>IFERROR(IFERROR(VLOOKUP($C25&amp;" "&amp;BC$1,Results!$G:$I,3,FALSE),-VLOOKUP($C25&amp;" "&amp;BC$1,Results!$H:$I,2,FALSE)),"")</f>
        <v/>
      </c>
      <c r="BD25" s="14" t="str">
        <f>IFERROR(IFERROR(VLOOKUP($C25&amp;" "&amp;BD$1,Results!$G:$I,3,FALSE),-VLOOKUP($C25&amp;" "&amp;BD$1,Results!$H:$I,2,FALSE)),"")</f>
        <v/>
      </c>
      <c r="BE25" s="14"/>
      <c r="BF25" s="14"/>
      <c r="BG25" s="14"/>
      <c r="BH25" s="14"/>
      <c r="BI25" s="14"/>
      <c r="BJ25" s="30"/>
      <c r="BK25" s="30"/>
      <c r="BL25" s="30"/>
      <c r="BM25" s="30"/>
      <c r="BN25" s="23"/>
      <c r="BO25" s="23"/>
      <c r="BP25" s="23"/>
      <c r="BQ25" s="11"/>
      <c r="BR25" s="11"/>
      <c r="BW25" s="111">
        <f t="shared" si="7"/>
        <v>-37</v>
      </c>
      <c r="BX25" s="15">
        <f t="shared" si="10"/>
        <v>0</v>
      </c>
      <c r="BY25" s="15">
        <f t="shared" si="11"/>
        <v>5</v>
      </c>
      <c r="BZ25" s="15">
        <f t="shared" si="12"/>
        <v>6</v>
      </c>
      <c r="CA25" s="90">
        <f t="shared" si="14"/>
        <v>0</v>
      </c>
      <c r="CC25" s="22">
        <f t="shared" si="4"/>
        <v>-37</v>
      </c>
      <c r="CE25" s="15">
        <v>27</v>
      </c>
      <c r="CF25" s="15">
        <f t="shared" si="5"/>
        <v>0</v>
      </c>
      <c r="CG25" s="15">
        <f t="shared" si="9"/>
        <v>27</v>
      </c>
    </row>
    <row r="26" spans="1:85">
      <c r="B26" s="15">
        <v>23</v>
      </c>
      <c r="C26" s="16" t="s">
        <v>27</v>
      </c>
      <c r="D26" s="8"/>
      <c r="E26" s="8">
        <f>IF(AND(AR26&gt;0,$A26&lt;VLOOKUP(AR$1,$C:$L,10,FALSE)),1,IF(AND(AR26&lt;0,$A26&gt;VLOOKUP(AR$1,$C:$L,10,FALSE)),1,0))</f>
        <v>0</v>
      </c>
      <c r="F26" s="8">
        <f>IF(AND(AS26&gt;0,$A26&lt;VLOOKUP(AS$1,$C:$L,10,FALSE)),1,IF(AND(AS26&lt;0,$A26&gt;VLOOKUP(AS$1,$C:$L,10,FALSE)),1,0))</f>
        <v>0</v>
      </c>
      <c r="G26" s="8">
        <f>IF(AND(AT26&gt;0,$A26&lt;VLOOKUP(AT$1,$C:$L,10,FALSE)),1,IF(AND(AT26&lt;0,$A26&gt;VLOOKUP(AT$1,$C:$L,10,FALSE)),1,0))</f>
        <v>0</v>
      </c>
      <c r="H26" s="8">
        <f>IF(AND(AV26&gt;0,$A26&lt;VLOOKUP(AV$1,$C:$L,10,FALSE)),1,IF(AND(AV26&lt;0,$A26&gt;VLOOKUP(AV$1,$C:$L,10,FALSE)),1,0))</f>
        <v>0</v>
      </c>
      <c r="I26" s="8">
        <f>IF(AND(AW26&gt;0,$A26&lt;VLOOKUP(AW$1,$C:$L,10,FALSE)),1,IF(AND(AW26&lt;0,$A26&gt;VLOOKUP(AW$1,$C:$L,10,FALSE)),1,0))</f>
        <v>0</v>
      </c>
      <c r="J26" s="8">
        <f>IF(AND(AX26&gt;0,$A26&lt;VLOOKUP(AX$1,$C:$L,10,FALSE)),1,IF(AND(AX26&lt;0,$A26&gt;VLOOKUP(AX$1,$C:$L,10,FALSE)),1,0))</f>
        <v>0</v>
      </c>
      <c r="K26" s="108" t="s">
        <v>135</v>
      </c>
      <c r="L26" s="8">
        <f t="shared" si="0"/>
        <v>0</v>
      </c>
      <c r="M26" s="2">
        <v>6</v>
      </c>
      <c r="N26" s="17">
        <f t="shared" si="1"/>
        <v>5</v>
      </c>
      <c r="O26" s="2">
        <f t="shared" si="2"/>
        <v>1</v>
      </c>
      <c r="P26" s="2">
        <f t="shared" si="3"/>
        <v>0</v>
      </c>
      <c r="Q26" s="18">
        <f>COUNTIF($AS26:$AV26,"&gt;0")</f>
        <v>3</v>
      </c>
      <c r="R26" s="19">
        <f>COUNTIF($AS26:$AV26,"&lt;0")</f>
        <v>0</v>
      </c>
      <c r="S26" s="20">
        <f>COUNTIF($AS26:$AV26,"=0")</f>
        <v>0</v>
      </c>
      <c r="T26" s="2">
        <f t="shared" si="18"/>
        <v>0</v>
      </c>
      <c r="U26" s="2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 t="str">
        <f>IFERROR(IFERROR(VLOOKUP($C26&amp;" "&amp;AG$1,Results!$G:$I,3,FALSE),-VLOOKUP($C26&amp;" "&amp;AG$1,Results!$H:$I,2,FALSE)),"")</f>
        <v/>
      </c>
      <c r="AH26" s="14" t="str">
        <f>IFERROR(IFERROR(VLOOKUP($C26&amp;" "&amp;AH$1,Results!$G:$I,3,FALSE),-VLOOKUP($C26&amp;" "&amp;AH$1,Results!$H:$I,2,FALSE)),"")</f>
        <v/>
      </c>
      <c r="AI26" s="14" t="str">
        <f>IFERROR(IFERROR(VLOOKUP($C26&amp;" "&amp;AI$1,Results!$G:$I,3,FALSE),-VLOOKUP($C26&amp;" "&amp;AI$1,Results!$H:$I,2,FALSE)),"")</f>
        <v/>
      </c>
      <c r="AJ26" s="14" t="str">
        <f>IFERROR(IFERROR(VLOOKUP($C26&amp;" "&amp;AJ$1,Results!$G:$I,3,FALSE),-VLOOKUP($C26&amp;" "&amp;AJ$1,Results!$H:$I,2,FALSE)),"")</f>
        <v/>
      </c>
      <c r="AK26" s="14" t="str">
        <f>IFERROR(IFERROR(VLOOKUP($C26&amp;" "&amp;AK$1,Results!$G:$I,3,FALSE),-VLOOKUP($C26&amp;" "&amp;AK$1,Results!$H:$I,2,FALSE)),"")</f>
        <v/>
      </c>
      <c r="AL26" s="14" t="str">
        <f>IFERROR(IFERROR(VLOOKUP($C26&amp;" "&amp;AL$1,Results!$G:$I,3,FALSE),-VLOOKUP($C26&amp;" "&amp;AL$1,Results!$H:$I,2,FALSE)),"")</f>
        <v/>
      </c>
      <c r="AM26" s="14" t="str">
        <f>IFERROR(IFERROR(VLOOKUP($C26&amp;" "&amp;AM$1,Results!$G:$I,3,FALSE),-VLOOKUP($C26&amp;" "&amp;AM$1,Results!$H:$I,2,FALSE)),"")</f>
        <v/>
      </c>
      <c r="AN26" s="14" t="str">
        <f>IFERROR(IFERROR(VLOOKUP($C26&amp;" "&amp;AN$1,Results!$G:$I,3,FALSE),-VLOOKUP($C26&amp;" "&amp;AN$1,Results!$H:$I,2,FALSE)),"")</f>
        <v/>
      </c>
      <c r="AO26" s="14" t="str">
        <f>IFERROR(IFERROR(VLOOKUP($C26&amp;" "&amp;AO$1,Results!$G:$I,3,FALSE),-VLOOKUP($C26&amp;" "&amp;AO$1,Results!$H:$I,2,FALSE)),"")</f>
        <v/>
      </c>
      <c r="AP26" s="14" t="str">
        <f>IFERROR(IFERROR(VLOOKUP($C26&amp;" "&amp;AP$1,Results!$G:$I,3,FALSE),-VLOOKUP($C26&amp;" "&amp;AP$1,Results!$H:$I,2,FALSE)),"")</f>
        <v/>
      </c>
      <c r="AQ26" s="14" t="str">
        <f>IFERROR(IFERROR(VLOOKUP($C26&amp;" "&amp;AQ$1,Results!$G:$I,3,FALSE),-VLOOKUP($C26&amp;" "&amp;AQ$1,Results!$H:$I,2,FALSE)),"")</f>
        <v/>
      </c>
      <c r="AR26" s="14">
        <f>IFERROR(IFERROR(VLOOKUP($C26&amp;" "&amp;AR$1,Results!$G:$I,3,FALSE),-VLOOKUP($C26&amp;" "&amp;AR$1,Results!$H:$I,2,FALSE)),"")</f>
        <v>36</v>
      </c>
      <c r="AS26" s="66">
        <f>IFERROR(IFERROR(VLOOKUP($C26&amp;" "&amp;AS$1,Results!$G:$I,3,FALSE),-VLOOKUP($C26&amp;" "&amp;AS$1,Results!$H:$I,2,FALSE)),"")</f>
        <v>74</v>
      </c>
      <c r="AT26" s="34">
        <f>IFERROR(IFERROR(VLOOKUP($C26&amp;" "&amp;AT$1,Results!$G:$I,3,FALSE),-VLOOKUP($C26&amp;" "&amp;AT$1,Results!$H:$I,2,FALSE)),"")</f>
        <v>88</v>
      </c>
      <c r="AU26" s="34" t="str">
        <f>IFERROR(IFERROR(VLOOKUP($C26&amp;" "&amp;AU$1,Results!$G:$I,3,FALSE),-VLOOKUP($C26&amp;" "&amp;AU$1,Results!$H:$I,2,FALSE)),"")</f>
        <v/>
      </c>
      <c r="AV26" s="67">
        <f>IFERROR(IFERROR(VLOOKUP($C26&amp;" "&amp;AV$1,Results!$G:$I,3,FALSE),-VLOOKUP($C26&amp;" "&amp;AV$1,Results!$H:$I,2,FALSE)),"")</f>
        <v>72</v>
      </c>
      <c r="AW26" s="14">
        <f>IFERROR(IFERROR(VLOOKUP($C26&amp;" "&amp;AW$1,Results!$G:$I,3,FALSE),-VLOOKUP($C26&amp;" "&amp;AW$1,Results!$H:$I,2,FALSE)),"")</f>
        <v>-23</v>
      </c>
      <c r="AX26" s="14">
        <f>IFERROR(IFERROR(VLOOKUP($C26&amp;" "&amp;AX$1,Results!$G:$I,3,FALSE),-VLOOKUP($C26&amp;" "&amp;AX$1,Results!$H:$I,2,FALSE)),"")</f>
        <v>175</v>
      </c>
      <c r="AY26" s="14" t="str">
        <f>IFERROR(IFERROR(VLOOKUP($C26&amp;" "&amp;AY$1,Results!$G:$I,3,FALSE),-VLOOKUP($C26&amp;" "&amp;AY$1,Results!$H:$I,2,FALSE)),"")</f>
        <v/>
      </c>
      <c r="AZ26" s="14" t="str">
        <f>IFERROR(IFERROR(VLOOKUP($C26&amp;" "&amp;AZ$1,Results!$G:$I,3,FALSE),-VLOOKUP($C26&amp;" "&amp;AZ$1,Results!$H:$I,2,FALSE)),"")</f>
        <v/>
      </c>
      <c r="BA26" s="14" t="str">
        <f>IFERROR(IFERROR(VLOOKUP($C26&amp;" "&amp;BA$1,Results!$G:$I,3,FALSE),-VLOOKUP($C26&amp;" "&amp;BA$1,Results!$H:$I,2,FALSE)),"")</f>
        <v/>
      </c>
      <c r="BB26" s="14" t="str">
        <f>IFERROR(IFERROR(VLOOKUP($C26&amp;" "&amp;BB$1,Results!$G:$I,3,FALSE),-VLOOKUP($C26&amp;" "&amp;BB$1,Results!$H:$I,2,FALSE)),"")</f>
        <v/>
      </c>
      <c r="BC26" s="14" t="str">
        <f>IFERROR(IFERROR(VLOOKUP($C26&amp;" "&amp;BC$1,Results!$G:$I,3,FALSE),-VLOOKUP($C26&amp;" "&amp;BC$1,Results!$H:$I,2,FALSE)),"")</f>
        <v/>
      </c>
      <c r="BD26" s="14" t="str">
        <f>IFERROR(IFERROR(VLOOKUP($C26&amp;" "&amp;BD$1,Results!$G:$I,3,FALSE),-VLOOKUP($C26&amp;" "&amp;BD$1,Results!$H:$I,2,FALSE)),"")</f>
        <v/>
      </c>
      <c r="BE26" s="14"/>
      <c r="BF26" s="14"/>
      <c r="BG26" s="14"/>
      <c r="BH26" s="14"/>
      <c r="BI26" s="14"/>
      <c r="BJ26" s="30"/>
      <c r="BK26" s="30"/>
      <c r="BL26" s="30"/>
      <c r="BM26" s="30"/>
      <c r="BN26" s="23"/>
      <c r="BO26" s="23"/>
      <c r="BP26" s="23"/>
      <c r="BQ26" s="11"/>
      <c r="BR26" s="11"/>
      <c r="BW26" s="111">
        <f t="shared" si="7"/>
        <v>422</v>
      </c>
      <c r="BX26" s="15">
        <f t="shared" si="10"/>
        <v>0</v>
      </c>
      <c r="BY26" s="15">
        <f t="shared" si="11"/>
        <v>5</v>
      </c>
      <c r="BZ26" s="15">
        <f t="shared" si="12"/>
        <v>6</v>
      </c>
      <c r="CA26" s="90">
        <f t="shared" si="14"/>
        <v>0</v>
      </c>
      <c r="CC26" s="22">
        <f t="shared" si="4"/>
        <v>422</v>
      </c>
      <c r="CE26" s="15">
        <v>20</v>
      </c>
      <c r="CF26" s="15">
        <f t="shared" si="5"/>
        <v>0</v>
      </c>
      <c r="CG26" s="15">
        <f t="shared" si="9"/>
        <v>20</v>
      </c>
    </row>
    <row r="27" spans="1:85" ht="13.5" thickBot="1">
      <c r="B27" s="15">
        <v>24</v>
      </c>
      <c r="C27" s="16" t="s">
        <v>30</v>
      </c>
      <c r="D27" s="8"/>
      <c r="E27" s="8">
        <f>IF(AND(AS27&gt;0,$A27&lt;VLOOKUP(AS$1,$C:$L,10,FALSE)),1,IF(AND(AS27&lt;0,$A27&gt;VLOOKUP(AS$1,$C:$L,10,FALSE)),1,0))</f>
        <v>0</v>
      </c>
      <c r="F27" s="8">
        <f>IF(AND(AT27&gt;0,$A27&lt;VLOOKUP(AT$1,$C:$L,10,FALSE)),1,IF(AND(AT27&lt;0,$A27&gt;VLOOKUP(AT$1,$C:$L,10,FALSE)),1,0))</f>
        <v>0</v>
      </c>
      <c r="G27" s="8">
        <f>IF(AND(AU27&gt;0,$A27&lt;VLOOKUP(AU$1,$C:$L,10,FALSE)),1,IF(AND(AU27&lt;0,$A27&gt;VLOOKUP(AU$1,$C:$L,10,FALSE)),1,0))</f>
        <v>0</v>
      </c>
      <c r="H27" s="8">
        <f>IF(AND(AW27&gt;0,$A27&lt;VLOOKUP(AW$1,$C:$L,10,FALSE)),1,IF(AND(AW27&lt;0,$A27&gt;VLOOKUP(AW$1,$C:$L,10,FALSE)),1,0))</f>
        <v>0</v>
      </c>
      <c r="I27" s="8">
        <f>IF(AND(AX27&gt;0,$A27&lt;VLOOKUP(AX$1,$C:$L,10,FALSE)),1,IF(AND(AX27&lt;0,$A27&gt;VLOOKUP(AX$1,$C:$L,10,FALSE)),1,0))</f>
        <v>0</v>
      </c>
      <c r="J27" s="8">
        <f>IF(AND(AY27&gt;0,$A27&lt;VLOOKUP(AY$1,$C:$L,10,FALSE)),1,IF(AND(AY27&lt;0,$A27&gt;VLOOKUP(AY$1,$C:$L,10,FALSE)),1,0))</f>
        <v>0</v>
      </c>
      <c r="K27" s="108" t="s">
        <v>135</v>
      </c>
      <c r="L27" s="8">
        <f t="shared" si="0"/>
        <v>0</v>
      </c>
      <c r="M27" s="103">
        <v>6</v>
      </c>
      <c r="N27" s="17">
        <f t="shared" si="1"/>
        <v>5</v>
      </c>
      <c r="O27" s="2">
        <f t="shared" si="2"/>
        <v>1</v>
      </c>
      <c r="P27" s="2">
        <f t="shared" si="3"/>
        <v>0</v>
      </c>
      <c r="Q27" s="18">
        <f>COUNTIF($AS27:$AV27,"&gt;0")</f>
        <v>2</v>
      </c>
      <c r="R27" s="19">
        <f>COUNTIF($AS27:$AV27,"&lt;0")</f>
        <v>1</v>
      </c>
      <c r="S27" s="20">
        <f>COUNTIF($AS27:$AV27,"=0")</f>
        <v>0</v>
      </c>
      <c r="T27" s="2">
        <f t="shared" si="18"/>
        <v>0</v>
      </c>
      <c r="U27" s="2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 t="str">
        <f>IFERROR(IFERROR(VLOOKUP($C27&amp;" "&amp;AG$1,Results!$G:$I,3,FALSE),-VLOOKUP($C27&amp;" "&amp;AG$1,Results!$H:$I,2,FALSE)),"")</f>
        <v/>
      </c>
      <c r="AH27" s="14" t="str">
        <f>IFERROR(IFERROR(VLOOKUP($C27&amp;" "&amp;AH$1,Results!$G:$I,3,FALSE),-VLOOKUP($C27&amp;" "&amp;AH$1,Results!$H:$I,2,FALSE)),"")</f>
        <v/>
      </c>
      <c r="AI27" s="14" t="str">
        <f>IFERROR(IFERROR(VLOOKUP($C27&amp;" "&amp;AI$1,Results!$G:$I,3,FALSE),-VLOOKUP($C27&amp;" "&amp;AI$1,Results!$H:$I,2,FALSE)),"")</f>
        <v/>
      </c>
      <c r="AJ27" s="14" t="str">
        <f>IFERROR(IFERROR(VLOOKUP($C27&amp;" "&amp;AJ$1,Results!$G:$I,3,FALSE),-VLOOKUP($C27&amp;" "&amp;AJ$1,Results!$H:$I,2,FALSE)),"")</f>
        <v/>
      </c>
      <c r="AK27" s="14" t="str">
        <f>IFERROR(IFERROR(VLOOKUP($C27&amp;" "&amp;AK$1,Results!$G:$I,3,FALSE),-VLOOKUP($C27&amp;" "&amp;AK$1,Results!$H:$I,2,FALSE)),"")</f>
        <v/>
      </c>
      <c r="AL27" s="14" t="str">
        <f>IFERROR(IFERROR(VLOOKUP($C27&amp;" "&amp;AL$1,Results!$G:$I,3,FALSE),-VLOOKUP($C27&amp;" "&amp;AL$1,Results!$H:$I,2,FALSE)),"")</f>
        <v/>
      </c>
      <c r="AM27" s="14" t="str">
        <f>IFERROR(IFERROR(VLOOKUP($C27&amp;" "&amp;AM$1,Results!$G:$I,3,FALSE),-VLOOKUP($C27&amp;" "&amp;AM$1,Results!$H:$I,2,FALSE)),"")</f>
        <v/>
      </c>
      <c r="AN27" s="14" t="str">
        <f>IFERROR(IFERROR(VLOOKUP($C27&amp;" "&amp;AN$1,Results!$G:$I,3,FALSE),-VLOOKUP($C27&amp;" "&amp;AN$1,Results!$H:$I,2,FALSE)),"")</f>
        <v/>
      </c>
      <c r="AO27" s="14" t="str">
        <f>IFERROR(IFERROR(VLOOKUP($C27&amp;" "&amp;AO$1,Results!$G:$I,3,FALSE),-VLOOKUP($C27&amp;" "&amp;AO$1,Results!$H:$I,2,FALSE)),"")</f>
        <v/>
      </c>
      <c r="AP27" s="14" t="str">
        <f>IFERROR(IFERROR(VLOOKUP($C27&amp;" "&amp;AP$1,Results!$G:$I,3,FALSE),-VLOOKUP($C27&amp;" "&amp;AP$1,Results!$H:$I,2,FALSE)),"")</f>
        <v/>
      </c>
      <c r="AQ27" s="14" t="str">
        <f>IFERROR(IFERROR(VLOOKUP($C27&amp;" "&amp;AQ$1,Results!$G:$I,3,FALSE),-VLOOKUP($C27&amp;" "&amp;AQ$1,Results!$H:$I,2,FALSE)),"")</f>
        <v/>
      </c>
      <c r="AR27" s="14" t="str">
        <f>IFERROR(IFERROR(VLOOKUP($C27&amp;" "&amp;AR$1,Results!$G:$I,3,FALSE),-VLOOKUP($C27&amp;" "&amp;AR$1,Results!$H:$I,2,FALSE)),"")</f>
        <v/>
      </c>
      <c r="AS27" s="68">
        <f>IFERROR(IFERROR(VLOOKUP($C27&amp;" "&amp;AS$1,Results!$G:$I,3,FALSE),-VLOOKUP($C27&amp;" "&amp;AS$1,Results!$H:$I,2,FALSE)),"")</f>
        <v>101</v>
      </c>
      <c r="AT27" s="69">
        <f>IFERROR(IFERROR(VLOOKUP($C27&amp;" "&amp;AT$1,Results!$G:$I,3,FALSE),-VLOOKUP($C27&amp;" "&amp;AT$1,Results!$H:$I,2,FALSE)),"")</f>
        <v>18</v>
      </c>
      <c r="AU27" s="69">
        <f>IFERROR(IFERROR(VLOOKUP($C27&amp;" "&amp;AU$1,Results!$G:$I,3,FALSE),-VLOOKUP($C27&amp;" "&amp;AU$1,Results!$H:$I,2,FALSE)),"")</f>
        <v>-72</v>
      </c>
      <c r="AV27" s="35" t="str">
        <f>IFERROR(IFERROR(VLOOKUP($C27&amp;" "&amp;AV$1,Results!$G:$I,3,FALSE),-VLOOKUP($C27&amp;" "&amp;AV$1,Results!$H:$I,2,FALSE)),"")</f>
        <v/>
      </c>
      <c r="AW27" s="14">
        <f>IFERROR(IFERROR(VLOOKUP($C27&amp;" "&amp;AW$1,Results!$G:$I,3,FALSE),-VLOOKUP($C27&amp;" "&amp;AW$1,Results!$H:$I,2,FALSE)),"")</f>
        <v>33</v>
      </c>
      <c r="AX27" s="14">
        <f>IFERROR(IFERROR(VLOOKUP($C27&amp;" "&amp;AX$1,Results!$G:$I,3,FALSE),-VLOOKUP($C27&amp;" "&amp;AX$1,Results!$H:$I,2,FALSE)),"")</f>
        <v>60</v>
      </c>
      <c r="AY27" s="14">
        <f>IFERROR(IFERROR(VLOOKUP($C27&amp;" "&amp;AY$1,Results!$G:$I,3,FALSE),-VLOOKUP($C27&amp;" "&amp;AY$1,Results!$H:$I,2,FALSE)),"")</f>
        <v>66</v>
      </c>
      <c r="AZ27" s="14" t="str">
        <f>IFERROR(IFERROR(VLOOKUP($C27&amp;" "&amp;AZ$1,Results!$G:$I,3,FALSE),-VLOOKUP($C27&amp;" "&amp;AZ$1,Results!$H:$I,2,FALSE)),"")</f>
        <v/>
      </c>
      <c r="BA27" s="14" t="str">
        <f>IFERROR(IFERROR(VLOOKUP($C27&amp;" "&amp;BA$1,Results!$G:$I,3,FALSE),-VLOOKUP($C27&amp;" "&amp;BA$1,Results!$H:$I,2,FALSE)),"")</f>
        <v/>
      </c>
      <c r="BB27" s="14" t="str">
        <f>IFERROR(IFERROR(VLOOKUP($C27&amp;" "&amp;BB$1,Results!$G:$I,3,FALSE),-VLOOKUP($C27&amp;" "&amp;BB$1,Results!$H:$I,2,FALSE)),"")</f>
        <v/>
      </c>
      <c r="BC27" s="14" t="str">
        <f>IFERROR(IFERROR(VLOOKUP($C27&amp;" "&amp;BC$1,Results!$G:$I,3,FALSE),-VLOOKUP($C27&amp;" "&amp;BC$1,Results!$H:$I,2,FALSE)),"")</f>
        <v/>
      </c>
      <c r="BD27" s="14" t="str">
        <f>IFERROR(IFERROR(VLOOKUP($C27&amp;" "&amp;BD$1,Results!$G:$I,3,FALSE),-VLOOKUP($C27&amp;" "&amp;BD$1,Results!$H:$I,2,FALSE)),"")</f>
        <v/>
      </c>
      <c r="BE27" s="14"/>
      <c r="BF27" s="14"/>
      <c r="BG27" s="14"/>
      <c r="BH27" s="14"/>
      <c r="BI27" s="14"/>
      <c r="BJ27" s="30"/>
      <c r="BK27" s="30"/>
      <c r="BL27" s="30"/>
      <c r="BM27" s="30"/>
      <c r="BN27" s="23"/>
      <c r="BO27" s="23"/>
      <c r="BP27" s="23"/>
      <c r="BQ27" s="11"/>
      <c r="BR27" s="11"/>
      <c r="BW27" s="111">
        <f t="shared" si="7"/>
        <v>206</v>
      </c>
      <c r="BX27" s="15">
        <f t="shared" si="10"/>
        <v>0</v>
      </c>
      <c r="BY27" s="15">
        <f t="shared" si="11"/>
        <v>5</v>
      </c>
      <c r="BZ27" s="15">
        <f t="shared" si="12"/>
        <v>6</v>
      </c>
      <c r="CA27" s="90">
        <f t="shared" si="14"/>
        <v>0</v>
      </c>
      <c r="CC27" s="22">
        <f t="shared" si="4"/>
        <v>206</v>
      </c>
      <c r="CE27" s="15">
        <v>28</v>
      </c>
      <c r="CF27" s="15">
        <f t="shared" si="5"/>
        <v>0</v>
      </c>
      <c r="CG27" s="15">
        <f t="shared" si="9"/>
        <v>28</v>
      </c>
    </row>
    <row r="28" spans="1:85">
      <c r="B28" s="15">
        <v>25</v>
      </c>
      <c r="C28" s="16" t="s">
        <v>73</v>
      </c>
      <c r="D28" s="8"/>
      <c r="E28" s="8">
        <f>IF(AND(AT28&gt;0,$A28&lt;VLOOKUP(AT$1,$C:$L,10,FALSE)),1,IF(AND(AT28&lt;0,$A28&gt;VLOOKUP(AT$1,$C:$L,10,FALSE)),1,0))</f>
        <v>0</v>
      </c>
      <c r="F28" s="8">
        <f>IF(AND(AU28&gt;0,$A28&lt;VLOOKUP(AU$1,$C:$L,10,FALSE)),1,IF(AND(AU28&lt;0,$A28&gt;VLOOKUP(AU$1,$C:$L,10,FALSE)),1,0))</f>
        <v>0</v>
      </c>
      <c r="G28" s="8">
        <f>IF(AND(AV28&gt;0,$A28&lt;VLOOKUP(AV$1,$C:$L,10,FALSE)),1,IF(AND(AV28&lt;0,$A28&gt;VLOOKUP(AV$1,$C:$L,10,FALSE)),1,0))</f>
        <v>0</v>
      </c>
      <c r="H28" s="8">
        <f>IF(AND(AX28&gt;0,$A28&lt;VLOOKUP(AX$1,$C:$L,10,FALSE)),1,IF(AND(AX28&lt;0,$A28&gt;VLOOKUP(AX$1,$C:$L,10,FALSE)),1,0))</f>
        <v>0</v>
      </c>
      <c r="I28" s="8">
        <f>IF(AND(AY28&gt;0,$A28&lt;VLOOKUP(AY$1,$C:$L,10,FALSE)),1,IF(AND(AY28&lt;0,$A28&gt;VLOOKUP(AY$1,$C:$L,10,FALSE)),1,0))</f>
        <v>0</v>
      </c>
      <c r="J28" s="8">
        <f>IF(AND(AZ28&gt;0,$A28&lt;VLOOKUP(AZ$1,$C:$L,10,FALSE)),1,IF(AND(AZ28&lt;0,$A28&gt;VLOOKUP(AZ$1,$C:$L,10,FALSE)),1,0))</f>
        <v>0</v>
      </c>
      <c r="K28" s="108" t="s">
        <v>135</v>
      </c>
      <c r="L28" s="8">
        <f t="shared" si="0"/>
        <v>0</v>
      </c>
      <c r="M28" s="2">
        <v>7</v>
      </c>
      <c r="N28" s="17">
        <f t="shared" si="1"/>
        <v>4</v>
      </c>
      <c r="O28" s="2">
        <f t="shared" si="2"/>
        <v>2</v>
      </c>
      <c r="P28" s="2">
        <f t="shared" si="3"/>
        <v>0</v>
      </c>
      <c r="Q28" s="18">
        <f>COUNTIF($AW28:$AZ28,"&gt;0")</f>
        <v>3</v>
      </c>
      <c r="R28" s="19">
        <f>COUNTIF($AW28:$AZ28,"&lt;0")</f>
        <v>0</v>
      </c>
      <c r="S28" s="20">
        <f>COUNTIF($AW28:$AZ28,"=0")</f>
        <v>0</v>
      </c>
      <c r="T28" s="2">
        <f>COUNTIF(V28:BJ28,"NC")</f>
        <v>0</v>
      </c>
      <c r="U28" s="2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 t="str">
        <f>IFERROR(IFERROR(VLOOKUP($C28&amp;" "&amp;AG$1,Results!$G:$I,3,FALSE),-VLOOKUP($C28&amp;" "&amp;AG$1,Results!$H:$I,2,FALSE)),"")</f>
        <v/>
      </c>
      <c r="AH28" s="14" t="str">
        <f>IFERROR(IFERROR(VLOOKUP($C28&amp;" "&amp;AH$1,Results!$G:$I,3,FALSE),-VLOOKUP($C28&amp;" "&amp;AH$1,Results!$H:$I,2,FALSE)),"")</f>
        <v/>
      </c>
      <c r="AI28" s="14" t="str">
        <f>IFERROR(IFERROR(VLOOKUP($C28&amp;" "&amp;AI$1,Results!$G:$I,3,FALSE),-VLOOKUP($C28&amp;" "&amp;AI$1,Results!$H:$I,2,FALSE)),"")</f>
        <v/>
      </c>
      <c r="AJ28" s="14" t="str">
        <f>IFERROR(IFERROR(VLOOKUP($C28&amp;" "&amp;AJ$1,Results!$G:$I,3,FALSE),-VLOOKUP($C28&amp;" "&amp;AJ$1,Results!$H:$I,2,FALSE)),"")</f>
        <v/>
      </c>
      <c r="AK28" s="14" t="str">
        <f>IFERROR(IFERROR(VLOOKUP($C28&amp;" "&amp;AK$1,Results!$G:$I,3,FALSE),-VLOOKUP($C28&amp;" "&amp;AK$1,Results!$H:$I,2,FALSE)),"")</f>
        <v/>
      </c>
      <c r="AL28" s="14" t="str">
        <f>IFERROR(IFERROR(VLOOKUP($C28&amp;" "&amp;AL$1,Results!$G:$I,3,FALSE),-VLOOKUP($C28&amp;" "&amp;AL$1,Results!$H:$I,2,FALSE)),"")</f>
        <v/>
      </c>
      <c r="AM28" s="14" t="str">
        <f>IFERROR(IFERROR(VLOOKUP($C28&amp;" "&amp;AM$1,Results!$G:$I,3,FALSE),-VLOOKUP($C28&amp;" "&amp;AM$1,Results!$H:$I,2,FALSE)),"")</f>
        <v/>
      </c>
      <c r="AN28" s="14" t="str">
        <f>IFERROR(IFERROR(VLOOKUP($C28&amp;" "&amp;AN$1,Results!$G:$I,3,FALSE),-VLOOKUP($C28&amp;" "&amp;AN$1,Results!$H:$I,2,FALSE)),"")</f>
        <v/>
      </c>
      <c r="AO28" s="14" t="str">
        <f>IFERROR(IFERROR(VLOOKUP($C28&amp;" "&amp;AO$1,Results!$G:$I,3,FALSE),-VLOOKUP($C28&amp;" "&amp;AO$1,Results!$H:$I,2,FALSE)),"")</f>
        <v/>
      </c>
      <c r="AP28" s="14" t="str">
        <f>IFERROR(IFERROR(VLOOKUP($C28&amp;" "&amp;AP$1,Results!$G:$I,3,FALSE),-VLOOKUP($C28&amp;" "&amp;AP$1,Results!$H:$I,2,FALSE)),"")</f>
        <v/>
      </c>
      <c r="AQ28" s="14" t="str">
        <f>IFERROR(IFERROR(VLOOKUP($C28&amp;" "&amp;AQ$1,Results!$G:$I,3,FALSE),-VLOOKUP($C28&amp;" "&amp;AQ$1,Results!$H:$I,2,FALSE)),"")</f>
        <v/>
      </c>
      <c r="AR28" s="14" t="str">
        <f>IFERROR(IFERROR(VLOOKUP($C28&amp;" "&amp;AR$1,Results!$G:$I,3,FALSE),-VLOOKUP($C28&amp;" "&amp;AR$1,Results!$H:$I,2,FALSE)),"")</f>
        <v/>
      </c>
      <c r="AS28" s="14" t="str">
        <f>IFERROR(IFERROR(VLOOKUP($C28&amp;" "&amp;AS$1,Results!$G:$I,3,FALSE),-VLOOKUP($C28&amp;" "&amp;AS$1,Results!$H:$I,2,FALSE)),"")</f>
        <v/>
      </c>
      <c r="AT28" s="14">
        <f>IFERROR(IFERROR(VLOOKUP($C28&amp;" "&amp;AT$1,Results!$G:$I,3,FALSE),-VLOOKUP($C28&amp;" "&amp;AT$1,Results!$H:$I,2,FALSE)),"")</f>
        <v>-14</v>
      </c>
      <c r="AU28" s="14">
        <f>IFERROR(IFERROR(VLOOKUP($C28&amp;" "&amp;AU$1,Results!$G:$I,3,FALSE),-VLOOKUP($C28&amp;" "&amp;AU$1,Results!$H:$I,2,FALSE)),"")</f>
        <v>23</v>
      </c>
      <c r="AV28" s="14">
        <f>IFERROR(IFERROR(VLOOKUP($C28&amp;" "&amp;AV$1,Results!$G:$I,3,FALSE),-VLOOKUP($C28&amp;" "&amp;AV$1,Results!$H:$I,2,FALSE)),"")</f>
        <v>-33</v>
      </c>
      <c r="AW28" s="33" t="str">
        <f>IFERROR(IFERROR(VLOOKUP($C28&amp;" "&amp;AW$1,Results!$G:$I,3,FALSE),-VLOOKUP($C28&amp;" "&amp;AW$1,Results!$H:$I,2,FALSE)),"")</f>
        <v/>
      </c>
      <c r="AX28" s="64">
        <f>IFERROR(IFERROR(VLOOKUP($C28&amp;" "&amp;AX$1,Results!$G:$I,3,FALSE),-VLOOKUP($C28&amp;" "&amp;AX$1,Results!$H:$I,2,FALSE)),"")</f>
        <v>202</v>
      </c>
      <c r="AY28" s="64">
        <f>IFERROR(IFERROR(VLOOKUP($C28&amp;" "&amp;AY$1,Results!$G:$I,3,FALSE),-VLOOKUP($C28&amp;" "&amp;AY$1,Results!$H:$I,2,FALSE)),"")</f>
        <v>79</v>
      </c>
      <c r="AZ28" s="65">
        <f>IFERROR(IFERROR(VLOOKUP($C28&amp;" "&amp;AZ$1,Results!$G:$I,3,FALSE),-VLOOKUP($C28&amp;" "&amp;AZ$1,Results!$H:$I,2,FALSE)),"")</f>
        <v>163</v>
      </c>
      <c r="BA28" s="14" t="str">
        <f>IFERROR(IFERROR(VLOOKUP($C28&amp;" "&amp;BA$1,Results!$G:$I,3,FALSE),-VLOOKUP($C28&amp;" "&amp;BA$1,Results!$H:$I,2,FALSE)),"")</f>
        <v/>
      </c>
      <c r="BB28" s="14" t="str">
        <f>IFERROR(IFERROR(VLOOKUP($C28&amp;" "&amp;BB$1,Results!$G:$I,3,FALSE),-VLOOKUP($C28&amp;" "&amp;BB$1,Results!$H:$I,2,FALSE)),"")</f>
        <v/>
      </c>
      <c r="BC28" s="14" t="str">
        <f>IFERROR(IFERROR(VLOOKUP($C28&amp;" "&amp;BC$1,Results!$G:$I,3,FALSE),-VLOOKUP($C28&amp;" "&amp;BC$1,Results!$H:$I,2,FALSE)),"")</f>
        <v/>
      </c>
      <c r="BD28" s="14" t="str">
        <f>IFERROR(IFERROR(VLOOKUP($C28&amp;" "&amp;BD$1,Results!$G:$I,3,FALSE),-VLOOKUP($C28&amp;" "&amp;BD$1,Results!$H:$I,2,FALSE)),"")</f>
        <v/>
      </c>
      <c r="BE28" s="14"/>
      <c r="BF28" s="14"/>
      <c r="BG28" s="14"/>
      <c r="BH28" s="14"/>
      <c r="BI28" s="14"/>
      <c r="BJ28" s="30"/>
      <c r="BK28" s="30"/>
      <c r="BL28" s="30"/>
      <c r="BM28" s="30"/>
      <c r="BN28" s="23"/>
      <c r="BO28" s="23"/>
      <c r="BP28" s="23"/>
      <c r="BQ28" s="11"/>
      <c r="BR28" s="11"/>
      <c r="BW28" s="111">
        <f t="shared" si="7"/>
        <v>420</v>
      </c>
      <c r="BX28" s="15">
        <f t="shared" si="10"/>
        <v>0</v>
      </c>
      <c r="BY28" s="15">
        <f t="shared" si="11"/>
        <v>5</v>
      </c>
      <c r="BZ28" s="15">
        <f t="shared" si="12"/>
        <v>6</v>
      </c>
      <c r="CA28" s="90">
        <f t="shared" si="14"/>
        <v>0</v>
      </c>
      <c r="CC28" s="22">
        <f t="shared" si="4"/>
        <v>420</v>
      </c>
      <c r="CE28" s="15">
        <v>26</v>
      </c>
      <c r="CF28" s="15">
        <f t="shared" si="5"/>
        <v>0</v>
      </c>
      <c r="CG28" s="15">
        <f t="shared" si="9"/>
        <v>26</v>
      </c>
    </row>
    <row r="29" spans="1:85">
      <c r="B29" s="15">
        <v>26</v>
      </c>
      <c r="C29" s="16" t="s">
        <v>23</v>
      </c>
      <c r="D29" s="8"/>
      <c r="E29" s="8">
        <f>IF(AND(AU29&gt;0,$A29&lt;VLOOKUP(AU$1,$C:$L,10,FALSE)),1,IF(AND(AU29&lt;0,$A29&gt;VLOOKUP(AU$1,$C:$L,10,FALSE)),1,0))</f>
        <v>0</v>
      </c>
      <c r="F29" s="8">
        <f>IF(AND(AV29&gt;0,$A29&lt;VLOOKUP(AV$1,$C:$L,10,FALSE)),1,IF(AND(AV29&lt;0,$A29&gt;VLOOKUP(AV$1,$C:$L,10,FALSE)),1,0))</f>
        <v>0</v>
      </c>
      <c r="G29" s="8">
        <f>IF(AND(AW29&gt;0,$A29&lt;VLOOKUP(AW$1,$C:$L,10,FALSE)),1,IF(AND(AW29&lt;0,$A29&gt;VLOOKUP(AW$1,$C:$L,10,FALSE)),1,0))</f>
        <v>0</v>
      </c>
      <c r="H29" s="8">
        <f>IF(AND(AY29&gt;0,$A29&lt;VLOOKUP(AY$1,$C:$L,10,FALSE)),1,IF(AND(AY29&lt;0,$A29&gt;VLOOKUP(AY$1,$C:$L,10,FALSE)),1,0))</f>
        <v>0</v>
      </c>
      <c r="I29" s="8">
        <f>IF(AND(AZ29&gt;0,$A29&lt;VLOOKUP(AZ$1,$C:$L,10,FALSE)),1,IF(AND(AZ29&lt;0,$A29&gt;VLOOKUP(AZ$1,$C:$L,10,FALSE)),1,0))</f>
        <v>0</v>
      </c>
      <c r="J29" s="8">
        <f>IF(AND(BA29&gt;0,$A29&lt;VLOOKUP(BA$1,$C:$L,10,FALSE)),1,IF(AND(BA29&lt;0,$A29&gt;VLOOKUP(BA$1,$C:$L,10,FALSE)),1,0))</f>
        <v>0</v>
      </c>
      <c r="K29" s="108" t="s">
        <v>135</v>
      </c>
      <c r="L29" s="8">
        <f t="shared" si="0"/>
        <v>0</v>
      </c>
      <c r="M29" s="2">
        <v>7</v>
      </c>
      <c r="N29" s="17">
        <f t="shared" si="1"/>
        <v>1</v>
      </c>
      <c r="O29" s="2">
        <f t="shared" si="2"/>
        <v>5</v>
      </c>
      <c r="P29" s="2">
        <f t="shared" si="3"/>
        <v>0</v>
      </c>
      <c r="Q29" s="18">
        <f>COUNTIF($AW29:$AZ29,"&gt;0")</f>
        <v>1</v>
      </c>
      <c r="R29" s="19">
        <f>COUNTIF($AW29:$AZ29,"&lt;0")</f>
        <v>2</v>
      </c>
      <c r="S29" s="20">
        <f>COUNTIF($AW29:$AZ29,"=0")</f>
        <v>0</v>
      </c>
      <c r="T29" s="2">
        <f t="shared" ref="T29:T31" si="19">COUNTIF(V29:BJ29,"NC")</f>
        <v>0</v>
      </c>
      <c r="U29" s="2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 t="str">
        <f>IFERROR(IFERROR(VLOOKUP($C29&amp;" "&amp;AG$1,Results!$G:$I,3,FALSE),-VLOOKUP($C29&amp;" "&amp;AG$1,Results!$H:$I,2,FALSE)),"")</f>
        <v/>
      </c>
      <c r="AH29" s="14" t="str">
        <f>IFERROR(IFERROR(VLOOKUP($C29&amp;" "&amp;AH$1,Results!$G:$I,3,FALSE),-VLOOKUP($C29&amp;" "&amp;AH$1,Results!$H:$I,2,FALSE)),"")</f>
        <v/>
      </c>
      <c r="AI29" s="14" t="str">
        <f>IFERROR(IFERROR(VLOOKUP($C29&amp;" "&amp;AI$1,Results!$G:$I,3,FALSE),-VLOOKUP($C29&amp;" "&amp;AI$1,Results!$H:$I,2,FALSE)),"")</f>
        <v/>
      </c>
      <c r="AJ29" s="14" t="str">
        <f>IFERROR(IFERROR(VLOOKUP($C29&amp;" "&amp;AJ$1,Results!$G:$I,3,FALSE),-VLOOKUP($C29&amp;" "&amp;AJ$1,Results!$H:$I,2,FALSE)),"")</f>
        <v/>
      </c>
      <c r="AK29" s="14" t="str">
        <f>IFERROR(IFERROR(VLOOKUP($C29&amp;" "&amp;AK$1,Results!$G:$I,3,FALSE),-VLOOKUP($C29&amp;" "&amp;AK$1,Results!$H:$I,2,FALSE)),"")</f>
        <v/>
      </c>
      <c r="AL29" s="14" t="str">
        <f>IFERROR(IFERROR(VLOOKUP($C29&amp;" "&amp;AL$1,Results!$G:$I,3,FALSE),-VLOOKUP($C29&amp;" "&amp;AL$1,Results!$H:$I,2,FALSE)),"")</f>
        <v/>
      </c>
      <c r="AM29" s="14" t="str">
        <f>IFERROR(IFERROR(VLOOKUP($C29&amp;" "&amp;AM$1,Results!$G:$I,3,FALSE),-VLOOKUP($C29&amp;" "&amp;AM$1,Results!$H:$I,2,FALSE)),"")</f>
        <v/>
      </c>
      <c r="AN29" s="14" t="str">
        <f>IFERROR(IFERROR(VLOOKUP($C29&amp;" "&amp;AN$1,Results!$G:$I,3,FALSE),-VLOOKUP($C29&amp;" "&amp;AN$1,Results!$H:$I,2,FALSE)),"")</f>
        <v/>
      </c>
      <c r="AO29" s="14" t="str">
        <f>IFERROR(IFERROR(VLOOKUP($C29&amp;" "&amp;AO$1,Results!$G:$I,3,FALSE),-VLOOKUP($C29&amp;" "&amp;AO$1,Results!$H:$I,2,FALSE)),"")</f>
        <v/>
      </c>
      <c r="AP29" s="14" t="str">
        <f>IFERROR(IFERROR(VLOOKUP($C29&amp;" "&amp;AP$1,Results!$G:$I,3,FALSE),-VLOOKUP($C29&amp;" "&amp;AP$1,Results!$H:$I,2,FALSE)),"")</f>
        <v/>
      </c>
      <c r="AQ29" s="14" t="str">
        <f>IFERROR(IFERROR(VLOOKUP($C29&amp;" "&amp;AQ$1,Results!$G:$I,3,FALSE),-VLOOKUP($C29&amp;" "&amp;AQ$1,Results!$H:$I,2,FALSE)),"")</f>
        <v/>
      </c>
      <c r="AR29" s="14" t="str">
        <f>IFERROR(IFERROR(VLOOKUP($C29&amp;" "&amp;AR$1,Results!$G:$I,3,FALSE),-VLOOKUP($C29&amp;" "&amp;AR$1,Results!$H:$I,2,FALSE)),"")</f>
        <v/>
      </c>
      <c r="AS29" s="14" t="str">
        <f>IFERROR(IFERROR(VLOOKUP($C29&amp;" "&amp;AS$1,Results!$G:$I,3,FALSE),-VLOOKUP($C29&amp;" "&amp;AS$1,Results!$H:$I,2,FALSE)),"")</f>
        <v/>
      </c>
      <c r="AT29" s="14" t="str">
        <f>IFERROR(IFERROR(VLOOKUP($C29&amp;" "&amp;AT$1,Results!$G:$I,3,FALSE),-VLOOKUP($C29&amp;" "&amp;AT$1,Results!$H:$I,2,FALSE)),"")</f>
        <v/>
      </c>
      <c r="AU29" s="14">
        <f>IFERROR(IFERROR(VLOOKUP($C29&amp;" "&amp;AU$1,Results!$G:$I,3,FALSE),-VLOOKUP($C29&amp;" "&amp;AU$1,Results!$H:$I,2,FALSE)),"")</f>
        <v>-175</v>
      </c>
      <c r="AV29" s="14">
        <f>IFERROR(IFERROR(VLOOKUP($C29&amp;" "&amp;AV$1,Results!$G:$I,3,FALSE),-VLOOKUP($C29&amp;" "&amp;AV$1,Results!$H:$I,2,FALSE)),"")</f>
        <v>-60</v>
      </c>
      <c r="AW29" s="66">
        <f>IFERROR(IFERROR(VLOOKUP($C29&amp;" "&amp;AW$1,Results!$G:$I,3,FALSE),-VLOOKUP($C29&amp;" "&amp;AW$1,Results!$H:$I,2,FALSE)),"")</f>
        <v>-202</v>
      </c>
      <c r="AX29" s="34" t="str">
        <f>IFERROR(IFERROR(VLOOKUP($C29&amp;" "&amp;AX$1,Results!$G:$I,3,FALSE),-VLOOKUP($C29&amp;" "&amp;AX$1,Results!$H:$I,2,FALSE)),"")</f>
        <v/>
      </c>
      <c r="AY29" s="34">
        <f>IFERROR(IFERROR(VLOOKUP($C29&amp;" "&amp;AY$1,Results!$G:$I,3,FALSE),-VLOOKUP($C29&amp;" "&amp;AY$1,Results!$H:$I,2,FALSE)),"")</f>
        <v>-90</v>
      </c>
      <c r="AZ29" s="67">
        <f>IFERROR(IFERROR(VLOOKUP($C29&amp;" "&amp;AZ$1,Results!$G:$I,3,FALSE),-VLOOKUP($C29&amp;" "&amp;AZ$1,Results!$H:$I,2,FALSE)),"")</f>
        <v>61</v>
      </c>
      <c r="BA29" s="14">
        <f>IFERROR(IFERROR(VLOOKUP($C29&amp;" "&amp;BA$1,Results!$G:$I,3,FALSE),-VLOOKUP($C29&amp;" "&amp;BA$1,Results!$H:$I,2,FALSE)),"")</f>
        <v>-123</v>
      </c>
      <c r="BB29" s="14" t="str">
        <f>IFERROR(IFERROR(VLOOKUP($C29&amp;" "&amp;BB$1,Results!$G:$I,3,FALSE),-VLOOKUP($C29&amp;" "&amp;BB$1,Results!$H:$I,2,FALSE)),"")</f>
        <v/>
      </c>
      <c r="BC29" s="14" t="str">
        <f>IFERROR(IFERROR(VLOOKUP($C29&amp;" "&amp;BC$1,Results!$G:$I,3,FALSE),-VLOOKUP($C29&amp;" "&amp;BC$1,Results!$H:$I,2,FALSE)),"")</f>
        <v/>
      </c>
      <c r="BD29" s="14" t="str">
        <f>IFERROR(IFERROR(VLOOKUP($C29&amp;" "&amp;BD$1,Results!$G:$I,3,FALSE),-VLOOKUP($C29&amp;" "&amp;BD$1,Results!$H:$I,2,FALSE)),"")</f>
        <v/>
      </c>
      <c r="BE29" s="14"/>
      <c r="BF29" s="14"/>
      <c r="BG29" s="14"/>
      <c r="BH29" s="14"/>
      <c r="BI29" s="14"/>
      <c r="BJ29" s="30"/>
      <c r="BK29" s="30"/>
      <c r="BL29" s="30"/>
      <c r="BM29" s="30"/>
      <c r="BN29" s="23"/>
      <c r="BO29" s="23"/>
      <c r="BP29" s="23"/>
      <c r="BQ29" s="11"/>
      <c r="BR29" s="11"/>
      <c r="BW29" s="111">
        <f t="shared" si="7"/>
        <v>-589</v>
      </c>
      <c r="BX29" s="15">
        <f t="shared" si="10"/>
        <v>0</v>
      </c>
      <c r="BY29" s="15">
        <f t="shared" si="11"/>
        <v>5</v>
      </c>
      <c r="BZ29" s="15">
        <f t="shared" si="12"/>
        <v>6</v>
      </c>
      <c r="CA29" s="90">
        <f t="shared" si="14"/>
        <v>0</v>
      </c>
      <c r="CC29" s="22">
        <f t="shared" si="4"/>
        <v>-589</v>
      </c>
      <c r="CE29" s="15">
        <v>25</v>
      </c>
      <c r="CF29" s="15">
        <f t="shared" si="5"/>
        <v>0</v>
      </c>
      <c r="CG29" s="15">
        <f t="shared" si="9"/>
        <v>25</v>
      </c>
    </row>
    <row r="30" spans="1:85">
      <c r="A30" s="180"/>
      <c r="B30" s="180">
        <v>27</v>
      </c>
      <c r="C30" s="16" t="s">
        <v>3</v>
      </c>
      <c r="D30" s="8"/>
      <c r="E30" s="8">
        <f>IF(AND(AV30&gt;0,$A30&lt;VLOOKUP(AV$1,$C:$L,10,FALSE)),1,IF(AND(AV30&lt;0,$A30&gt;VLOOKUP(AV$1,$C:$L,10,FALSE)),1,0))</f>
        <v>0</v>
      </c>
      <c r="F30" s="8">
        <f>IF(AND(AW30&gt;0,$A30&lt;VLOOKUP(AW$1,$C:$L,10,FALSE)),1,IF(AND(AW30&lt;0,$A30&gt;VLOOKUP(AW$1,$C:$L,10,FALSE)),1,0))</f>
        <v>0</v>
      </c>
      <c r="G30" s="8">
        <f>IF(AND(AX30&gt;0,$A30&lt;VLOOKUP(AX$1,$C:$L,10,FALSE)),1,IF(AND(AX30&lt;0,$A30&gt;VLOOKUP(AX$1,$C:$L,10,FALSE)),1,0))</f>
        <v>0</v>
      </c>
      <c r="H30" s="8">
        <f>IF(AND(AZ30&gt;0,$A30&lt;VLOOKUP(AZ$1,$C:$L,10,FALSE)),1,IF(AND(AZ30&lt;0,$A30&gt;VLOOKUP(AZ$1,$C:$L,10,FALSE)),1,0))</f>
        <v>0</v>
      </c>
      <c r="I30" s="8">
        <f>IF(AND(BA30&gt;0,$A30&lt;VLOOKUP(BA$1,$C:$L,10,FALSE)),1,IF(AND(BA30&lt;0,$A30&gt;VLOOKUP(BA$1,$C:$L,10,FALSE)),1,0))</f>
        <v>0</v>
      </c>
      <c r="J30" s="8">
        <f>IF(AND(BB30&gt;0,$A30&lt;VLOOKUP(BB$1,$C:$L,10,FALSE)),1,IF(AND(BB30&lt;0,$A30&gt;VLOOKUP(BB$1,$C:$L,10,FALSE)),1,0))</f>
        <v>0</v>
      </c>
      <c r="K30" s="108" t="s">
        <v>135</v>
      </c>
      <c r="L30" s="8">
        <f t="shared" si="0"/>
        <v>0</v>
      </c>
      <c r="M30" s="2">
        <v>7</v>
      </c>
      <c r="N30" s="17">
        <f t="shared" si="1"/>
        <v>3</v>
      </c>
      <c r="O30" s="2">
        <f t="shared" si="2"/>
        <v>3</v>
      </c>
      <c r="P30" s="2">
        <f t="shared" si="3"/>
        <v>0</v>
      </c>
      <c r="Q30" s="18">
        <f>COUNTIF($AW30:$AZ30,"&gt;0")</f>
        <v>2</v>
      </c>
      <c r="R30" s="19">
        <f>COUNTIF($AW30:$AZ30,"&lt;0")</f>
        <v>1</v>
      </c>
      <c r="S30" s="20">
        <f>COUNTIF($AW30:$AZ30,"=0")</f>
        <v>0</v>
      </c>
      <c r="T30" s="2">
        <f t="shared" si="19"/>
        <v>0</v>
      </c>
      <c r="U30" s="2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 t="str">
        <f>IFERROR(IFERROR(VLOOKUP($C30&amp;" "&amp;AG$1,Results!$G:$I,3,FALSE),-VLOOKUP($C30&amp;" "&amp;AG$1,Results!$H:$I,2,FALSE)),"")</f>
        <v/>
      </c>
      <c r="AH30" s="14" t="str">
        <f>IFERROR(IFERROR(VLOOKUP($C30&amp;" "&amp;AH$1,Results!$G:$I,3,FALSE),-VLOOKUP($C30&amp;" "&amp;AH$1,Results!$H:$I,2,FALSE)),"")</f>
        <v/>
      </c>
      <c r="AI30" s="14" t="str">
        <f>IFERROR(IFERROR(VLOOKUP($C30&amp;" "&amp;AI$1,Results!$G:$I,3,FALSE),-VLOOKUP($C30&amp;" "&amp;AI$1,Results!$H:$I,2,FALSE)),"")</f>
        <v/>
      </c>
      <c r="AJ30" s="14" t="str">
        <f>IFERROR(IFERROR(VLOOKUP($C30&amp;" "&amp;AJ$1,Results!$G:$I,3,FALSE),-VLOOKUP($C30&amp;" "&amp;AJ$1,Results!$H:$I,2,FALSE)),"")</f>
        <v/>
      </c>
      <c r="AK30" s="14" t="str">
        <f>IFERROR(IFERROR(VLOOKUP($C30&amp;" "&amp;AK$1,Results!$G:$I,3,FALSE),-VLOOKUP($C30&amp;" "&amp;AK$1,Results!$H:$I,2,FALSE)),"")</f>
        <v/>
      </c>
      <c r="AL30" s="14" t="str">
        <f>IFERROR(IFERROR(VLOOKUP($C30&amp;" "&amp;AL$1,Results!$G:$I,3,FALSE),-VLOOKUP($C30&amp;" "&amp;AL$1,Results!$H:$I,2,FALSE)),"")</f>
        <v/>
      </c>
      <c r="AM30" s="14" t="str">
        <f>IFERROR(IFERROR(VLOOKUP($C30&amp;" "&amp;AM$1,Results!$G:$I,3,FALSE),-VLOOKUP($C30&amp;" "&amp;AM$1,Results!$H:$I,2,FALSE)),"")</f>
        <v/>
      </c>
      <c r="AN30" s="14" t="str">
        <f>IFERROR(IFERROR(VLOOKUP($C30&amp;" "&amp;AN$1,Results!$G:$I,3,FALSE),-VLOOKUP($C30&amp;" "&amp;AN$1,Results!$H:$I,2,FALSE)),"")</f>
        <v/>
      </c>
      <c r="AO30" s="14" t="str">
        <f>IFERROR(IFERROR(VLOOKUP($C30&amp;" "&amp;AO$1,Results!$G:$I,3,FALSE),-VLOOKUP($C30&amp;" "&amp;AO$1,Results!$H:$I,2,FALSE)),"")</f>
        <v/>
      </c>
      <c r="AP30" s="14" t="str">
        <f>IFERROR(IFERROR(VLOOKUP($C30&amp;" "&amp;AP$1,Results!$G:$I,3,FALSE),-VLOOKUP($C30&amp;" "&amp;AP$1,Results!$H:$I,2,FALSE)),"")</f>
        <v/>
      </c>
      <c r="AQ30" s="14" t="str">
        <f>IFERROR(IFERROR(VLOOKUP($C30&amp;" "&amp;AQ$1,Results!$G:$I,3,FALSE),-VLOOKUP($C30&amp;" "&amp;AQ$1,Results!$H:$I,2,FALSE)),"")</f>
        <v/>
      </c>
      <c r="AR30" s="14" t="str">
        <f>IFERROR(IFERROR(VLOOKUP($C30&amp;" "&amp;AR$1,Results!$G:$I,3,FALSE),-VLOOKUP($C30&amp;" "&amp;AR$1,Results!$H:$I,2,FALSE)),"")</f>
        <v/>
      </c>
      <c r="AS30" s="14" t="str">
        <f>IFERROR(IFERROR(VLOOKUP($C30&amp;" "&amp;AS$1,Results!$G:$I,3,FALSE),-VLOOKUP($C30&amp;" "&amp;AS$1,Results!$H:$I,2,FALSE)),"")</f>
        <v/>
      </c>
      <c r="AT30" s="14" t="str">
        <f>IFERROR(IFERROR(VLOOKUP($C30&amp;" "&amp;AT$1,Results!$G:$I,3,FALSE),-VLOOKUP($C30&amp;" "&amp;AT$1,Results!$H:$I,2,FALSE)),"")</f>
        <v/>
      </c>
      <c r="AU30" s="14" t="str">
        <f>IFERROR(IFERROR(VLOOKUP($C30&amp;" "&amp;AU$1,Results!$G:$I,3,FALSE),-VLOOKUP($C30&amp;" "&amp;AU$1,Results!$H:$I,2,FALSE)),"")</f>
        <v/>
      </c>
      <c r="AV30" s="14">
        <f>IFERROR(IFERROR(VLOOKUP($C30&amp;" "&amp;AV$1,Results!$G:$I,3,FALSE),-VLOOKUP($C30&amp;" "&amp;AV$1,Results!$H:$I,2,FALSE)),"")</f>
        <v>-66</v>
      </c>
      <c r="AW30" s="66">
        <f>IFERROR(IFERROR(VLOOKUP($C30&amp;" "&amp;AW$1,Results!$G:$I,3,FALSE),-VLOOKUP($C30&amp;" "&amp;AW$1,Results!$H:$I,2,FALSE)),"")</f>
        <v>-79</v>
      </c>
      <c r="AX30" s="34">
        <f>IFERROR(IFERROR(VLOOKUP($C30&amp;" "&amp;AX$1,Results!$G:$I,3,FALSE),-VLOOKUP($C30&amp;" "&amp;AX$1,Results!$H:$I,2,FALSE)),"")</f>
        <v>90</v>
      </c>
      <c r="AY30" s="34" t="str">
        <f>IFERROR(IFERROR(VLOOKUP($C30&amp;" "&amp;AY$1,Results!$G:$I,3,FALSE),-VLOOKUP($C30&amp;" "&amp;AY$1,Results!$H:$I,2,FALSE)),"")</f>
        <v/>
      </c>
      <c r="AZ30" s="67">
        <f>IFERROR(IFERROR(VLOOKUP($C30&amp;" "&amp;AZ$1,Results!$G:$I,3,FALSE),-VLOOKUP($C30&amp;" "&amp;AZ$1,Results!$H:$I,2,FALSE)),"")</f>
        <v>119</v>
      </c>
      <c r="BA30" s="14">
        <f>IFERROR(IFERROR(VLOOKUP($C30&amp;" "&amp;BA$1,Results!$G:$I,3,FALSE),-VLOOKUP($C30&amp;" "&amp;BA$1,Results!$H:$I,2,FALSE)),"")</f>
        <v>-16</v>
      </c>
      <c r="BB30" s="14">
        <f>IFERROR(IFERROR(VLOOKUP($C30&amp;" "&amp;BB$1,Results!$G:$I,3,FALSE),-VLOOKUP($C30&amp;" "&amp;BB$1,Results!$H:$I,2,FALSE)),"")</f>
        <v>18</v>
      </c>
      <c r="BC30" s="14" t="str">
        <f>IFERROR(IFERROR(VLOOKUP($C30&amp;" "&amp;BC$1,Results!$G:$I,3,FALSE),-VLOOKUP($C30&amp;" "&amp;BC$1,Results!$H:$I,2,FALSE)),"")</f>
        <v/>
      </c>
      <c r="BD30" s="14" t="str">
        <f>IFERROR(IFERROR(VLOOKUP($C30&amp;" "&amp;BD$1,Results!$G:$I,3,FALSE),-VLOOKUP($C30&amp;" "&amp;BD$1,Results!$H:$I,2,FALSE)),"")</f>
        <v/>
      </c>
      <c r="BE30" s="14"/>
      <c r="BF30" s="14"/>
      <c r="BG30" s="14"/>
      <c r="BH30" s="14"/>
      <c r="BI30" s="14"/>
      <c r="BJ30" s="30"/>
      <c r="BK30" s="30"/>
      <c r="BL30" s="30"/>
      <c r="BM30" s="30"/>
      <c r="BN30" s="23"/>
      <c r="BO30" s="23"/>
      <c r="BP30" s="23"/>
      <c r="BQ30" s="11"/>
      <c r="BR30" s="11"/>
      <c r="BW30" s="111">
        <f t="shared" si="7"/>
        <v>66</v>
      </c>
      <c r="BX30" s="15">
        <f t="shared" si="10"/>
        <v>0</v>
      </c>
      <c r="BY30" s="15">
        <f t="shared" si="11"/>
        <v>5</v>
      </c>
      <c r="BZ30" s="15">
        <f t="shared" si="12"/>
        <v>6</v>
      </c>
      <c r="CA30" s="90">
        <f t="shared" si="14"/>
        <v>0</v>
      </c>
      <c r="CC30" s="22">
        <f t="shared" si="4"/>
        <v>66</v>
      </c>
      <c r="CE30" s="15">
        <v>23</v>
      </c>
      <c r="CF30" s="15">
        <f t="shared" si="5"/>
        <v>0</v>
      </c>
      <c r="CG30" s="15">
        <f t="shared" si="9"/>
        <v>23</v>
      </c>
    </row>
    <row r="31" spans="1:85" ht="13.5" thickBot="1">
      <c r="B31" s="15">
        <v>28</v>
      </c>
      <c r="C31" s="16" t="s">
        <v>72</v>
      </c>
      <c r="D31" s="8"/>
      <c r="E31" s="8">
        <f>IF(AND(AW31&gt;0,$A31&lt;VLOOKUP(AW$1,$C:$L,10,FALSE)),1,IF(AND(AW31&lt;0,$A31&gt;VLOOKUP(AW$1,$C:$L,10,FALSE)),1,0))</f>
        <v>0</v>
      </c>
      <c r="F31" s="8">
        <f>IF(AND(AX31&gt;0,$A31&lt;VLOOKUP(AX$1,$C:$L,10,FALSE)),1,IF(AND(AX31&lt;0,$A31&gt;VLOOKUP(AX$1,$C:$L,10,FALSE)),1,0))</f>
        <v>0</v>
      </c>
      <c r="G31" s="8">
        <f>IF(AND(AY31&gt;0,$A31&lt;VLOOKUP(AY$1,$C:$L,10,FALSE)),1,IF(AND(AY31&lt;0,$A31&gt;VLOOKUP(AY$1,$C:$L,10,FALSE)),1,0))</f>
        <v>0</v>
      </c>
      <c r="H31" s="8">
        <f>IF(AND(BA31&gt;0,$A31&lt;VLOOKUP(BA$1,$C:$L,10,FALSE)),1,IF(AND(BA31&lt;0,$A31&gt;VLOOKUP(BA$1,$C:$L,10,FALSE)),1,0))</f>
        <v>0</v>
      </c>
      <c r="I31" s="8">
        <f>IF(AND(BB31&gt;0,$A31&lt;VLOOKUP(BB$1,$C:$L,10,FALSE)),1,IF(AND(BB31&lt;0,$A31&gt;VLOOKUP(BB$1,$C:$L,10,FALSE)),1,0))</f>
        <v>0</v>
      </c>
      <c r="J31" s="8">
        <f>IF(AND(BC31&gt;0,$A31&lt;VLOOKUP(BC$1,$C:$L,10,FALSE)),1,IF(AND(BC31&lt;0,$A31&gt;VLOOKUP(BC$1,$C:$L,10,FALSE)),1,0))</f>
        <v>0</v>
      </c>
      <c r="K31" s="108" t="s">
        <v>135</v>
      </c>
      <c r="L31" s="8">
        <f t="shared" si="0"/>
        <v>0</v>
      </c>
      <c r="M31" s="2">
        <v>7</v>
      </c>
      <c r="N31" s="17">
        <f t="shared" si="1"/>
        <v>0</v>
      </c>
      <c r="O31" s="2">
        <f t="shared" si="2"/>
        <v>6</v>
      </c>
      <c r="P31" s="2">
        <f t="shared" si="3"/>
        <v>0</v>
      </c>
      <c r="Q31" s="18">
        <f>COUNTIF($AW31:$AZ31,"&gt;0")</f>
        <v>0</v>
      </c>
      <c r="R31" s="19">
        <f>COUNTIF($AW31:$AZ31,"&lt;0")</f>
        <v>3</v>
      </c>
      <c r="S31" s="20">
        <f>COUNTIF($AW31:$AZ31,"=0")</f>
        <v>0</v>
      </c>
      <c r="T31" s="2">
        <f t="shared" si="19"/>
        <v>0</v>
      </c>
      <c r="U31" s="2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 t="str">
        <f>IFERROR(IFERROR(VLOOKUP($C31&amp;" "&amp;AG$1,Results!$G:$I,3,FALSE),-VLOOKUP($C31&amp;" "&amp;AG$1,Results!$H:$I,2,FALSE)),"")</f>
        <v/>
      </c>
      <c r="AH31" s="14" t="str">
        <f>IFERROR(IFERROR(VLOOKUP($C31&amp;" "&amp;AH$1,Results!$G:$I,3,FALSE),-VLOOKUP($C31&amp;" "&amp;AH$1,Results!$H:$I,2,FALSE)),"")</f>
        <v/>
      </c>
      <c r="AI31" s="14" t="str">
        <f>IFERROR(IFERROR(VLOOKUP($C31&amp;" "&amp;AI$1,Results!$G:$I,3,FALSE),-VLOOKUP($C31&amp;" "&amp;AI$1,Results!$H:$I,2,FALSE)),"")</f>
        <v/>
      </c>
      <c r="AJ31" s="14" t="str">
        <f>IFERROR(IFERROR(VLOOKUP($C31&amp;" "&amp;AJ$1,Results!$G:$I,3,FALSE),-VLOOKUP($C31&amp;" "&amp;AJ$1,Results!$H:$I,2,FALSE)),"")</f>
        <v/>
      </c>
      <c r="AK31" s="14" t="str">
        <f>IFERROR(IFERROR(VLOOKUP($C31&amp;" "&amp;AK$1,Results!$G:$I,3,FALSE),-VLOOKUP($C31&amp;" "&amp;AK$1,Results!$H:$I,2,FALSE)),"")</f>
        <v/>
      </c>
      <c r="AL31" s="14" t="str">
        <f>IFERROR(IFERROR(VLOOKUP($C31&amp;" "&amp;AL$1,Results!$G:$I,3,FALSE),-VLOOKUP($C31&amp;" "&amp;AL$1,Results!$H:$I,2,FALSE)),"")</f>
        <v/>
      </c>
      <c r="AM31" s="14" t="str">
        <f>IFERROR(IFERROR(VLOOKUP($C31&amp;" "&amp;AM$1,Results!$G:$I,3,FALSE),-VLOOKUP($C31&amp;" "&amp;AM$1,Results!$H:$I,2,FALSE)),"")</f>
        <v/>
      </c>
      <c r="AN31" s="14" t="str">
        <f>IFERROR(IFERROR(VLOOKUP($C31&amp;" "&amp;AN$1,Results!$G:$I,3,FALSE),-VLOOKUP($C31&amp;" "&amp;AN$1,Results!$H:$I,2,FALSE)),"")</f>
        <v/>
      </c>
      <c r="AO31" s="14" t="str">
        <f>IFERROR(IFERROR(VLOOKUP($C31&amp;" "&amp;AO$1,Results!$G:$I,3,FALSE),-VLOOKUP($C31&amp;" "&amp;AO$1,Results!$H:$I,2,FALSE)),"")</f>
        <v/>
      </c>
      <c r="AP31" s="14" t="str">
        <f>IFERROR(IFERROR(VLOOKUP($C31&amp;" "&amp;AP$1,Results!$G:$I,3,FALSE),-VLOOKUP($C31&amp;" "&amp;AP$1,Results!$H:$I,2,FALSE)),"")</f>
        <v/>
      </c>
      <c r="AQ31" s="14" t="str">
        <f>IFERROR(IFERROR(VLOOKUP($C31&amp;" "&amp;AQ$1,Results!$G:$I,3,FALSE),-VLOOKUP($C31&amp;" "&amp;AQ$1,Results!$H:$I,2,FALSE)),"")</f>
        <v/>
      </c>
      <c r="AR31" s="14" t="str">
        <f>IFERROR(IFERROR(VLOOKUP($C31&amp;" "&amp;AR$1,Results!$G:$I,3,FALSE),-VLOOKUP($C31&amp;" "&amp;AR$1,Results!$H:$I,2,FALSE)),"")</f>
        <v/>
      </c>
      <c r="AS31" s="14" t="str">
        <f>IFERROR(IFERROR(VLOOKUP($C31&amp;" "&amp;AS$1,Results!$G:$I,3,FALSE),-VLOOKUP($C31&amp;" "&amp;AS$1,Results!$H:$I,2,FALSE)),"")</f>
        <v/>
      </c>
      <c r="AT31" s="14" t="str">
        <f>IFERROR(IFERROR(VLOOKUP($C31&amp;" "&amp;AT$1,Results!$G:$I,3,FALSE),-VLOOKUP($C31&amp;" "&amp;AT$1,Results!$H:$I,2,FALSE)),"")</f>
        <v/>
      </c>
      <c r="AU31" s="14" t="str">
        <f>IFERROR(IFERROR(VLOOKUP($C31&amp;" "&amp;AU$1,Results!$G:$I,3,FALSE),-VLOOKUP($C31&amp;" "&amp;AU$1,Results!$H:$I,2,FALSE)),"")</f>
        <v/>
      </c>
      <c r="AV31" s="14" t="str">
        <f>IFERROR(IFERROR(VLOOKUP($C31&amp;" "&amp;AV$1,Results!$G:$I,3,FALSE),-VLOOKUP($C31&amp;" "&amp;AV$1,Results!$H:$I,2,FALSE)),"")</f>
        <v/>
      </c>
      <c r="AW31" s="68">
        <f>IFERROR(IFERROR(VLOOKUP($C31&amp;" "&amp;AW$1,Results!$G:$I,3,FALSE),-VLOOKUP($C31&amp;" "&amp;AW$1,Results!$H:$I,2,FALSE)),"")</f>
        <v>-163</v>
      </c>
      <c r="AX31" s="69">
        <f>IFERROR(IFERROR(VLOOKUP($C31&amp;" "&amp;AX$1,Results!$G:$I,3,FALSE),-VLOOKUP($C31&amp;" "&amp;AX$1,Results!$H:$I,2,FALSE)),"")</f>
        <v>-61</v>
      </c>
      <c r="AY31" s="69">
        <f>IFERROR(IFERROR(VLOOKUP($C31&amp;" "&amp;AY$1,Results!$G:$I,3,FALSE),-VLOOKUP($C31&amp;" "&amp;AY$1,Results!$H:$I,2,FALSE)),"")</f>
        <v>-119</v>
      </c>
      <c r="AZ31" s="35" t="str">
        <f>IFERROR(IFERROR(VLOOKUP($C31&amp;" "&amp;AZ$1,Results!$G:$I,3,FALSE),-VLOOKUP($C31&amp;" "&amp;AZ$1,Results!$H:$I,2,FALSE)),"")</f>
        <v/>
      </c>
      <c r="BA31" s="14">
        <f>IFERROR(IFERROR(VLOOKUP($C31&amp;" "&amp;BA$1,Results!$G:$I,3,FALSE),-VLOOKUP($C31&amp;" "&amp;BA$1,Results!$H:$I,2,FALSE)),"")</f>
        <v>-210</v>
      </c>
      <c r="BB31" s="14">
        <f>IFERROR(IFERROR(VLOOKUP($C31&amp;" "&amp;BB$1,Results!$G:$I,3,FALSE),-VLOOKUP($C31&amp;" "&amp;BB$1,Results!$H:$I,2,FALSE)),"")</f>
        <v>-79</v>
      </c>
      <c r="BC31" s="14">
        <f>IFERROR(IFERROR(VLOOKUP($C31&amp;" "&amp;BC$1,Results!$G:$I,3,FALSE),-VLOOKUP($C31&amp;" "&amp;BC$1,Results!$H:$I,2,FALSE)),"")</f>
        <v>-99</v>
      </c>
      <c r="BD31" s="14" t="str">
        <f>IFERROR(IFERROR(VLOOKUP($C31&amp;" "&amp;BD$1,Results!$G:$I,3,FALSE),-VLOOKUP($C31&amp;" "&amp;BD$1,Results!$H:$I,2,FALSE)),"")</f>
        <v/>
      </c>
      <c r="BE31" s="14"/>
      <c r="BF31" s="14"/>
      <c r="BG31" s="14"/>
      <c r="BH31" s="14"/>
      <c r="BI31" s="14"/>
      <c r="BJ31" s="30"/>
      <c r="BK31" s="30"/>
      <c r="BL31" s="30"/>
      <c r="BM31" s="30"/>
      <c r="BN31" s="23"/>
      <c r="BO31" s="23"/>
      <c r="BP31" s="23"/>
      <c r="BQ31" s="11"/>
      <c r="BR31" s="11"/>
      <c r="BW31" s="111">
        <f t="shared" si="7"/>
        <v>-731</v>
      </c>
      <c r="BX31" s="15">
        <f t="shared" si="10"/>
        <v>0</v>
      </c>
      <c r="BY31" s="15">
        <f t="shared" si="11"/>
        <v>5</v>
      </c>
      <c r="BZ31" s="15">
        <f t="shared" si="12"/>
        <v>6</v>
      </c>
      <c r="CA31" s="90">
        <f t="shared" si="14"/>
        <v>0</v>
      </c>
      <c r="CC31" s="22">
        <f t="shared" si="4"/>
        <v>-731</v>
      </c>
      <c r="CE31" s="15">
        <v>24</v>
      </c>
      <c r="CF31" s="15">
        <f t="shared" si="5"/>
        <v>0</v>
      </c>
      <c r="CG31" s="15">
        <f t="shared" si="9"/>
        <v>24</v>
      </c>
    </row>
    <row r="32" spans="1:85">
      <c r="B32" s="15">
        <v>29</v>
      </c>
      <c r="C32" s="16" t="s">
        <v>82</v>
      </c>
      <c r="D32" s="8"/>
      <c r="E32" s="8">
        <f>IF(AND(AX32&gt;0,$A32&lt;VLOOKUP(AX$1,$C:$L,10,FALSE)),1,IF(AND(AX32&lt;0,$A32&gt;VLOOKUP(AX$1,$C:$L,10,FALSE)),1,0))</f>
        <v>0</v>
      </c>
      <c r="F32" s="8">
        <f>IF(AND(AY32&gt;0,$A32&lt;VLOOKUP(AY$1,$C:$L,10,FALSE)),1,IF(AND(AY32&lt;0,$A32&gt;VLOOKUP(AY$1,$C:$L,10,FALSE)),1,0))</f>
        <v>0</v>
      </c>
      <c r="G32" s="8">
        <f>IF(AND(AZ32&gt;0,$A32&lt;VLOOKUP(AZ$1,$C:$L,10,FALSE)),1,IF(AND(AZ32&lt;0,$A32&gt;VLOOKUP(AZ$1,$C:$L,10,FALSE)),1,0))</f>
        <v>0</v>
      </c>
      <c r="H32" s="8">
        <f>IF(AND(BB32&gt;0,$A32&lt;VLOOKUP(BB$1,$C:$L,10,FALSE)),1,IF(AND(BB32&lt;0,$A32&gt;VLOOKUP(BB$1,$C:$L,10,FALSE)),1,0))</f>
        <v>0</v>
      </c>
      <c r="I32" s="8">
        <f>IF(AND(BC32&gt;0,$A32&lt;VLOOKUP(BC$1,$C:$L,10,FALSE)),1,IF(AND(BC32&lt;0,$A32&gt;VLOOKUP(BC$1,$C:$L,10,FALSE)),1,0))</f>
        <v>0</v>
      </c>
      <c r="J32" s="8">
        <f>IF(AND(BD32&gt;0,$A32&lt;VLOOKUP(BD$1,$C:$L,10,FALSE)),1,IF(AND(BD32&lt;0,$A32&gt;VLOOKUP(BD$1,$C:$L,10,FALSE)),1,0))</f>
        <v>0</v>
      </c>
      <c r="K32" s="108" t="s">
        <v>135</v>
      </c>
      <c r="L32" s="8">
        <f t="shared" si="0"/>
        <v>0</v>
      </c>
      <c r="M32" s="2">
        <v>8</v>
      </c>
      <c r="N32" s="17">
        <f t="shared" si="1"/>
        <v>5</v>
      </c>
      <c r="O32" s="2">
        <f t="shared" si="2"/>
        <v>1</v>
      </c>
      <c r="P32" s="2">
        <f t="shared" si="3"/>
        <v>0</v>
      </c>
      <c r="Q32" s="18">
        <f>COUNTIF($BA32:$BD32,"&gt;0")</f>
        <v>2</v>
      </c>
      <c r="R32" s="19">
        <f>COUNTIF($BA32:$BD32,"&lt;0")</f>
        <v>1</v>
      </c>
      <c r="S32" s="20">
        <f>COUNTIF($BA32:$BD32,"=0")</f>
        <v>0</v>
      </c>
      <c r="T32" s="2">
        <f>COUNTIF(V32:BJ32,"NC")</f>
        <v>0</v>
      </c>
      <c r="U32" s="2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 t="str">
        <f>IFERROR(IFERROR(VLOOKUP($C32&amp;" "&amp;AS$1,Results!$G:$I,3,FALSE),-VLOOKUP($C32&amp;" "&amp;AS$1,Results!$H:$I,2,FALSE)),"")</f>
        <v/>
      </c>
      <c r="AT32" s="14" t="str">
        <f>IFERROR(IFERROR(VLOOKUP($C32&amp;" "&amp;AT$1,Results!$G:$I,3,FALSE),-VLOOKUP($C32&amp;" "&amp;AT$1,Results!$H:$I,2,FALSE)),"")</f>
        <v/>
      </c>
      <c r="AU32" s="14" t="str">
        <f>IFERROR(IFERROR(VLOOKUP($C32&amp;" "&amp;AU$1,Results!$G:$I,3,FALSE),-VLOOKUP($C32&amp;" "&amp;AU$1,Results!$H:$I,2,FALSE)),"")</f>
        <v/>
      </c>
      <c r="AV32" s="14" t="str">
        <f>IFERROR(IFERROR(VLOOKUP($C32&amp;" "&amp;AV$1,Results!$G:$I,3,FALSE),-VLOOKUP($C32&amp;" "&amp;AV$1,Results!$H:$I,2,FALSE)),"")</f>
        <v/>
      </c>
      <c r="AW32" s="14" t="str">
        <f>IFERROR(IFERROR(VLOOKUP($C32&amp;" "&amp;AW$1,Results!$G:$I,3,FALSE),-VLOOKUP($C32&amp;" "&amp;AW$1,Results!$H:$I,2,FALSE)),"")</f>
        <v/>
      </c>
      <c r="AX32" s="14">
        <f>IFERROR(IFERROR(VLOOKUP($C32&amp;" "&amp;AX$1,Results!$G:$I,3,FALSE),-VLOOKUP($C32&amp;" "&amp;AX$1,Results!$H:$I,2,FALSE)),"")</f>
        <v>123</v>
      </c>
      <c r="AY32" s="14">
        <f>IFERROR(IFERROR(VLOOKUP($C32&amp;" "&amp;AY$1,Results!$G:$I,3,FALSE),-VLOOKUP($C32&amp;" "&amp;AY$1,Results!$H:$I,2,FALSE)),"")</f>
        <v>16</v>
      </c>
      <c r="AZ32" s="14">
        <f>IFERROR(IFERROR(VLOOKUP($C32&amp;" "&amp;AZ$1,Results!$G:$I,3,FALSE),-VLOOKUP($C32&amp;" "&amp;AZ$1,Results!$H:$I,2,FALSE)),"")</f>
        <v>210</v>
      </c>
      <c r="BA32" s="33" t="str">
        <f>IFERROR(IFERROR(VLOOKUP($C32&amp;" "&amp;BA$1,Results!$G:$I,3,FALSE),-VLOOKUP($C32&amp;" "&amp;BA$1,Results!$H:$I,2,FALSE)),"")</f>
        <v/>
      </c>
      <c r="BB32" s="64">
        <f>IFERROR(IFERROR(VLOOKUP($C32&amp;" "&amp;BB$1,Results!$G:$I,3,FALSE),-VLOOKUP($C32&amp;" "&amp;BB$1,Results!$H:$I,2,FALSE)),"")</f>
        <v>49</v>
      </c>
      <c r="BC32" s="64">
        <f>IFERROR(IFERROR(VLOOKUP($C32&amp;" "&amp;BC$1,Results!$G:$I,3,FALSE),-VLOOKUP($C32&amp;" "&amp;BC$1,Results!$H:$I,2,FALSE)),"")</f>
        <v>115</v>
      </c>
      <c r="BD32" s="65">
        <f>IFERROR(IFERROR(VLOOKUP($C32&amp;" "&amp;BD$1,Results!$G:$I,3,FALSE),-VLOOKUP($C32&amp;" "&amp;BD$1,Results!$H:$I,2,FALSE)),"")</f>
        <v>-13</v>
      </c>
      <c r="BE32" s="14" t="str">
        <f>IFERROR(IFERROR(VLOOKUP($C32&amp;" "&amp;BE$1,Results!$G:$I,3,FALSE),-VLOOKUP($C32&amp;" "&amp;BE$1,Results!$H:$I,2,FALSE)),"")</f>
        <v/>
      </c>
      <c r="BF32" s="14" t="str">
        <f>IFERROR(IFERROR(VLOOKUP($C32&amp;" "&amp;BF$1,Results!$G:$I,3,FALSE),-VLOOKUP($C32&amp;" "&amp;BF$1,Results!$H:$I,2,FALSE)),"")</f>
        <v/>
      </c>
      <c r="BG32" s="14" t="str">
        <f>IFERROR(IFERROR(VLOOKUP($C32&amp;" "&amp;BG$1,Results!$G:$I,3,FALSE),-VLOOKUP($C32&amp;" "&amp;BG$1,Results!$H:$I,2,FALSE)),"")</f>
        <v/>
      </c>
      <c r="BH32" s="14" t="str">
        <f>IFERROR(IFERROR(VLOOKUP($C32&amp;" "&amp;BH$1,Results!$G:$I,3,FALSE),-VLOOKUP($C32&amp;" "&amp;BH$1,Results!$H:$I,2,FALSE)),"")</f>
        <v/>
      </c>
      <c r="BI32" s="14" t="str">
        <f>IFERROR(IFERROR(VLOOKUP($C32&amp;" "&amp;BI$1,Results!$G:$I,3,FALSE),-VLOOKUP($C32&amp;" "&amp;BI$1,Results!$H:$I,2,FALSE)),"")</f>
        <v/>
      </c>
      <c r="BJ32" s="30" t="str">
        <f>IFERROR(IFERROR(VLOOKUP($C32&amp;" "&amp;BJ$1,Results!$G:$I,3,FALSE),-VLOOKUP($C32&amp;" "&amp;BJ$1,Results!$H:$I,2,FALSE)),"")</f>
        <v/>
      </c>
      <c r="BK32" s="30" t="str">
        <f>IFERROR(IFERROR(VLOOKUP($C32&amp;" "&amp;BK$1,Results!$G:$I,3,FALSE),-VLOOKUP($C32&amp;" "&amp;BK$1,Results!$H:$I,2,FALSE)),"")</f>
        <v/>
      </c>
      <c r="BL32" s="30" t="str">
        <f>IFERROR(IFERROR(VLOOKUP($C32&amp;" "&amp;BL$1,Results!$G:$I,3,FALSE),-VLOOKUP($C32&amp;" "&amp;BL$1,Results!$H:$I,2,FALSE)),"")</f>
        <v/>
      </c>
      <c r="BM32" s="30" t="str">
        <f>IFERROR(IFERROR(VLOOKUP($C32&amp;" "&amp;BM$1,Results!$G:$I,3,FALSE),-VLOOKUP($C32&amp;" "&amp;BM$1,Results!$H:$I,2,FALSE)),"")</f>
        <v/>
      </c>
      <c r="BN32" s="23" t="str">
        <f>IFERROR(IFERROR(VLOOKUP($C32&amp;" "&amp;BN$1,Results!$G:$I,3,FALSE),-VLOOKUP($C32&amp;" "&amp;BN$1,Results!$H:$I,2,FALSE)),"")</f>
        <v/>
      </c>
      <c r="BO32" s="23" t="str">
        <f>IFERROR(IFERROR(VLOOKUP($C32&amp;" "&amp;BO$1,Results!$G:$I,3,FALSE),-VLOOKUP($C32&amp;" "&amp;BO$1,Results!$H:$I,2,FALSE)),"")</f>
        <v/>
      </c>
      <c r="BP32" s="23" t="str">
        <f>IFERROR(IFERROR(VLOOKUP($C32&amp;" "&amp;BP$1,Results!$G:$I,3,FALSE),-VLOOKUP($C32&amp;" "&amp;BP$1,Results!$H:$I,2,FALSE)),"")</f>
        <v/>
      </c>
      <c r="BQ32" s="11" t="str">
        <f>IFERROR(IFERROR(VLOOKUP($C32&amp;" "&amp;BQ$1,Results!$G:$I,3,FALSE),-VLOOKUP($C32&amp;" "&amp;BQ$1,Results!$H:$I,2,FALSE)),"")</f>
        <v/>
      </c>
      <c r="BR32" s="11" t="str">
        <f>IFERROR(IFERROR(VLOOKUP($C32&amp;" "&amp;BR$1,Results!$G:$I,3,FALSE),-VLOOKUP($C32&amp;" "&amp;BR$1,Results!$H:$I,2,FALSE)),"")</f>
        <v/>
      </c>
      <c r="BS32" s="22" t="str">
        <f>IFERROR(IFERROR(VLOOKUP($C32&amp;" "&amp;BS$1,Results!$G:$I,3,FALSE),-VLOOKUP($C32&amp;" "&amp;BS$1,Results!$H:$I,2,FALSE)),"")</f>
        <v/>
      </c>
      <c r="BT32" s="22" t="str">
        <f>IFERROR(IFERROR(VLOOKUP($C32&amp;" "&amp;BT$1,Results!$G:$I,3,FALSE),-VLOOKUP($C32&amp;" "&amp;BT$1,Results!$H:$I,2,FALSE)),"")</f>
        <v/>
      </c>
      <c r="BU32" s="22" t="str">
        <f>IFERROR(IFERROR(VLOOKUP($C32&amp;" "&amp;BU$1,Results!$G:$I,3,FALSE),-VLOOKUP($C32&amp;" "&amp;BU$1,Results!$H:$I,2,FALSE)),"")</f>
        <v/>
      </c>
      <c r="BW32" s="111">
        <f t="shared" si="7"/>
        <v>500</v>
      </c>
      <c r="BX32" s="15">
        <f t="shared" si="10"/>
        <v>0</v>
      </c>
      <c r="BY32" s="15">
        <f t="shared" si="11"/>
        <v>5</v>
      </c>
      <c r="BZ32" s="15">
        <f t="shared" si="12"/>
        <v>6</v>
      </c>
      <c r="CA32" s="90">
        <f t="shared" si="14"/>
        <v>0</v>
      </c>
      <c r="CC32" s="22">
        <f t="shared" si="4"/>
        <v>500</v>
      </c>
      <c r="CE32" s="15">
        <v>36</v>
      </c>
      <c r="CF32" s="15">
        <f t="shared" si="5"/>
        <v>0</v>
      </c>
      <c r="CG32" s="15">
        <f t="shared" si="9"/>
        <v>36</v>
      </c>
    </row>
    <row r="33" spans="2:85">
      <c r="B33" s="15">
        <v>30</v>
      </c>
      <c r="C33" s="16" t="s">
        <v>81</v>
      </c>
      <c r="D33" s="8"/>
      <c r="E33" s="8">
        <f>IF(AND(AY33&gt;0,$A33&lt;VLOOKUP(AY$1,$C:$L,10,FALSE)),1,IF(AND(AY33&lt;0,$A33&gt;VLOOKUP(AY$1,$C:$L,10,FALSE)),1,0))</f>
        <v>0</v>
      </c>
      <c r="F33" s="8">
        <f>IF(AND(AZ33&gt;0,$A33&lt;VLOOKUP(AZ$1,$C:$L,10,FALSE)),1,IF(AND(AZ33&lt;0,$A33&gt;VLOOKUP(AZ$1,$C:$L,10,FALSE)),1,0))</f>
        <v>0</v>
      </c>
      <c r="G33" s="8">
        <f>IF(AND(BA33&gt;0,$A33&lt;VLOOKUP(BA$1,$C:$L,10,FALSE)),1,IF(AND(BA33&lt;0,$A33&gt;VLOOKUP(BA$1,$C:$L,10,FALSE)),1,0))</f>
        <v>0</v>
      </c>
      <c r="H33" s="8">
        <f>IF(AND(BC33&gt;0,$A33&lt;VLOOKUP(BC$1,$C:$L,10,FALSE)),1,IF(AND(BC33&lt;0,$A33&gt;VLOOKUP(BC$1,$C:$L,10,FALSE)),1,0))</f>
        <v>0</v>
      </c>
      <c r="I33" s="8">
        <f>IF(AND(BD33&gt;0,$A33&lt;VLOOKUP(BD$1,$C:$L,10,FALSE)),1,IF(AND(BD33&lt;0,$A33&gt;VLOOKUP(BD$1,$C:$L,10,FALSE)),1,0))</f>
        <v>0</v>
      </c>
      <c r="J33" s="8">
        <f>IF(AND(BE33&gt;0,$A33&lt;VLOOKUP(BE$1,$C:$L,10,FALSE)),1,IF(AND(BE33&lt;0,$A33&gt;VLOOKUP(BE$1,$C:$L,10,FALSE)),1,0))</f>
        <v>0</v>
      </c>
      <c r="K33" s="108" t="s">
        <v>135</v>
      </c>
      <c r="L33" s="8">
        <f t="shared" si="0"/>
        <v>0</v>
      </c>
      <c r="M33" s="2">
        <v>8</v>
      </c>
      <c r="N33" s="17">
        <f t="shared" si="1"/>
        <v>2</v>
      </c>
      <c r="O33" s="2">
        <f t="shared" si="2"/>
        <v>4</v>
      </c>
      <c r="P33" s="2">
        <f t="shared" si="3"/>
        <v>0</v>
      </c>
      <c r="Q33" s="18">
        <f>COUNTIF($BA33:$BD33,"&gt;0")</f>
        <v>1</v>
      </c>
      <c r="R33" s="19">
        <f>COUNTIF($BA33:$BD33,"&lt;0")</f>
        <v>2</v>
      </c>
      <c r="S33" s="20">
        <f>COUNTIF($BA33:$BD33,"=0")</f>
        <v>0</v>
      </c>
      <c r="T33" s="2">
        <f t="shared" ref="T33:T35" si="20">COUNTIF(V33:BJ33,"NC")</f>
        <v>0</v>
      </c>
      <c r="U33" s="2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 t="str">
        <f>IFERROR(IFERROR(VLOOKUP($C33&amp;" "&amp;AS$1,Results!$G:$I,3,FALSE),-VLOOKUP($C33&amp;" "&amp;AS$1,Results!$H:$I,2,FALSE)),"")</f>
        <v/>
      </c>
      <c r="AT33" s="14" t="str">
        <f>IFERROR(IFERROR(VLOOKUP($C33&amp;" "&amp;AT$1,Results!$G:$I,3,FALSE),-VLOOKUP($C33&amp;" "&amp;AT$1,Results!$H:$I,2,FALSE)),"")</f>
        <v/>
      </c>
      <c r="AU33" s="14" t="str">
        <f>IFERROR(IFERROR(VLOOKUP($C33&amp;" "&amp;AU$1,Results!$G:$I,3,FALSE),-VLOOKUP($C33&amp;" "&amp;AU$1,Results!$H:$I,2,FALSE)),"")</f>
        <v/>
      </c>
      <c r="AV33" s="14" t="str">
        <f>IFERROR(IFERROR(VLOOKUP($C33&amp;" "&amp;AV$1,Results!$G:$I,3,FALSE),-VLOOKUP($C33&amp;" "&amp;AV$1,Results!$H:$I,2,FALSE)),"")</f>
        <v/>
      </c>
      <c r="AW33" s="14" t="str">
        <f>IFERROR(IFERROR(VLOOKUP($C33&amp;" "&amp;AW$1,Results!$G:$I,3,FALSE),-VLOOKUP($C33&amp;" "&amp;AW$1,Results!$H:$I,2,FALSE)),"")</f>
        <v/>
      </c>
      <c r="AX33" s="14" t="str">
        <f>IFERROR(IFERROR(VLOOKUP($C33&amp;" "&amp;AX$1,Results!$G:$I,3,FALSE),-VLOOKUP($C33&amp;" "&amp;AX$1,Results!$H:$I,2,FALSE)),"")</f>
        <v/>
      </c>
      <c r="AY33" s="14">
        <f>IFERROR(IFERROR(VLOOKUP($C33&amp;" "&amp;AY$1,Results!$G:$I,3,FALSE),-VLOOKUP($C33&amp;" "&amp;AY$1,Results!$H:$I,2,FALSE)),"")</f>
        <v>-18</v>
      </c>
      <c r="AZ33" s="14">
        <f>IFERROR(IFERROR(VLOOKUP($C33&amp;" "&amp;AZ$1,Results!$G:$I,3,FALSE),-VLOOKUP($C33&amp;" "&amp;AZ$1,Results!$H:$I,2,FALSE)),"")</f>
        <v>79</v>
      </c>
      <c r="BA33" s="66">
        <f>IFERROR(IFERROR(VLOOKUP($C33&amp;" "&amp;BA$1,Results!$G:$I,3,FALSE),-VLOOKUP($C33&amp;" "&amp;BA$1,Results!$H:$I,2,FALSE)),"")</f>
        <v>-49</v>
      </c>
      <c r="BB33" s="34" t="str">
        <f>IFERROR(IFERROR(VLOOKUP($C33&amp;" "&amp;BB$1,Results!$G:$I,3,FALSE),-VLOOKUP($C33&amp;" "&amp;BB$1,Results!$H:$I,2,FALSE)),"")</f>
        <v/>
      </c>
      <c r="BC33" s="34">
        <f>IFERROR(IFERROR(VLOOKUP($C33&amp;" "&amp;BC$1,Results!$G:$I,3,FALSE),-VLOOKUP($C33&amp;" "&amp;BC$1,Results!$H:$I,2,FALSE)),"")</f>
        <v>4</v>
      </c>
      <c r="BD33" s="67">
        <f>IFERROR(IFERROR(VLOOKUP($C33&amp;" "&amp;BD$1,Results!$G:$I,3,FALSE),-VLOOKUP($C33&amp;" "&amp;BD$1,Results!$H:$I,2,FALSE)),"")</f>
        <v>-109</v>
      </c>
      <c r="BE33" s="14">
        <f>IFERROR(IFERROR(VLOOKUP($C33&amp;" "&amp;BE$1,Results!$G:$I,3,FALSE),-VLOOKUP($C33&amp;" "&amp;BE$1,Results!$H:$I,2,FALSE)),"")</f>
        <v>-67</v>
      </c>
      <c r="BF33" s="14" t="str">
        <f>IFERROR(IFERROR(VLOOKUP($C33&amp;" "&amp;BF$1,Results!$G:$I,3,FALSE),-VLOOKUP($C33&amp;" "&amp;BF$1,Results!$H:$I,2,FALSE)),"")</f>
        <v/>
      </c>
      <c r="BG33" s="14" t="str">
        <f>IFERROR(IFERROR(VLOOKUP($C33&amp;" "&amp;BG$1,Results!$G:$I,3,FALSE),-VLOOKUP($C33&amp;" "&amp;BG$1,Results!$H:$I,2,FALSE)),"")</f>
        <v/>
      </c>
      <c r="BH33" s="14" t="str">
        <f>IFERROR(IFERROR(VLOOKUP($C33&amp;" "&amp;BH$1,Results!$G:$I,3,FALSE),-VLOOKUP($C33&amp;" "&amp;BH$1,Results!$H:$I,2,FALSE)),"")</f>
        <v/>
      </c>
      <c r="BI33" s="14" t="str">
        <f>IFERROR(IFERROR(VLOOKUP($C33&amp;" "&amp;BI$1,Results!$G:$I,3,FALSE),-VLOOKUP($C33&amp;" "&amp;BI$1,Results!$H:$I,2,FALSE)),"")</f>
        <v/>
      </c>
      <c r="BJ33" s="71" t="str">
        <f>IFERROR(IFERROR(VLOOKUP($C33&amp;" "&amp;BJ$1,Results!$G:$I,3,FALSE),-VLOOKUP($C33&amp;" "&amp;BJ$1,Results!$H:$I,2,FALSE)),"")</f>
        <v/>
      </c>
      <c r="BK33" s="30" t="str">
        <f>IFERROR(IFERROR(VLOOKUP($C33&amp;" "&amp;BK$1,Results!$G:$I,3,FALSE),-VLOOKUP($C33&amp;" "&amp;BK$1,Results!$H:$I,2,FALSE)),"")</f>
        <v/>
      </c>
      <c r="BL33" s="30" t="str">
        <f>IFERROR(IFERROR(VLOOKUP($C33&amp;" "&amp;BL$1,Results!$G:$I,3,FALSE),-VLOOKUP($C33&amp;" "&amp;BL$1,Results!$H:$I,2,FALSE)),"")</f>
        <v/>
      </c>
      <c r="BM33" s="30" t="str">
        <f>IFERROR(IFERROR(VLOOKUP($C33&amp;" "&amp;BM$1,Results!$G:$I,3,FALSE),-VLOOKUP($C33&amp;" "&amp;BM$1,Results!$H:$I,2,FALSE)),"")</f>
        <v/>
      </c>
      <c r="BN33" s="23" t="str">
        <f>IFERROR(IFERROR(VLOOKUP($C33&amp;" "&amp;BN$1,Results!$G:$I,3,FALSE),-VLOOKUP($C33&amp;" "&amp;BN$1,Results!$H:$I,2,FALSE)),"")</f>
        <v/>
      </c>
      <c r="BO33" s="23" t="str">
        <f>IFERROR(IFERROR(VLOOKUP($C33&amp;" "&amp;BO$1,Results!$G:$I,3,FALSE),-VLOOKUP($C33&amp;" "&amp;BO$1,Results!$H:$I,2,FALSE)),"")</f>
        <v/>
      </c>
      <c r="BP33" s="23" t="str">
        <f>IFERROR(IFERROR(VLOOKUP($C33&amp;" "&amp;BP$1,Results!$G:$I,3,FALSE),-VLOOKUP($C33&amp;" "&amp;BP$1,Results!$H:$I,2,FALSE)),"")</f>
        <v/>
      </c>
      <c r="BQ33" s="11" t="str">
        <f>IFERROR(IFERROR(VLOOKUP($C33&amp;" "&amp;BQ$1,Results!$G:$I,3,FALSE),-VLOOKUP($C33&amp;" "&amp;BQ$1,Results!$H:$I,2,FALSE)),"")</f>
        <v/>
      </c>
      <c r="BR33" s="11" t="str">
        <f>IFERROR(IFERROR(VLOOKUP($C33&amp;" "&amp;BR$1,Results!$G:$I,3,FALSE),-VLOOKUP($C33&amp;" "&amp;BR$1,Results!$H:$I,2,FALSE)),"")</f>
        <v/>
      </c>
      <c r="BS33" s="22" t="str">
        <f>IFERROR(IFERROR(VLOOKUP($C33&amp;" "&amp;BS$1,Results!$G:$I,3,FALSE),-VLOOKUP($C33&amp;" "&amp;BS$1,Results!$H:$I,2,FALSE)),"")</f>
        <v/>
      </c>
      <c r="BT33" s="22" t="str">
        <f>IFERROR(IFERROR(VLOOKUP($C33&amp;" "&amp;BT$1,Results!$G:$I,3,FALSE),-VLOOKUP($C33&amp;" "&amp;BT$1,Results!$H:$I,2,FALSE)),"")</f>
        <v/>
      </c>
      <c r="BU33" s="22" t="str">
        <f>IFERROR(IFERROR(VLOOKUP($C33&amp;" "&amp;BU$1,Results!$G:$I,3,FALSE),-VLOOKUP($C33&amp;" "&amp;BU$1,Results!$H:$I,2,FALSE)),"")</f>
        <v/>
      </c>
      <c r="BW33" s="111">
        <f t="shared" si="7"/>
        <v>-160</v>
      </c>
      <c r="BX33" s="15">
        <f t="shared" si="10"/>
        <v>0</v>
      </c>
      <c r="BY33" s="15">
        <f t="shared" si="11"/>
        <v>5</v>
      </c>
      <c r="BZ33" s="15">
        <f t="shared" si="12"/>
        <v>6</v>
      </c>
      <c r="CA33" s="90">
        <f t="shared" si="14"/>
        <v>0</v>
      </c>
      <c r="CC33" s="22">
        <f t="shared" si="4"/>
        <v>-160</v>
      </c>
      <c r="CE33" s="15">
        <v>33</v>
      </c>
      <c r="CF33" s="15">
        <f t="shared" si="5"/>
        <v>0</v>
      </c>
      <c r="CG33" s="15">
        <f t="shared" si="9"/>
        <v>33</v>
      </c>
    </row>
    <row r="34" spans="2:85">
      <c r="B34" s="15">
        <v>31</v>
      </c>
      <c r="C34" s="32" t="s">
        <v>98</v>
      </c>
      <c r="D34" s="8"/>
      <c r="E34" s="8">
        <f>IF(AND(AZ34&gt;0,$A34&lt;VLOOKUP(AZ$1,$C:$L,10,FALSE)),1,IF(AND(AZ34&lt;0,$A34&gt;VLOOKUP(AZ$1,$C:$L,10,FALSE)),1,0))</f>
        <v>0</v>
      </c>
      <c r="F34" s="8">
        <f>IF(AND(BA34&gt;0,$A34&lt;VLOOKUP(BA$1,$C:$L,10,FALSE)),1,IF(AND(BA34&lt;0,$A34&gt;VLOOKUP(BA$1,$C:$L,10,FALSE)),1,0))</f>
        <v>0</v>
      </c>
      <c r="G34" s="8">
        <f>IF(AND(BB34&gt;0,$A34&lt;VLOOKUP(BB$1,$C:$L,10,FALSE)),1,IF(AND(BB34&lt;0,$A34&gt;VLOOKUP(BB$1,$C:$L,10,FALSE)),1,0))</f>
        <v>0</v>
      </c>
      <c r="H34" s="8">
        <f>IF(AND(BD34&gt;0,$A34&lt;VLOOKUP(BD$1,$C:$L,10,FALSE)),1,IF(AND(BD34&lt;0,$A34&gt;VLOOKUP(BD$1,$C:$L,10,FALSE)),1,0))</f>
        <v>0</v>
      </c>
      <c r="I34" s="8">
        <f>IF(AND(BE34&gt;0,$A34&lt;VLOOKUP(BE$1,$C:$L,10,FALSE)),1,IF(AND(BE34&lt;0,$A34&gt;VLOOKUP(BE$1,$C:$L,10,FALSE)),1,0))</f>
        <v>0</v>
      </c>
      <c r="J34" s="8">
        <f>IF(AND(BF34&gt;0,$A34&lt;VLOOKUP(BF$1,$C:$L,10,FALSE)),1,IF(AND(BF34&lt;0,$A34&gt;VLOOKUP(BF$1,$C:$L,10,FALSE)),1,0))</f>
        <v>0</v>
      </c>
      <c r="K34" s="108" t="s">
        <v>135</v>
      </c>
      <c r="L34" s="8">
        <f t="shared" si="0"/>
        <v>0</v>
      </c>
      <c r="M34" s="2">
        <v>8</v>
      </c>
      <c r="N34" s="17">
        <f t="shared" si="1"/>
        <v>2</v>
      </c>
      <c r="O34" s="2">
        <f t="shared" si="2"/>
        <v>4</v>
      </c>
      <c r="P34" s="2">
        <f t="shared" si="3"/>
        <v>0</v>
      </c>
      <c r="Q34" s="18">
        <f>COUNTIF($BA34:$BD34,"&gt;0")</f>
        <v>0</v>
      </c>
      <c r="R34" s="19">
        <f>COUNTIF($BA34:$BD34,"&lt;0")</f>
        <v>3</v>
      </c>
      <c r="S34" s="20">
        <f>COUNTIF($BA34:$BD34,"=0")</f>
        <v>0</v>
      </c>
      <c r="T34" s="2">
        <f t="shared" si="20"/>
        <v>0</v>
      </c>
      <c r="U34" s="2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 t="str">
        <f>IFERROR(IFERROR(VLOOKUP($C34&amp;" "&amp;AS$1,Results!$G:$I,3,FALSE),-VLOOKUP($C34&amp;" "&amp;AS$1,Results!$H:$I,2,FALSE)),"")</f>
        <v/>
      </c>
      <c r="AT34" s="14" t="str">
        <f>IFERROR(IFERROR(VLOOKUP($C34&amp;" "&amp;AT$1,Results!$G:$I,3,FALSE),-VLOOKUP($C34&amp;" "&amp;AT$1,Results!$H:$I,2,FALSE)),"")</f>
        <v/>
      </c>
      <c r="AU34" s="14" t="str">
        <f>IFERROR(IFERROR(VLOOKUP($C34&amp;" "&amp;AU$1,Results!$G:$I,3,FALSE),-VLOOKUP($C34&amp;" "&amp;AU$1,Results!$H:$I,2,FALSE)),"")</f>
        <v/>
      </c>
      <c r="AV34" s="14" t="str">
        <f>IFERROR(IFERROR(VLOOKUP($C34&amp;" "&amp;AV$1,Results!$G:$I,3,FALSE),-VLOOKUP($C34&amp;" "&amp;AV$1,Results!$H:$I,2,FALSE)),"")</f>
        <v/>
      </c>
      <c r="AW34" s="14" t="str">
        <f>IFERROR(IFERROR(VLOOKUP($C34&amp;" "&amp;AW$1,Results!$G:$I,3,FALSE),-VLOOKUP($C34&amp;" "&amp;AW$1,Results!$H:$I,2,FALSE)),"")</f>
        <v/>
      </c>
      <c r="AX34" s="14" t="str">
        <f>IFERROR(IFERROR(VLOOKUP($C34&amp;" "&amp;AX$1,Results!$G:$I,3,FALSE),-VLOOKUP($C34&amp;" "&amp;AX$1,Results!$H:$I,2,FALSE)),"")</f>
        <v/>
      </c>
      <c r="AY34" s="14" t="str">
        <f>IFERROR(IFERROR(VLOOKUP($C34&amp;" "&amp;AY$1,Results!$G:$I,3,FALSE),-VLOOKUP($C34&amp;" "&amp;AY$1,Results!$H:$I,2,FALSE)),"")</f>
        <v/>
      </c>
      <c r="AZ34" s="14">
        <f>IFERROR(IFERROR(VLOOKUP($C34&amp;" "&amp;AZ$1,Results!$G:$I,3,FALSE),-VLOOKUP($C34&amp;" "&amp;AZ$1,Results!$H:$I,2,FALSE)),"")</f>
        <v>99</v>
      </c>
      <c r="BA34" s="66">
        <f>IFERROR(IFERROR(VLOOKUP($C34&amp;" "&amp;BA$1,Results!$G:$I,3,FALSE),-VLOOKUP($C34&amp;" "&amp;BA$1,Results!$H:$I,2,FALSE)),"")</f>
        <v>-115</v>
      </c>
      <c r="BB34" s="34">
        <f>IFERROR(IFERROR(VLOOKUP($C34&amp;" "&amp;BB$1,Results!$G:$I,3,FALSE),-VLOOKUP($C34&amp;" "&amp;BB$1,Results!$H:$I,2,FALSE)),"")</f>
        <v>-4</v>
      </c>
      <c r="BC34" s="34" t="str">
        <f>IFERROR(IFERROR(VLOOKUP($C34&amp;" "&amp;BC$1,Results!$G:$I,3,FALSE),-VLOOKUP($C34&amp;" "&amp;BC$1,Results!$H:$I,2,FALSE)),"")</f>
        <v/>
      </c>
      <c r="BD34" s="67">
        <f>IFERROR(IFERROR(VLOOKUP($C34&amp;" "&amp;BD$1,Results!$G:$I,3,FALSE),-VLOOKUP($C34&amp;" "&amp;BD$1,Results!$H:$I,2,FALSE)),"")</f>
        <v>-123</v>
      </c>
      <c r="BE34" s="14">
        <f>IFERROR(IFERROR(VLOOKUP($C34&amp;" "&amp;BE$1,Results!$G:$I,3,FALSE),-VLOOKUP($C34&amp;" "&amp;BE$1,Results!$H:$I,2,FALSE)),"")</f>
        <v>-146</v>
      </c>
      <c r="BF34" s="14">
        <f>IFERROR(IFERROR(VLOOKUP($C34&amp;" "&amp;BF$1,Results!$G:$I,3,FALSE),-VLOOKUP($C34&amp;" "&amp;BF$1,Results!$H:$I,2,FALSE)),"")</f>
        <v>168</v>
      </c>
      <c r="BG34" s="14" t="str">
        <f>IFERROR(IFERROR(VLOOKUP($C34&amp;" "&amp;BG$1,Results!$G:$I,3,FALSE),-VLOOKUP($C34&amp;" "&amp;BG$1,Results!$H:$I,2,FALSE)),"")</f>
        <v/>
      </c>
      <c r="BH34" s="14" t="str">
        <f>IFERROR(IFERROR(VLOOKUP($C34&amp;" "&amp;BH$1,Results!$G:$I,3,FALSE),-VLOOKUP($C34&amp;" "&amp;BH$1,Results!$H:$I,2,FALSE)),"")</f>
        <v/>
      </c>
      <c r="BI34" s="14" t="str">
        <f>IFERROR(IFERROR(VLOOKUP($C34&amp;" "&amp;BI$1,Results!$G:$I,3,FALSE),-VLOOKUP($C34&amp;" "&amp;BI$1,Results!$H:$I,2,FALSE)),"")</f>
        <v/>
      </c>
      <c r="BJ34" s="71" t="str">
        <f>IFERROR(IFERROR(VLOOKUP($C34&amp;" "&amp;BJ$1,Results!$G:$I,3,FALSE),-VLOOKUP($C34&amp;" "&amp;BJ$1,Results!$H:$I,2,FALSE)),"")</f>
        <v/>
      </c>
      <c r="BK34" s="30" t="str">
        <f>IFERROR(IFERROR(VLOOKUP($C34&amp;" "&amp;BK$1,Results!$G:$I,3,FALSE),-VLOOKUP($C34&amp;" "&amp;BK$1,Results!$H:$I,2,FALSE)),"")</f>
        <v/>
      </c>
      <c r="BL34" s="30" t="str">
        <f>IFERROR(IFERROR(VLOOKUP($C34&amp;" "&amp;BL$1,Results!$G:$I,3,FALSE),-VLOOKUP($C34&amp;" "&amp;BL$1,Results!$H:$I,2,FALSE)),"")</f>
        <v/>
      </c>
      <c r="BM34" s="30" t="str">
        <f>IFERROR(IFERROR(VLOOKUP($C34&amp;" "&amp;BM$1,Results!$G:$I,3,FALSE),-VLOOKUP($C34&amp;" "&amp;BM$1,Results!$H:$I,2,FALSE)),"")</f>
        <v/>
      </c>
      <c r="BN34" s="23" t="str">
        <f>IFERROR(IFERROR(VLOOKUP($C34&amp;" "&amp;BN$1,Results!$G:$I,3,FALSE),-VLOOKUP($C34&amp;" "&amp;BN$1,Results!$H:$I,2,FALSE)),"")</f>
        <v/>
      </c>
      <c r="BO34" s="23" t="str">
        <f>IFERROR(IFERROR(VLOOKUP($C34&amp;" "&amp;BO$1,Results!$G:$I,3,FALSE),-VLOOKUP($C34&amp;" "&amp;BO$1,Results!$H:$I,2,FALSE)),"")</f>
        <v/>
      </c>
      <c r="BP34" s="23" t="str">
        <f>IFERROR(IFERROR(VLOOKUP($C34&amp;" "&amp;BP$1,Results!$G:$I,3,FALSE),-VLOOKUP($C34&amp;" "&amp;BP$1,Results!$H:$I,2,FALSE)),"")</f>
        <v/>
      </c>
      <c r="BQ34" s="23" t="str">
        <f>IFERROR(IFERROR(VLOOKUP($C34&amp;" "&amp;BQ$1,Results!$G:$I,3,FALSE),-VLOOKUP($C34&amp;" "&amp;BQ$1,Results!$H:$I,2,FALSE)),"")</f>
        <v/>
      </c>
      <c r="BR34" s="23" t="str">
        <f>IFERROR(IFERROR(VLOOKUP($C34&amp;" "&amp;BR$1,Results!$G:$I,3,FALSE),-VLOOKUP($C34&amp;" "&amp;BR$1,Results!$H:$I,2,FALSE)),"")</f>
        <v/>
      </c>
      <c r="BS34" s="28" t="str">
        <f>IFERROR(IFERROR(VLOOKUP($C34&amp;" "&amp;BS$1,Results!$G:$I,3,FALSE),-VLOOKUP($C34&amp;" "&amp;BS$1,Results!$H:$I,2,FALSE)),"")</f>
        <v/>
      </c>
      <c r="BT34" s="28" t="str">
        <f>IFERROR(IFERROR(VLOOKUP($C34&amp;" "&amp;BT$1,Results!$G:$I,3,FALSE),-VLOOKUP($C34&amp;" "&amp;BT$1,Results!$H:$I,2,FALSE)),"")</f>
        <v/>
      </c>
      <c r="BU34" s="28" t="str">
        <f>IFERROR(IFERROR(VLOOKUP($C34&amp;" "&amp;BU$1,Results!$G:$I,3,FALSE),-VLOOKUP($C34&amp;" "&amp;BU$1,Results!$H:$I,2,FALSE)),"")</f>
        <v/>
      </c>
      <c r="BV34" s="28"/>
      <c r="BW34" s="111">
        <f t="shared" si="7"/>
        <v>-121</v>
      </c>
      <c r="BX34" s="15">
        <f t="shared" si="10"/>
        <v>0</v>
      </c>
      <c r="BY34" s="15">
        <f t="shared" si="11"/>
        <v>5</v>
      </c>
      <c r="BZ34" s="15">
        <f t="shared" si="12"/>
        <v>6</v>
      </c>
      <c r="CA34" s="90">
        <f t="shared" si="14"/>
        <v>0</v>
      </c>
      <c r="CC34" s="22">
        <f t="shared" si="4"/>
        <v>-121</v>
      </c>
      <c r="CE34" s="15">
        <v>35</v>
      </c>
      <c r="CF34" s="15">
        <f t="shared" si="5"/>
        <v>0</v>
      </c>
      <c r="CG34" s="15">
        <f t="shared" si="9"/>
        <v>35</v>
      </c>
    </row>
    <row r="35" spans="2:85" ht="12.75" customHeight="1" thickBot="1">
      <c r="B35" s="15">
        <v>32</v>
      </c>
      <c r="C35" s="32" t="s">
        <v>105</v>
      </c>
      <c r="D35" s="8"/>
      <c r="E35" s="8">
        <f>IF(AND(BA35&gt;0,$A35&lt;VLOOKUP(BA$1,$C:$L,10,FALSE)),1,IF(AND(BA35&lt;0,$A35&gt;VLOOKUP(BA$1,$C:$L,10,FALSE)),1,0))</f>
        <v>0</v>
      </c>
      <c r="F35" s="8">
        <f>IF(AND(BB35&gt;0,$A35&lt;VLOOKUP(BB$1,$C:$L,10,FALSE)),1,IF(AND(BB35&lt;0,$A35&gt;VLOOKUP(BB$1,$C:$L,10,FALSE)),1,0))</f>
        <v>0</v>
      </c>
      <c r="G35" s="8">
        <f>IF(AND(BC35&gt;0,$A35&lt;VLOOKUP(BC$1,$C:$L,10,FALSE)),1,IF(AND(BC35&lt;0,$A35&gt;VLOOKUP(BC$1,$C:$L,10,FALSE)),1,0))</f>
        <v>0</v>
      </c>
      <c r="H35" s="8">
        <f>IF(AND(BE35&gt;0,$A35&lt;VLOOKUP(BE$1,$C:$L,10,FALSE)),1,IF(AND(BE35&lt;0,$A35&gt;VLOOKUP(BE$1,$C:$L,10,FALSE)),1,0))</f>
        <v>0</v>
      </c>
      <c r="I35" s="8">
        <f>IF(AND(BF35&gt;0,$A35&lt;VLOOKUP(BF$1,$C:$L,10,FALSE)),1,IF(AND(BF35&lt;0,$A35&gt;VLOOKUP(BF$1,$C:$L,10,FALSE)),1,0))</f>
        <v>0</v>
      </c>
      <c r="J35" s="8">
        <f>IF(AND(BG35&gt;0,$A35&lt;VLOOKUP(BG$1,$C:$L,10,FALSE)),1,IF(AND(BG35&lt;0,$A35&gt;VLOOKUP(BG$1,$C:$L,10,FALSE)),1,0))</f>
        <v>0</v>
      </c>
      <c r="K35" s="108" t="s">
        <v>135</v>
      </c>
      <c r="L35" s="8">
        <f t="shared" si="0"/>
        <v>0</v>
      </c>
      <c r="M35" s="103">
        <v>8</v>
      </c>
      <c r="N35" s="17">
        <f t="shared" si="1"/>
        <v>5</v>
      </c>
      <c r="O35" s="2">
        <f t="shared" si="2"/>
        <v>1</v>
      </c>
      <c r="P35" s="2">
        <f t="shared" si="3"/>
        <v>0</v>
      </c>
      <c r="Q35" s="18">
        <f>COUNTIF($BA35:$BD35,"&gt;0")</f>
        <v>3</v>
      </c>
      <c r="R35" s="19">
        <f>COUNTIF($BA35:$BD35,"&lt;0")</f>
        <v>0</v>
      </c>
      <c r="S35" s="20">
        <f>COUNTIF($BA35:$BD35,"=0")</f>
        <v>0</v>
      </c>
      <c r="T35" s="2">
        <f t="shared" si="20"/>
        <v>0</v>
      </c>
      <c r="U35" s="2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 t="str">
        <f>IFERROR(IFERROR(VLOOKUP($C35&amp;" "&amp;AS$1,Results!$G:$I,3,FALSE),-VLOOKUP($C35&amp;" "&amp;AS$1,Results!$H:$I,2,FALSE)),"")</f>
        <v/>
      </c>
      <c r="AT35" s="14" t="str">
        <f>IFERROR(IFERROR(VLOOKUP($C35&amp;" "&amp;AT$1,Results!$G:$I,3,FALSE),-VLOOKUP($C35&amp;" "&amp;AT$1,Results!$H:$I,2,FALSE)),"")</f>
        <v/>
      </c>
      <c r="AU35" s="14" t="str">
        <f>IFERROR(IFERROR(VLOOKUP($C35&amp;" "&amp;AU$1,Results!$G:$I,3,FALSE),-VLOOKUP($C35&amp;" "&amp;AU$1,Results!$H:$I,2,FALSE)),"")</f>
        <v/>
      </c>
      <c r="AV35" s="14" t="str">
        <f>IFERROR(IFERROR(VLOOKUP($C35&amp;" "&amp;AV$1,Results!$G:$I,3,FALSE),-VLOOKUP($C35&amp;" "&amp;AV$1,Results!$H:$I,2,FALSE)),"")</f>
        <v/>
      </c>
      <c r="AW35" s="14" t="str">
        <f>IFERROR(IFERROR(VLOOKUP($C35&amp;" "&amp;AW$1,Results!$G:$I,3,FALSE),-VLOOKUP($C35&amp;" "&amp;AW$1,Results!$H:$I,2,FALSE)),"")</f>
        <v/>
      </c>
      <c r="AX35" s="14" t="str">
        <f>IFERROR(IFERROR(VLOOKUP($C35&amp;" "&amp;AX$1,Results!$G:$I,3,FALSE),-VLOOKUP($C35&amp;" "&amp;AX$1,Results!$H:$I,2,FALSE)),"")</f>
        <v/>
      </c>
      <c r="AY35" s="14" t="str">
        <f>IFERROR(IFERROR(VLOOKUP($C35&amp;" "&amp;AY$1,Results!$G:$I,3,FALSE),-VLOOKUP($C35&amp;" "&amp;AY$1,Results!$H:$I,2,FALSE)),"")</f>
        <v/>
      </c>
      <c r="AZ35" s="14" t="str">
        <f>IFERROR(IFERROR(VLOOKUP($C35&amp;" "&amp;AZ$1,Results!$G:$I,3,FALSE),-VLOOKUP($C35&amp;" "&amp;AZ$1,Results!$H:$I,2,FALSE)),"")</f>
        <v/>
      </c>
      <c r="BA35" s="68">
        <f>IFERROR(IFERROR(VLOOKUP($C35&amp;" "&amp;BA$1,Results!$G:$I,3,FALSE),-VLOOKUP($C35&amp;" "&amp;BA$1,Results!$H:$I,2,FALSE)),"")</f>
        <v>13</v>
      </c>
      <c r="BB35" s="69">
        <f>IFERROR(IFERROR(VLOOKUP($C35&amp;" "&amp;BB$1,Results!$G:$I,3,FALSE),-VLOOKUP($C35&amp;" "&amp;BB$1,Results!$H:$I,2,FALSE)),"")</f>
        <v>109</v>
      </c>
      <c r="BC35" s="69">
        <f>IFERROR(IFERROR(VLOOKUP($C35&amp;" "&amp;BC$1,Results!$G:$I,3,FALSE),-VLOOKUP($C35&amp;" "&amp;BC$1,Results!$H:$I,2,FALSE)),"")</f>
        <v>123</v>
      </c>
      <c r="BD35" s="35" t="str">
        <f>IFERROR(IFERROR(VLOOKUP($C35&amp;" "&amp;BD$1,Results!$G:$I,3,FALSE),-VLOOKUP($C35&amp;" "&amp;BD$1,Results!$H:$I,2,FALSE)),"")</f>
        <v/>
      </c>
      <c r="BE35" s="14">
        <f>IFERROR(IFERROR(VLOOKUP($C35&amp;" "&amp;BE$1,Results!$G:$I,3,FALSE),-VLOOKUP($C35&amp;" "&amp;BE$1,Results!$H:$I,2,FALSE)),"")</f>
        <v>-8</v>
      </c>
      <c r="BF35" s="14">
        <f>IFERROR(IFERROR(VLOOKUP($C35&amp;" "&amp;BF$1,Results!$G:$I,3,FALSE),-VLOOKUP($C35&amp;" "&amp;BF$1,Results!$H:$I,2,FALSE)),"")</f>
        <v>264</v>
      </c>
      <c r="BG35" s="14">
        <f>IFERROR(IFERROR(VLOOKUP($C35&amp;" "&amp;BG$1,Results!$G:$I,3,FALSE),-VLOOKUP($C35&amp;" "&amp;BG$1,Results!$H:$I,2,FALSE)),"")</f>
        <v>215</v>
      </c>
      <c r="BH35" s="14" t="str">
        <f>IFERROR(IFERROR(VLOOKUP($C35&amp;" "&amp;BH$1,Results!$G:$I,3,FALSE),-VLOOKUP($C35&amp;" "&amp;BH$1,Results!$H:$I,2,FALSE)),"")</f>
        <v/>
      </c>
      <c r="BI35" s="14" t="str">
        <f>IFERROR(IFERROR(VLOOKUP($C35&amp;" "&amp;BI$1,Results!$G:$I,3,FALSE),-VLOOKUP($C35&amp;" "&amp;BI$1,Results!$H:$I,2,FALSE)),"")</f>
        <v/>
      </c>
      <c r="BJ35" s="14" t="str">
        <f>IFERROR(IFERROR(VLOOKUP($C35&amp;" "&amp;BJ$1,Results!$G:$I,3,FALSE),-VLOOKUP($C35&amp;" "&amp;BJ$1,Results!$H:$I,2,FALSE)),"")</f>
        <v/>
      </c>
      <c r="BK35" s="30" t="str">
        <f>IFERROR(IFERROR(VLOOKUP($C35&amp;" "&amp;BK$1,Results!$G:$I,3,FALSE),-VLOOKUP($C35&amp;" "&amp;BK$1,Results!$H:$I,2,FALSE)),"")</f>
        <v/>
      </c>
      <c r="BL35" s="30" t="str">
        <f>IFERROR(IFERROR(VLOOKUP($C35&amp;" "&amp;BL$1,Results!$G:$I,3,FALSE),-VLOOKUP($C35&amp;" "&amp;BL$1,Results!$H:$I,2,FALSE)),"")</f>
        <v/>
      </c>
      <c r="BM35" s="30" t="str">
        <f>IFERROR(IFERROR(VLOOKUP($C35&amp;" "&amp;BM$1,Results!$G:$I,3,FALSE),-VLOOKUP($C35&amp;" "&amp;BM$1,Results!$H:$I,2,FALSE)),"")</f>
        <v/>
      </c>
      <c r="BN35" s="23" t="str">
        <f>IFERROR(IFERROR(VLOOKUP($C35&amp;" "&amp;BN$1,Results!$G:$I,3,FALSE),-VLOOKUP($C35&amp;" "&amp;BN$1,Results!$H:$I,2,FALSE)),"")</f>
        <v/>
      </c>
      <c r="BO35" s="23" t="str">
        <f>IFERROR(IFERROR(VLOOKUP($C35&amp;" "&amp;BO$1,Results!$G:$I,3,FALSE),-VLOOKUP($C35&amp;" "&amp;BO$1,Results!$H:$I,2,FALSE)),"")</f>
        <v/>
      </c>
      <c r="BP35" s="23" t="str">
        <f>IFERROR(IFERROR(VLOOKUP($C35&amp;" "&amp;BP$1,Results!$G:$I,3,FALSE),-VLOOKUP($C35&amp;" "&amp;BP$1,Results!$H:$I,2,FALSE)),"")</f>
        <v/>
      </c>
      <c r="BQ35" s="23" t="str">
        <f>IFERROR(IFERROR(VLOOKUP($C35&amp;" "&amp;BQ$1,Results!$G:$I,3,FALSE),-VLOOKUP($C35&amp;" "&amp;BQ$1,Results!$H:$I,2,FALSE)),"")</f>
        <v/>
      </c>
      <c r="BR35" s="23" t="str">
        <f>IFERROR(IFERROR(VLOOKUP($C35&amp;" "&amp;BR$1,Results!$G:$I,3,FALSE),-VLOOKUP($C35&amp;" "&amp;BR$1,Results!$H:$I,2,FALSE)),"")</f>
        <v/>
      </c>
      <c r="BS35" s="28" t="str">
        <f>IFERROR(IFERROR(VLOOKUP($C35&amp;" "&amp;BS$1,Results!$G:$I,3,FALSE),-VLOOKUP($C35&amp;" "&amp;BS$1,Results!$H:$I,2,FALSE)),"")</f>
        <v/>
      </c>
      <c r="BT35" s="28" t="str">
        <f>IFERROR(IFERROR(VLOOKUP($C35&amp;" "&amp;BT$1,Results!$G:$I,3,FALSE),-VLOOKUP($C35&amp;" "&amp;BT$1,Results!$H:$I,2,FALSE)),"")</f>
        <v/>
      </c>
      <c r="BU35" s="28" t="str">
        <f>IFERROR(IFERROR(VLOOKUP($C35&amp;" "&amp;BU$1,Results!$G:$I,3,FALSE),-VLOOKUP($C35&amp;" "&amp;BU$1,Results!$H:$I,2,FALSE)),"")</f>
        <v/>
      </c>
      <c r="BV35" s="28"/>
      <c r="BW35" s="111">
        <f t="shared" si="7"/>
        <v>716</v>
      </c>
      <c r="BX35" s="15">
        <f t="shared" si="10"/>
        <v>0</v>
      </c>
      <c r="BY35" s="15">
        <f t="shared" si="11"/>
        <v>5</v>
      </c>
      <c r="BZ35" s="15">
        <f t="shared" si="12"/>
        <v>6</v>
      </c>
      <c r="CA35" s="90">
        <f t="shared" si="14"/>
        <v>0</v>
      </c>
      <c r="CC35" s="22">
        <f t="shared" si="4"/>
        <v>716</v>
      </c>
      <c r="CE35" s="15">
        <v>32</v>
      </c>
      <c r="CF35" s="15">
        <f t="shared" si="5"/>
        <v>0</v>
      </c>
      <c r="CG35" s="15">
        <f t="shared" si="9"/>
        <v>32</v>
      </c>
    </row>
    <row r="36" spans="2:85" ht="12.75" customHeight="1">
      <c r="B36" s="15">
        <v>33</v>
      </c>
      <c r="C36" s="16" t="s">
        <v>35</v>
      </c>
      <c r="D36" s="8"/>
      <c r="E36" s="8">
        <f>IF(AND(BB36&gt;0,$A36&lt;VLOOKUP(BB$1,$C:$L,10,FALSE)),1,IF(AND(BB36&lt;0,$A36&gt;VLOOKUP(BB$1,$C:$L,10,FALSE)),1,0))</f>
        <v>0</v>
      </c>
      <c r="F36" s="8">
        <f>IF(AND(BC36&gt;0,$A36&lt;VLOOKUP(BC$1,$C:$L,10,FALSE)),1,IF(AND(BC36&lt;0,$A36&gt;VLOOKUP(BC$1,$C:$L,10,FALSE)),1,0))</f>
        <v>0</v>
      </c>
      <c r="G36" s="8">
        <f>IF(AND(BD36&gt;0,$A36&lt;VLOOKUP(BD$1,$C:$L,10,FALSE)),1,IF(AND(BD36&lt;0,$A36&gt;VLOOKUP(BD$1,$C:$L,10,FALSE)),1,0))</f>
        <v>0</v>
      </c>
      <c r="H36" s="8">
        <f>IF(AND(BF36&gt;0,$A36&lt;VLOOKUP(BF$1,$C:$L,10,FALSE)),1,IF(AND(BF36&lt;0,$A36&gt;VLOOKUP(BF$1,$C:$L,10,FALSE)),1,0))</f>
        <v>0</v>
      </c>
      <c r="I36" s="8">
        <f>IF(AND(BG36&gt;0,$A36&lt;VLOOKUP(BG$1,$C:$L,10,FALSE)),1,IF(AND(BG36&lt;0,$A36&gt;VLOOKUP(BG$1,$C:$L,10,FALSE)),1,0))</f>
        <v>0</v>
      </c>
      <c r="J36" s="8">
        <f>IF(AND(BH36&gt;0,$A36&lt;VLOOKUP(BH$1,$C:$L,10,FALSE)),1,IF(AND(BH36&lt;0,$A36&gt;VLOOKUP(BH$1,$C:$L,10,FALSE)),1,0))</f>
        <v>0</v>
      </c>
      <c r="K36" s="108" t="s">
        <v>135</v>
      </c>
      <c r="L36" s="8">
        <f t="shared" ref="L36:L52" si="21">A36</f>
        <v>0</v>
      </c>
      <c r="M36" s="2">
        <v>9</v>
      </c>
      <c r="N36" s="17">
        <f t="shared" ref="N36:N46" si="22">COUNTIF($V36:$BU36,"&gt;0")</f>
        <v>6</v>
      </c>
      <c r="O36" s="2">
        <f t="shared" ref="O36:O46" si="23">COUNTIF($V36:$BU36,"&lt;0")</f>
        <v>0</v>
      </c>
      <c r="P36" s="2">
        <f t="shared" ref="P36:P46" si="24">COUNTIF($V36:$BU36,"=0")</f>
        <v>0</v>
      </c>
      <c r="Q36" s="18">
        <f>COUNTIF($BE36:$BH36,"&gt;0")</f>
        <v>3</v>
      </c>
      <c r="R36" s="19">
        <f>COUNTIF($BE36:$BH36,"&lt;0")</f>
        <v>0</v>
      </c>
      <c r="S36" s="20">
        <f>COUNTIF($BE36:$BH36,"=0")</f>
        <v>0</v>
      </c>
      <c r="T36" s="2">
        <f>COUNTIF(V36:BJ36,"NC")</f>
        <v>0</v>
      </c>
      <c r="U36" s="2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 t="str">
        <f>IFERROR(IFERROR(VLOOKUP($C36&amp;" "&amp;AS$1,Results!$G:$I,3,FALSE),-VLOOKUP($C36&amp;" "&amp;AS$1,Results!$H:$I,2,FALSE)),"")</f>
        <v/>
      </c>
      <c r="AT36" s="14" t="str">
        <f>IFERROR(IFERROR(VLOOKUP($C36&amp;" "&amp;AT$1,Results!$G:$I,3,FALSE),-VLOOKUP($C36&amp;" "&amp;AT$1,Results!$H:$I,2,FALSE)),"")</f>
        <v/>
      </c>
      <c r="AU36" s="14" t="str">
        <f>IFERROR(IFERROR(VLOOKUP($C36&amp;" "&amp;AU$1,Results!$G:$I,3,FALSE),-VLOOKUP($C36&amp;" "&amp;AU$1,Results!$H:$I,2,FALSE)),"")</f>
        <v/>
      </c>
      <c r="AV36" s="14" t="str">
        <f>IFERROR(IFERROR(VLOOKUP($C36&amp;" "&amp;AV$1,Results!$G:$I,3,FALSE),-VLOOKUP($C36&amp;" "&amp;AV$1,Results!$H:$I,2,FALSE)),"")</f>
        <v/>
      </c>
      <c r="AW36" s="14" t="str">
        <f>IFERROR(IFERROR(VLOOKUP($C36&amp;" "&amp;AW$1,Results!$G:$I,3,FALSE),-VLOOKUP($C36&amp;" "&amp;AW$1,Results!$H:$I,2,FALSE)),"")</f>
        <v/>
      </c>
      <c r="AX36" s="14" t="str">
        <f>IFERROR(IFERROR(VLOOKUP($C36&amp;" "&amp;AX$1,Results!$G:$I,3,FALSE),-VLOOKUP($C36&amp;" "&amp;AX$1,Results!$H:$I,2,FALSE)),"")</f>
        <v/>
      </c>
      <c r="AY36" s="14" t="str">
        <f>IFERROR(IFERROR(VLOOKUP($C36&amp;" "&amp;AY$1,Results!$G:$I,3,FALSE),-VLOOKUP($C36&amp;" "&amp;AY$1,Results!$H:$I,2,FALSE)),"")</f>
        <v/>
      </c>
      <c r="AZ36" s="14" t="str">
        <f>IFERROR(IFERROR(VLOOKUP($C36&amp;" "&amp;AZ$1,Results!$G:$I,3,FALSE),-VLOOKUP($C36&amp;" "&amp;AZ$1,Results!$H:$I,2,FALSE)),"")</f>
        <v/>
      </c>
      <c r="BA36" s="14" t="str">
        <f>IFERROR(IFERROR(VLOOKUP($C36&amp;" "&amp;BA$1,Results!$G:$I,3,FALSE),-VLOOKUP($C36&amp;" "&amp;BA$1,Results!$H:$I,2,FALSE)),"")</f>
        <v/>
      </c>
      <c r="BB36" s="14">
        <f>IFERROR(IFERROR(VLOOKUP($C36&amp;" "&amp;BB$1,Results!$G:$I,3,FALSE),-VLOOKUP($C36&amp;" "&amp;BB$1,Results!$H:$I,2,FALSE)),"")</f>
        <v>67</v>
      </c>
      <c r="BC36" s="14">
        <f>IFERROR(IFERROR(VLOOKUP($C36&amp;" "&amp;BC$1,Results!$G:$I,3,FALSE),-VLOOKUP($C36&amp;" "&amp;BC$1,Results!$H:$I,2,FALSE)),"")</f>
        <v>146</v>
      </c>
      <c r="BD36" s="14">
        <f>IFERROR(IFERROR(VLOOKUP($C36&amp;" "&amp;BD$1,Results!$G:$I,3,FALSE),-VLOOKUP($C36&amp;" "&amp;BD$1,Results!$H:$I,2,FALSE)),"")</f>
        <v>8</v>
      </c>
      <c r="BE36" s="33" t="str">
        <f>IFERROR(IFERROR(VLOOKUP($C36&amp;" "&amp;BE$1,Results!$G:$I,3,FALSE),-VLOOKUP($C36&amp;" "&amp;BE$1,Results!$H:$I,2,FALSE)),"")</f>
        <v/>
      </c>
      <c r="BF36" s="64">
        <f>IFERROR(IFERROR(VLOOKUP($C36&amp;" "&amp;BF$1,Results!$G:$I,3,FALSE),-VLOOKUP($C36&amp;" "&amp;BF$1,Results!$H:$I,2,FALSE)),"")</f>
        <v>200</v>
      </c>
      <c r="BG36" s="64">
        <f>IFERROR(IFERROR(VLOOKUP($C36&amp;" "&amp;BG$1,Results!$G:$I,3,FALSE),-VLOOKUP($C36&amp;" "&amp;BG$1,Results!$H:$I,2,FALSE)),"")</f>
        <v>197</v>
      </c>
      <c r="BH36" s="65">
        <f>IFERROR(IFERROR(VLOOKUP($C36&amp;" "&amp;BH$1,Results!$G:$I,3,FALSE),-VLOOKUP($C36&amp;" "&amp;BH$1,Results!$H:$I,2,FALSE)),"")</f>
        <v>215</v>
      </c>
      <c r="BI36" s="14" t="str">
        <f>IFERROR(IFERROR(VLOOKUP($C36&amp;" "&amp;BI$1,Results!$G:$I,3,FALSE),-VLOOKUP($C36&amp;" "&amp;BI$1,Results!$H:$I,2,FALSE)),"")</f>
        <v/>
      </c>
      <c r="BJ36" s="14" t="str">
        <f>IFERROR(IFERROR(VLOOKUP($C36&amp;" "&amp;BJ$1,Results!$G:$I,3,FALSE),-VLOOKUP($C36&amp;" "&amp;BJ$1,Results!$H:$I,2,FALSE)),"")</f>
        <v/>
      </c>
      <c r="BK36" s="14" t="str">
        <f>IFERROR(IFERROR(VLOOKUP($C36&amp;" "&amp;BK$1,Results!$G:$I,3,FALSE),-VLOOKUP($C36&amp;" "&amp;BK$1,Results!$H:$I,2,FALSE)),"")</f>
        <v/>
      </c>
      <c r="BL36" s="14" t="str">
        <f>IFERROR(IFERROR(VLOOKUP($C36&amp;" "&amp;BL$1,Results!$G:$I,3,FALSE),-VLOOKUP($C36&amp;" "&amp;BL$1,Results!$H:$I,2,FALSE)),"")</f>
        <v/>
      </c>
      <c r="BM36" s="14" t="str">
        <f>IFERROR(IFERROR(VLOOKUP($C36&amp;" "&amp;BM$1,Results!$G:$I,3,FALSE),-VLOOKUP($C36&amp;" "&amp;BM$1,Results!$H:$I,2,FALSE)),"")</f>
        <v/>
      </c>
      <c r="BN36" s="2" t="str">
        <f>IFERROR(IFERROR(VLOOKUP($C36&amp;" "&amp;BN$1,Results!$G:$I,3,FALSE),-VLOOKUP($C36&amp;" "&amp;BN$1,Results!$H:$I,2,FALSE)),"")</f>
        <v/>
      </c>
      <c r="BO36" s="2" t="str">
        <f>IFERROR(IFERROR(VLOOKUP($C36&amp;" "&amp;BO$1,Results!$G:$I,3,FALSE),-VLOOKUP($C36&amp;" "&amp;BO$1,Results!$H:$I,2,FALSE)),"")</f>
        <v/>
      </c>
      <c r="BP36" s="2" t="str">
        <f>IFERROR(IFERROR(VLOOKUP($C36&amp;" "&amp;BP$1,Results!$G:$I,3,FALSE),-VLOOKUP($C36&amp;" "&amp;BP$1,Results!$H:$I,2,FALSE)),"")</f>
        <v/>
      </c>
      <c r="BQ36" s="2" t="str">
        <f>IFERROR(IFERROR(VLOOKUP($C36&amp;" "&amp;BQ$1,Results!$G:$I,3,FALSE),-VLOOKUP($C36&amp;" "&amp;BQ$1,Results!$H:$I,2,FALSE)),"")</f>
        <v/>
      </c>
      <c r="BR36" s="2" t="str">
        <f>IFERROR(IFERROR(VLOOKUP($C36&amp;" "&amp;BR$1,Results!$G:$I,3,FALSE),-VLOOKUP($C36&amp;" "&amp;BR$1,Results!$H:$I,2,FALSE)),"")</f>
        <v/>
      </c>
      <c r="BS36" s="21" t="str">
        <f>IFERROR(IFERROR(VLOOKUP($C36&amp;" "&amp;BS$1,Results!$G:$I,3,FALSE),-VLOOKUP($C36&amp;" "&amp;BS$1,Results!$H:$I,2,FALSE)),"")</f>
        <v/>
      </c>
      <c r="BT36" s="21" t="str">
        <f>IFERROR(IFERROR(VLOOKUP($C36&amp;" "&amp;BT$1,Results!$G:$I,3,FALSE),-VLOOKUP($C36&amp;" "&amp;BT$1,Results!$H:$I,2,FALSE)),"")</f>
        <v/>
      </c>
      <c r="BU36" s="21" t="str">
        <f>IFERROR(IFERROR(VLOOKUP($C36&amp;" "&amp;BU$1,Results!$G:$I,3,FALSE),-VLOOKUP($C36&amp;" "&amp;BU$1,Results!$H:$I,2,FALSE)),"")</f>
        <v/>
      </c>
      <c r="BV36" s="21"/>
      <c r="BW36" s="111">
        <f t="shared" si="7"/>
        <v>833</v>
      </c>
      <c r="BX36" s="15">
        <f t="shared" si="10"/>
        <v>0</v>
      </c>
      <c r="BY36" s="15">
        <f t="shared" si="11"/>
        <v>5</v>
      </c>
      <c r="BZ36" s="15">
        <f t="shared" si="12"/>
        <v>6</v>
      </c>
      <c r="CA36" s="90">
        <f t="shared" si="14"/>
        <v>0</v>
      </c>
      <c r="CC36" s="22">
        <f t="shared" ref="CC36:CC52" si="25">SUM(V36:BU36)</f>
        <v>833</v>
      </c>
      <c r="CE36" s="15">
        <v>31</v>
      </c>
      <c r="CF36" s="15">
        <f t="shared" ref="CF36:CF52" si="26">A36</f>
        <v>0</v>
      </c>
      <c r="CG36" s="15">
        <f t="shared" si="9"/>
        <v>31</v>
      </c>
    </row>
    <row r="37" spans="2:85" ht="12.75" customHeight="1">
      <c r="B37" s="15">
        <v>34</v>
      </c>
      <c r="C37" s="16" t="s">
        <v>33</v>
      </c>
      <c r="D37" s="8"/>
      <c r="E37" s="8">
        <f>IF(AND(BC37&gt;0,$A37&lt;VLOOKUP(BC$1,$C:$L,10,FALSE)),1,IF(AND(BC37&lt;0,$A37&gt;VLOOKUP(BC$1,$C:$L,10,FALSE)),1,0))</f>
        <v>0</v>
      </c>
      <c r="F37" s="8">
        <f>IF(AND(BD37&gt;0,$A37&lt;VLOOKUP(BD$1,$C:$L,10,FALSE)),1,IF(AND(BD37&lt;0,$A37&gt;VLOOKUP(BD$1,$C:$L,10,FALSE)),1,0))</f>
        <v>0</v>
      </c>
      <c r="G37" s="8">
        <f>IF(AND(BE37&gt;0,$A37&lt;VLOOKUP(BE$1,$C:$L,10,FALSE)),1,IF(AND(BE37&lt;0,$A37&gt;VLOOKUP(BE$1,$C:$L,10,FALSE)),1,0))</f>
        <v>0</v>
      </c>
      <c r="H37" s="8">
        <f>IF(AND(BG37&gt;0,$A37&lt;VLOOKUP(BG$1,$C:$L,10,FALSE)),1,IF(AND(BG37&lt;0,$A37&gt;VLOOKUP(BG$1,$C:$L,10,FALSE)),1,0))</f>
        <v>0</v>
      </c>
      <c r="I37" s="8">
        <f>IF(AND(BH37&gt;0,$A37&lt;VLOOKUP(BH$1,$C:$L,10,FALSE)),1,IF(AND(BH37&lt;0,$A37&gt;VLOOKUP(BH$1,$C:$L,10,FALSE)),1,0))</f>
        <v>0</v>
      </c>
      <c r="J37" s="8">
        <f>IF(AND(BI37&gt;0,$A37&lt;VLOOKUP(BI$1,$C:$L,10,FALSE)),1,IF(AND(BI37&lt;0,$A37&gt;VLOOKUP(BI$1,$C:$L,10,FALSE)),1,0))</f>
        <v>0</v>
      </c>
      <c r="K37" s="108" t="s">
        <v>135</v>
      </c>
      <c r="L37" s="8">
        <f t="shared" si="21"/>
        <v>0</v>
      </c>
      <c r="M37" s="2">
        <v>9</v>
      </c>
      <c r="N37" s="17">
        <f t="shared" si="22"/>
        <v>1</v>
      </c>
      <c r="O37" s="2">
        <f t="shared" si="23"/>
        <v>5</v>
      </c>
      <c r="P37" s="2">
        <f t="shared" si="24"/>
        <v>0</v>
      </c>
      <c r="Q37" s="18">
        <f>COUNTIF($BE37:$BH37,"&gt;0")</f>
        <v>1</v>
      </c>
      <c r="R37" s="19">
        <f>COUNTIF($BE37:$BH37,"&lt;0")</f>
        <v>2</v>
      </c>
      <c r="S37" s="20">
        <f>COUNTIF($BE37:$BH37,"=0")</f>
        <v>0</v>
      </c>
      <c r="T37" s="2">
        <f t="shared" ref="T37:T41" si="27">COUNTIF(V37:BJ37,"NC")</f>
        <v>0</v>
      </c>
      <c r="U37" s="2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 t="str">
        <f>IFERROR(IFERROR(VLOOKUP($C37&amp;" "&amp;AS$1,Results!$G:$I,3,FALSE),-VLOOKUP($C37&amp;" "&amp;AS$1,Results!$H:$I,2,FALSE)),"")</f>
        <v/>
      </c>
      <c r="AT37" s="14" t="str">
        <f>IFERROR(IFERROR(VLOOKUP($C37&amp;" "&amp;AT$1,Results!$G:$I,3,FALSE),-VLOOKUP($C37&amp;" "&amp;AT$1,Results!$H:$I,2,FALSE)),"")</f>
        <v/>
      </c>
      <c r="AU37" s="14" t="str">
        <f>IFERROR(IFERROR(VLOOKUP($C37&amp;" "&amp;AU$1,Results!$G:$I,3,FALSE),-VLOOKUP($C37&amp;" "&amp;AU$1,Results!$H:$I,2,FALSE)),"")</f>
        <v/>
      </c>
      <c r="AV37" s="14" t="str">
        <f>IFERROR(IFERROR(VLOOKUP($C37&amp;" "&amp;AV$1,Results!$G:$I,3,FALSE),-VLOOKUP($C37&amp;" "&amp;AV$1,Results!$H:$I,2,FALSE)),"")</f>
        <v/>
      </c>
      <c r="AW37" s="14" t="str">
        <f>IFERROR(IFERROR(VLOOKUP($C37&amp;" "&amp;AW$1,Results!$G:$I,3,FALSE),-VLOOKUP($C37&amp;" "&amp;AW$1,Results!$H:$I,2,FALSE)),"")</f>
        <v/>
      </c>
      <c r="AX37" s="14" t="str">
        <f>IFERROR(IFERROR(VLOOKUP($C37&amp;" "&amp;AX$1,Results!$G:$I,3,FALSE),-VLOOKUP($C37&amp;" "&amp;AX$1,Results!$H:$I,2,FALSE)),"")</f>
        <v/>
      </c>
      <c r="AY37" s="14" t="str">
        <f>IFERROR(IFERROR(VLOOKUP($C37&amp;" "&amp;AY$1,Results!$G:$I,3,FALSE),-VLOOKUP($C37&amp;" "&amp;AY$1,Results!$H:$I,2,FALSE)),"")</f>
        <v/>
      </c>
      <c r="AZ37" s="14" t="str">
        <f>IFERROR(IFERROR(VLOOKUP($C37&amp;" "&amp;AZ$1,Results!$G:$I,3,FALSE),-VLOOKUP($C37&amp;" "&amp;AZ$1,Results!$H:$I,2,FALSE)),"")</f>
        <v/>
      </c>
      <c r="BA37" s="14" t="str">
        <f>IFERROR(IFERROR(VLOOKUP($C37&amp;" "&amp;BA$1,Results!$G:$I,3,FALSE),-VLOOKUP($C37&amp;" "&amp;BA$1,Results!$H:$I,2,FALSE)),"")</f>
        <v/>
      </c>
      <c r="BB37" s="14" t="str">
        <f>IFERROR(IFERROR(VLOOKUP($C37&amp;" "&amp;BB$1,Results!$G:$I,3,FALSE),-VLOOKUP($C37&amp;" "&amp;BB$1,Results!$H:$I,2,FALSE)),"")</f>
        <v/>
      </c>
      <c r="BC37" s="14">
        <f>IFERROR(IFERROR(VLOOKUP($C37&amp;" "&amp;BC$1,Results!$G:$I,3,FALSE),-VLOOKUP($C37&amp;" "&amp;BC$1,Results!$H:$I,2,FALSE)),"")</f>
        <v>-168</v>
      </c>
      <c r="BD37" s="14">
        <f>IFERROR(IFERROR(VLOOKUP($C37&amp;" "&amp;BD$1,Results!$G:$I,3,FALSE),-VLOOKUP($C37&amp;" "&amp;BD$1,Results!$H:$I,2,FALSE)),"")</f>
        <v>-264</v>
      </c>
      <c r="BE37" s="66">
        <f>IFERROR(IFERROR(VLOOKUP($C37&amp;" "&amp;BE$1,Results!$G:$I,3,FALSE),-VLOOKUP($C37&amp;" "&amp;BE$1,Results!$H:$I,2,FALSE)),"")</f>
        <v>-200</v>
      </c>
      <c r="BF37" s="34" t="str">
        <f>IFERROR(IFERROR(VLOOKUP($C37&amp;" "&amp;BF$1,Results!$G:$I,3,FALSE),-VLOOKUP($C37&amp;" "&amp;BF$1,Results!$H:$I,2,FALSE)),"")</f>
        <v/>
      </c>
      <c r="BG37" s="34">
        <f>IFERROR(IFERROR(VLOOKUP($C37&amp;" "&amp;BG$1,Results!$G:$I,3,FALSE),-VLOOKUP($C37&amp;" "&amp;BG$1,Results!$H:$I,2,FALSE)),"")</f>
        <v>-44</v>
      </c>
      <c r="BH37" s="104">
        <f>IFERROR(IFERROR(VLOOKUP($C37&amp;" "&amp;BH$1,Results!$G:$I,3,FALSE),-VLOOKUP($C37&amp;" "&amp;BH$1,Results!$H:$I,2,FALSE)),"")</f>
        <v>6</v>
      </c>
      <c r="BI37" s="14">
        <f>IFERROR(IFERROR(VLOOKUP($C37&amp;" "&amp;BI$1,Results!$G:$I,3,FALSE),-VLOOKUP($C37&amp;" "&amp;BI$1,Results!$H:$I,2,FALSE)),"")</f>
        <v>-230</v>
      </c>
      <c r="BJ37" s="14" t="str">
        <f>IFERROR(IFERROR(VLOOKUP($C37&amp;" "&amp;BJ$1,Results!$G:$I,3,FALSE),-VLOOKUP($C37&amp;" "&amp;BJ$1,Results!$H:$I,2,FALSE)),"")</f>
        <v/>
      </c>
      <c r="BK37" s="14" t="str">
        <f>IFERROR(IFERROR(VLOOKUP($C37&amp;" "&amp;BK$1,Results!$G:$I,3,FALSE),-VLOOKUP($C37&amp;" "&amp;BK$1,Results!$H:$I,2,FALSE)),"")</f>
        <v/>
      </c>
      <c r="BL37" s="14" t="str">
        <f>IFERROR(IFERROR(VLOOKUP($C37&amp;" "&amp;BL$1,Results!$G:$I,3,FALSE),-VLOOKUP($C37&amp;" "&amp;BL$1,Results!$H:$I,2,FALSE)),"")</f>
        <v/>
      </c>
      <c r="BM37" s="14" t="str">
        <f>IFERROR(IFERROR(VLOOKUP($C37&amp;" "&amp;BM$1,Results!$G:$I,3,FALSE),-VLOOKUP($C37&amp;" "&amp;BM$1,Results!$H:$I,2,FALSE)),"")</f>
        <v/>
      </c>
      <c r="BN37" s="2" t="str">
        <f>IFERROR(IFERROR(VLOOKUP($C37&amp;" "&amp;BN$1,Results!$G:$I,3,FALSE),-VLOOKUP($C37&amp;" "&amp;BN$1,Results!$H:$I,2,FALSE)),"")</f>
        <v/>
      </c>
      <c r="BO37" s="2" t="str">
        <f>IFERROR(IFERROR(VLOOKUP($C37&amp;" "&amp;BO$1,Results!$G:$I,3,FALSE),-VLOOKUP($C37&amp;" "&amp;BO$1,Results!$H:$I,2,FALSE)),"")</f>
        <v/>
      </c>
      <c r="BP37" s="2" t="str">
        <f>IFERROR(IFERROR(VLOOKUP($C37&amp;" "&amp;BP$1,Results!$G:$I,3,FALSE),-VLOOKUP($C37&amp;" "&amp;BP$1,Results!$H:$I,2,FALSE)),"")</f>
        <v/>
      </c>
      <c r="BQ37" s="2" t="str">
        <f>IFERROR(IFERROR(VLOOKUP($C37&amp;" "&amp;BQ$1,Results!$G:$I,3,FALSE),-VLOOKUP($C37&amp;" "&amp;BQ$1,Results!$H:$I,2,FALSE)),"")</f>
        <v/>
      </c>
      <c r="BR37" s="2" t="str">
        <f>IFERROR(IFERROR(VLOOKUP($C37&amp;" "&amp;BR$1,Results!$G:$I,3,FALSE),-VLOOKUP($C37&amp;" "&amp;BR$1,Results!$H:$I,2,FALSE)),"")</f>
        <v/>
      </c>
      <c r="BS37" s="21" t="str">
        <f>IFERROR(IFERROR(VLOOKUP($C37&amp;" "&amp;BS$1,Results!$G:$I,3,FALSE),-VLOOKUP($C37&amp;" "&amp;BS$1,Results!$H:$I,2,FALSE)),"")</f>
        <v/>
      </c>
      <c r="BT37" s="21" t="str">
        <f>IFERROR(IFERROR(VLOOKUP($C37&amp;" "&amp;BT$1,Results!$G:$I,3,FALSE),-VLOOKUP($C37&amp;" "&amp;BT$1,Results!$H:$I,2,FALSE)),"")</f>
        <v/>
      </c>
      <c r="BU37" s="21" t="str">
        <f>IFERROR(IFERROR(VLOOKUP($C37&amp;" "&amp;BU$1,Results!$G:$I,3,FALSE),-VLOOKUP($C37&amp;" "&amp;BU$1,Results!$H:$I,2,FALSE)),"")</f>
        <v/>
      </c>
      <c r="BV37" s="21"/>
      <c r="BW37" s="111">
        <f t="shared" si="7"/>
        <v>-900</v>
      </c>
      <c r="BX37" s="15">
        <f t="shared" si="10"/>
        <v>0</v>
      </c>
      <c r="BY37" s="15">
        <f t="shared" si="11"/>
        <v>5</v>
      </c>
      <c r="BZ37" s="15">
        <f t="shared" si="12"/>
        <v>6</v>
      </c>
      <c r="CA37" s="90">
        <f t="shared" si="14"/>
        <v>0</v>
      </c>
      <c r="CC37" s="22">
        <f t="shared" si="25"/>
        <v>-900</v>
      </c>
      <c r="CE37" s="15">
        <v>34</v>
      </c>
      <c r="CF37" s="15">
        <f t="shared" si="26"/>
        <v>0</v>
      </c>
      <c r="CG37" s="15">
        <f t="shared" si="9"/>
        <v>34</v>
      </c>
    </row>
    <row r="38" spans="2:85" ht="12.75" customHeight="1">
      <c r="B38" s="15">
        <v>35</v>
      </c>
      <c r="C38" s="16" t="s">
        <v>28</v>
      </c>
      <c r="D38" s="8"/>
      <c r="E38" s="8">
        <f>IF(AND(BD38&gt;0,$A38&lt;VLOOKUP(BD$1,$C:$L,10,FALSE)),1,IF(AND(BD38&lt;0,$A38&gt;VLOOKUP(BD$1,$C:$L,10,FALSE)),1,0))</f>
        <v>0</v>
      </c>
      <c r="F38" s="8">
        <f>IF(AND(BE38&gt;0,$A38&lt;VLOOKUP(BE$1,$C:$L,10,FALSE)),1,IF(AND(BE38&lt;0,$A38&gt;VLOOKUP(BE$1,$C:$L,10,FALSE)),1,0))</f>
        <v>0</v>
      </c>
      <c r="G38" s="8">
        <f>IF(AND(BF38&gt;0,$A38&lt;VLOOKUP(BF$1,$C:$L,10,FALSE)),1,IF(AND(BF38&lt;0,$A38&gt;VLOOKUP(BF$1,$C:$L,10,FALSE)),1,0))</f>
        <v>0</v>
      </c>
      <c r="H38" s="8">
        <f>IF(AND(BH38&gt;0,$A38&lt;VLOOKUP(BH$1,$C:$L,10,FALSE)),1,IF(AND(BH38&lt;0,$A38&gt;VLOOKUP(BH$1,$C:$L,10,FALSE)),1,0))</f>
        <v>0</v>
      </c>
      <c r="I38" s="8">
        <f>IF(AND(BI38&gt;0,$A38&lt;VLOOKUP(BI$1,$C:$L,10,FALSE)),1,IF(AND(BI38&lt;0,$A38&gt;VLOOKUP(BI$1,$C:$L,10,FALSE)),1,0))</f>
        <v>0</v>
      </c>
      <c r="J38" s="8">
        <f>IF(AND(BJ38&gt;0,$A38&lt;VLOOKUP(BJ$1,$C:$L,10,FALSE)),1,IF(AND(BJ38&lt;0,$A38&gt;VLOOKUP(BJ$1,$C:$L,10,FALSE)),1,0))</f>
        <v>0</v>
      </c>
      <c r="K38" s="108" t="s">
        <v>135</v>
      </c>
      <c r="L38" s="8">
        <f t="shared" si="21"/>
        <v>0</v>
      </c>
      <c r="M38" s="2">
        <v>9</v>
      </c>
      <c r="N38" s="17">
        <f t="shared" si="22"/>
        <v>2</v>
      </c>
      <c r="O38" s="2">
        <f t="shared" si="23"/>
        <v>4</v>
      </c>
      <c r="P38" s="2">
        <f t="shared" si="24"/>
        <v>0</v>
      </c>
      <c r="Q38" s="18">
        <f>COUNTIF($BE38:$BH38,"&gt;0")</f>
        <v>2</v>
      </c>
      <c r="R38" s="19">
        <f>COUNTIF($BE38:$BH38,"&lt;0")</f>
        <v>1</v>
      </c>
      <c r="S38" s="20">
        <f>COUNTIF($BE38:$BH38,"=0")</f>
        <v>0</v>
      </c>
      <c r="T38" s="2">
        <f t="shared" si="27"/>
        <v>0</v>
      </c>
      <c r="U38" s="2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 t="str">
        <f>IFERROR(IFERROR(VLOOKUP($C38&amp;" "&amp;AS$1,Results!$G:$I,3,FALSE),-VLOOKUP($C38&amp;" "&amp;AS$1,Results!$H:$I,2,FALSE)),"")</f>
        <v/>
      </c>
      <c r="AT38" s="14" t="str">
        <f>IFERROR(IFERROR(VLOOKUP($C38&amp;" "&amp;AT$1,Results!$G:$I,3,FALSE),-VLOOKUP($C38&amp;" "&amp;AT$1,Results!$H:$I,2,FALSE)),"")</f>
        <v/>
      </c>
      <c r="AU38" s="14" t="str">
        <f>IFERROR(IFERROR(VLOOKUP($C38&amp;" "&amp;AU$1,Results!$G:$I,3,FALSE),-VLOOKUP($C38&amp;" "&amp;AU$1,Results!$H:$I,2,FALSE)),"")</f>
        <v/>
      </c>
      <c r="AV38" s="14" t="str">
        <f>IFERROR(IFERROR(VLOOKUP($C38&amp;" "&amp;AV$1,Results!$G:$I,3,FALSE),-VLOOKUP($C38&amp;" "&amp;AV$1,Results!$H:$I,2,FALSE)),"")</f>
        <v/>
      </c>
      <c r="AW38" s="14" t="str">
        <f>IFERROR(IFERROR(VLOOKUP($C38&amp;" "&amp;AW$1,Results!$G:$I,3,FALSE),-VLOOKUP($C38&amp;" "&amp;AW$1,Results!$H:$I,2,FALSE)),"")</f>
        <v/>
      </c>
      <c r="AX38" s="14" t="str">
        <f>IFERROR(IFERROR(VLOOKUP($C38&amp;" "&amp;AX$1,Results!$G:$I,3,FALSE),-VLOOKUP($C38&amp;" "&amp;AX$1,Results!$H:$I,2,FALSE)),"")</f>
        <v/>
      </c>
      <c r="AY38" s="14" t="str">
        <f>IFERROR(IFERROR(VLOOKUP($C38&amp;" "&amp;AY$1,Results!$G:$I,3,FALSE),-VLOOKUP($C38&amp;" "&amp;AY$1,Results!$H:$I,2,FALSE)),"")</f>
        <v/>
      </c>
      <c r="AZ38" s="14" t="str">
        <f>IFERROR(IFERROR(VLOOKUP($C38&amp;" "&amp;AZ$1,Results!$G:$I,3,FALSE),-VLOOKUP($C38&amp;" "&amp;AZ$1,Results!$H:$I,2,FALSE)),"")</f>
        <v/>
      </c>
      <c r="BA38" s="14" t="str">
        <f>IFERROR(IFERROR(VLOOKUP($C38&amp;" "&amp;BA$1,Results!$G:$I,3,FALSE),-VLOOKUP($C38&amp;" "&amp;BA$1,Results!$H:$I,2,FALSE)),"")</f>
        <v/>
      </c>
      <c r="BB38" s="14" t="str">
        <f>IFERROR(IFERROR(VLOOKUP($C38&amp;" "&amp;BB$1,Results!$G:$I,3,FALSE),-VLOOKUP($C38&amp;" "&amp;BB$1,Results!$H:$I,2,FALSE)),"")</f>
        <v/>
      </c>
      <c r="BC38" s="14" t="str">
        <f>IFERROR(IFERROR(VLOOKUP($C38&amp;" "&amp;BC$1,Results!$G:$I,3,FALSE),-VLOOKUP($C38&amp;" "&amp;BC$1,Results!$H:$I,2,FALSE)),"")</f>
        <v/>
      </c>
      <c r="BD38" s="14">
        <f>IFERROR(IFERROR(VLOOKUP($C38&amp;" "&amp;BD$1,Results!$G:$I,3,FALSE),-VLOOKUP($C38&amp;" "&amp;BD$1,Results!$H:$I,2,FALSE)),"")</f>
        <v>-215</v>
      </c>
      <c r="BE38" s="66">
        <f>IFERROR(IFERROR(VLOOKUP($C38&amp;" "&amp;BE$1,Results!$G:$I,3,FALSE),-VLOOKUP($C38&amp;" "&amp;BE$1,Results!$H:$I,2,FALSE)),"")</f>
        <v>-197</v>
      </c>
      <c r="BF38" s="34">
        <f>IFERROR(IFERROR(VLOOKUP($C38&amp;" "&amp;BF$1,Results!$G:$I,3,FALSE),-VLOOKUP($C38&amp;" "&amp;BF$1,Results!$H:$I,2,FALSE)),"")</f>
        <v>44</v>
      </c>
      <c r="BG38" s="34" t="str">
        <f>IFERROR(IFERROR(VLOOKUP($C38&amp;" "&amp;BG$1,Results!$G:$I,3,FALSE),-VLOOKUP($C38&amp;" "&amp;BG$1,Results!$H:$I,2,FALSE)),"")</f>
        <v/>
      </c>
      <c r="BH38" s="67">
        <f>IFERROR(IFERROR(VLOOKUP($C38&amp;" "&amp;BH$1,Results!$G:$I,3,FALSE),-VLOOKUP($C38&amp;" "&amp;BH$1,Results!$H:$I,2,FALSE)),"")</f>
        <v>35</v>
      </c>
      <c r="BI38" s="14">
        <f>IFERROR(IFERROR(VLOOKUP($C38&amp;" "&amp;BI$1,Results!$G:$I,3,FALSE),-VLOOKUP($C38&amp;" "&amp;BI$1,Results!$H:$I,2,FALSE)),"")</f>
        <v>-143</v>
      </c>
      <c r="BJ38" s="14">
        <f>IFERROR(IFERROR(VLOOKUP($C38&amp;" "&amp;BJ$1,Results!$G:$I,3,FALSE),-VLOOKUP($C38&amp;" "&amp;BJ$1,Results!$H:$I,2,FALSE)),"")</f>
        <v>-157</v>
      </c>
      <c r="BK38" s="14" t="str">
        <f>IFERROR(IFERROR(VLOOKUP($C38&amp;" "&amp;BK$1,Results!$G:$I,3,FALSE),-VLOOKUP($C38&amp;" "&amp;BK$1,Results!$H:$I,2,FALSE)),"")</f>
        <v/>
      </c>
      <c r="BL38" s="14" t="str">
        <f>IFERROR(IFERROR(VLOOKUP($C38&amp;" "&amp;BL$1,Results!$G:$I,3,FALSE),-VLOOKUP($C38&amp;" "&amp;BL$1,Results!$H:$I,2,FALSE)),"")</f>
        <v/>
      </c>
      <c r="BM38" s="14" t="str">
        <f>IFERROR(IFERROR(VLOOKUP($C38&amp;" "&amp;BM$1,Results!$G:$I,3,FALSE),-VLOOKUP($C38&amp;" "&amp;BM$1,Results!$H:$I,2,FALSE)),"")</f>
        <v/>
      </c>
      <c r="BN38" s="2" t="str">
        <f>IFERROR(IFERROR(VLOOKUP($C38&amp;" "&amp;BN$1,Results!$G:$I,3,FALSE),-VLOOKUP($C38&amp;" "&amp;BN$1,Results!$H:$I,2,FALSE)),"")</f>
        <v/>
      </c>
      <c r="BO38" s="2" t="str">
        <f>IFERROR(IFERROR(VLOOKUP($C38&amp;" "&amp;BO$1,Results!$G:$I,3,FALSE),-VLOOKUP($C38&amp;" "&amp;BO$1,Results!$H:$I,2,FALSE)),"")</f>
        <v/>
      </c>
      <c r="BP38" s="2" t="str">
        <f>IFERROR(IFERROR(VLOOKUP($C38&amp;" "&amp;BP$1,Results!$G:$I,3,FALSE),-VLOOKUP($C38&amp;" "&amp;BP$1,Results!$H:$I,2,FALSE)),"")</f>
        <v/>
      </c>
      <c r="BQ38" s="2" t="str">
        <f>IFERROR(IFERROR(VLOOKUP($C38&amp;" "&amp;BQ$1,Results!$G:$I,3,FALSE),-VLOOKUP($C38&amp;" "&amp;BQ$1,Results!$H:$I,2,FALSE)),"")</f>
        <v/>
      </c>
      <c r="BR38" s="2" t="str">
        <f>IFERROR(IFERROR(VLOOKUP($C38&amp;" "&amp;BR$1,Results!$G:$I,3,FALSE),-VLOOKUP($C38&amp;" "&amp;BR$1,Results!$H:$I,2,FALSE)),"")</f>
        <v/>
      </c>
      <c r="BS38" s="21" t="str">
        <f>IFERROR(IFERROR(VLOOKUP($C38&amp;" "&amp;BS$1,Results!$G:$I,3,FALSE),-VLOOKUP($C38&amp;" "&amp;BS$1,Results!$H:$I,2,FALSE)),"")</f>
        <v/>
      </c>
      <c r="BT38" s="21" t="str">
        <f>IFERROR(IFERROR(VLOOKUP($C38&amp;" "&amp;BT$1,Results!$G:$I,3,FALSE),-VLOOKUP($C38&amp;" "&amp;BT$1,Results!$H:$I,2,FALSE)),"")</f>
        <v/>
      </c>
      <c r="BU38" s="21" t="str">
        <f>IFERROR(IFERROR(VLOOKUP($C38&amp;" "&amp;BU$1,Results!$G:$I,3,FALSE),-VLOOKUP($C38&amp;" "&amp;BU$1,Results!$H:$I,2,FALSE)),"")</f>
        <v/>
      </c>
      <c r="BV38" s="21"/>
      <c r="BW38" s="111">
        <f t="shared" si="7"/>
        <v>-633</v>
      </c>
      <c r="BX38" s="15">
        <f t="shared" si="10"/>
        <v>0</v>
      </c>
      <c r="BY38" s="15">
        <f t="shared" si="11"/>
        <v>5</v>
      </c>
      <c r="BZ38" s="15">
        <f t="shared" si="12"/>
        <v>6</v>
      </c>
      <c r="CA38" s="90">
        <f t="shared" si="14"/>
        <v>0</v>
      </c>
      <c r="CC38" s="22">
        <f t="shared" si="25"/>
        <v>-633</v>
      </c>
      <c r="CE38" s="15">
        <v>29</v>
      </c>
      <c r="CF38" s="15">
        <f t="shared" si="26"/>
        <v>0</v>
      </c>
      <c r="CG38" s="15">
        <f t="shared" si="9"/>
        <v>29</v>
      </c>
    </row>
    <row r="39" spans="2:85" ht="12.75" customHeight="1" thickBot="1">
      <c r="B39" s="15">
        <v>36</v>
      </c>
      <c r="C39" s="16" t="s">
        <v>71</v>
      </c>
      <c r="D39" s="8"/>
      <c r="E39" s="8">
        <f>IF(AND(BE39&gt;0,$A39&lt;VLOOKUP(BE$1,$C:$L,10,FALSE)),1,IF(AND(BE39&lt;0,$A39&gt;VLOOKUP(BE$1,$C:$L,10,FALSE)),1,0))</f>
        <v>0</v>
      </c>
      <c r="F39" s="8">
        <f>IF(AND(BF39&gt;0,$A39&lt;VLOOKUP(BF$1,$C:$L,10,FALSE)),1,IF(AND(BF39&lt;0,$A39&gt;VLOOKUP(BF$1,$C:$L,10,FALSE)),1,0))</f>
        <v>0</v>
      </c>
      <c r="G39" s="8">
        <f>IF(AND(BG39&gt;0,$A39&lt;VLOOKUP(BG$1,$C:$L,10,FALSE)),1,IF(AND(BG39&lt;0,$A39&gt;VLOOKUP(BG$1,$C:$L,10,FALSE)),1,0))</f>
        <v>0</v>
      </c>
      <c r="H39" s="8">
        <f>IF(AND(BI39&gt;0,$A39&lt;VLOOKUP(BI$1,$C:$L,10,FALSE)),1,IF(AND(BI39&lt;0,$A39&gt;VLOOKUP(BI$1,$C:$L,10,FALSE)),1,0))</f>
        <v>0</v>
      </c>
      <c r="I39" s="8">
        <f>IF(AND(BJ39&gt;0,$A39&lt;VLOOKUP(BJ$1,$C:$L,10,FALSE)),1,IF(AND(BJ39&lt;0,$A39&gt;VLOOKUP(BJ$1,$C:$L,10,FALSE)),1,0))</f>
        <v>0</v>
      </c>
      <c r="J39" s="8">
        <f>IF(AND(BK39&gt;0,$A39&lt;VLOOKUP(BK$1,$C:$L,10,FALSE)),1,IF(AND(BK39&lt;0,$A39&gt;VLOOKUP(BK$1,$C:$L,10,FALSE)),1,0))</f>
        <v>0</v>
      </c>
      <c r="K39" s="108" t="s">
        <v>135</v>
      </c>
      <c r="L39" s="8">
        <f t="shared" si="21"/>
        <v>0</v>
      </c>
      <c r="M39" s="2">
        <v>9</v>
      </c>
      <c r="N39" s="17">
        <f t="shared" si="22"/>
        <v>1</v>
      </c>
      <c r="O39" s="2">
        <f t="shared" si="23"/>
        <v>5</v>
      </c>
      <c r="P39" s="2">
        <f t="shared" si="24"/>
        <v>0</v>
      </c>
      <c r="Q39" s="18">
        <f>COUNTIF($BE39:$BH39,"&gt;0")</f>
        <v>0</v>
      </c>
      <c r="R39" s="19">
        <f>COUNTIF($BE39:$BH39,"&lt;0")</f>
        <v>3</v>
      </c>
      <c r="S39" s="20">
        <f>COUNTIF($BE39:$BH39,"=0")</f>
        <v>0</v>
      </c>
      <c r="T39" s="2">
        <f t="shared" si="27"/>
        <v>0</v>
      </c>
      <c r="U39" s="2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 t="str">
        <f>IFERROR(IFERROR(VLOOKUP($C39&amp;" "&amp;AS$1,Results!$G:$I,3,FALSE),-VLOOKUP($C39&amp;" "&amp;AS$1,Results!$H:$I,2,FALSE)),"")</f>
        <v/>
      </c>
      <c r="AT39" s="14" t="str">
        <f>IFERROR(IFERROR(VLOOKUP($C39&amp;" "&amp;AT$1,Results!$G:$I,3,FALSE),-VLOOKUP($C39&amp;" "&amp;AT$1,Results!$H:$I,2,FALSE)),"")</f>
        <v/>
      </c>
      <c r="AU39" s="14" t="str">
        <f>IFERROR(IFERROR(VLOOKUP($C39&amp;" "&amp;AU$1,Results!$G:$I,3,FALSE),-VLOOKUP($C39&amp;" "&amp;AU$1,Results!$H:$I,2,FALSE)),"")</f>
        <v/>
      </c>
      <c r="AV39" s="14" t="str">
        <f>IFERROR(IFERROR(VLOOKUP($C39&amp;" "&amp;AV$1,Results!$G:$I,3,FALSE),-VLOOKUP($C39&amp;" "&amp;AV$1,Results!$H:$I,2,FALSE)),"")</f>
        <v/>
      </c>
      <c r="AW39" s="14" t="str">
        <f>IFERROR(IFERROR(VLOOKUP($C39&amp;" "&amp;AW$1,Results!$G:$I,3,FALSE),-VLOOKUP($C39&amp;" "&amp;AW$1,Results!$H:$I,2,FALSE)),"")</f>
        <v/>
      </c>
      <c r="AX39" s="14" t="str">
        <f>IFERROR(IFERROR(VLOOKUP($C39&amp;" "&amp;AX$1,Results!$G:$I,3,FALSE),-VLOOKUP($C39&amp;" "&amp;AX$1,Results!$H:$I,2,FALSE)),"")</f>
        <v/>
      </c>
      <c r="AY39" s="14" t="str">
        <f>IFERROR(IFERROR(VLOOKUP($C39&amp;" "&amp;AY$1,Results!$G:$I,3,FALSE),-VLOOKUP($C39&amp;" "&amp;AY$1,Results!$H:$I,2,FALSE)),"")</f>
        <v/>
      </c>
      <c r="AZ39" s="14" t="str">
        <f>IFERROR(IFERROR(VLOOKUP($C39&amp;" "&amp;AZ$1,Results!$G:$I,3,FALSE),-VLOOKUP($C39&amp;" "&amp;AZ$1,Results!$H:$I,2,FALSE)),"")</f>
        <v/>
      </c>
      <c r="BA39" s="14" t="str">
        <f>IFERROR(IFERROR(VLOOKUP($C39&amp;" "&amp;BA$1,Results!$G:$I,3,FALSE),-VLOOKUP($C39&amp;" "&amp;BA$1,Results!$H:$I,2,FALSE)),"")</f>
        <v/>
      </c>
      <c r="BB39" s="14" t="str">
        <f>IFERROR(IFERROR(VLOOKUP($C39&amp;" "&amp;BB$1,Results!$G:$I,3,FALSE),-VLOOKUP($C39&amp;" "&amp;BB$1,Results!$H:$I,2,FALSE)),"")</f>
        <v/>
      </c>
      <c r="BC39" s="14" t="str">
        <f>IFERROR(IFERROR(VLOOKUP($C39&amp;" "&amp;BC$1,Results!$G:$I,3,FALSE),-VLOOKUP($C39&amp;" "&amp;BC$1,Results!$H:$I,2,FALSE)),"")</f>
        <v/>
      </c>
      <c r="BD39" s="14" t="str">
        <f>IFERROR(IFERROR(VLOOKUP($C39&amp;" "&amp;BD$1,Results!$G:$I,3,FALSE),-VLOOKUP($C39&amp;" "&amp;BD$1,Results!$H:$I,2,FALSE)),"")</f>
        <v/>
      </c>
      <c r="BE39" s="68">
        <f>IFERROR(IFERROR(VLOOKUP($C39&amp;" "&amp;BE$1,Results!$G:$I,3,FALSE),-VLOOKUP($C39&amp;" "&amp;BE$1,Results!$H:$I,2,FALSE)),"")</f>
        <v>-215</v>
      </c>
      <c r="BF39" s="105">
        <f>IFERROR(IFERROR(VLOOKUP($C39&amp;" "&amp;BF$1,Results!$G:$I,3,FALSE),-VLOOKUP($C39&amp;" "&amp;BF$1,Results!$H:$I,2,FALSE)),"")</f>
        <v>-6</v>
      </c>
      <c r="BG39" s="69">
        <f>IFERROR(IFERROR(VLOOKUP($C39&amp;" "&amp;BG$1,Results!$G:$I,3,FALSE),-VLOOKUP($C39&amp;" "&amp;BG$1,Results!$H:$I,2,FALSE)),"")</f>
        <v>-35</v>
      </c>
      <c r="BH39" s="35" t="str">
        <f>IFERROR(IFERROR(VLOOKUP($C39&amp;" "&amp;BH$1,Results!$G:$I,3,FALSE),-VLOOKUP($C39&amp;" "&amp;BH$1,Results!$H:$I,2,FALSE)),"")</f>
        <v/>
      </c>
      <c r="BI39" s="14">
        <f>IFERROR(IFERROR(VLOOKUP($C39&amp;" "&amp;BI$1,Results!$G:$I,3,FALSE),-VLOOKUP($C39&amp;" "&amp;BI$1,Results!$H:$I,2,FALSE)),"")</f>
        <v>-183</v>
      </c>
      <c r="BJ39" s="14">
        <f>IFERROR(IFERROR(VLOOKUP($C39&amp;" "&amp;BJ$1,Results!$G:$I,3,FALSE),-VLOOKUP($C39&amp;" "&amp;BJ$1,Results!$H:$I,2,FALSE)),"")</f>
        <v>-64</v>
      </c>
      <c r="BK39" s="14">
        <f>IFERROR(IFERROR(VLOOKUP($C39&amp;" "&amp;BK$1,Results!$G:$I,3,FALSE),-VLOOKUP($C39&amp;" "&amp;BK$1,Results!$H:$I,2,FALSE)),"")</f>
        <v>25</v>
      </c>
      <c r="BL39" s="14" t="str">
        <f>IFERROR(IFERROR(VLOOKUP($C39&amp;" "&amp;BL$1,Results!$G:$I,3,FALSE),-VLOOKUP($C39&amp;" "&amp;BL$1,Results!$H:$I,2,FALSE)),"")</f>
        <v/>
      </c>
      <c r="BM39" s="14" t="str">
        <f>IFERROR(IFERROR(VLOOKUP($C39&amp;" "&amp;BM$1,Results!$G:$I,3,FALSE),-VLOOKUP($C39&amp;" "&amp;BM$1,Results!$H:$I,2,FALSE)),"")</f>
        <v/>
      </c>
      <c r="BN39" s="2" t="str">
        <f>IFERROR(IFERROR(VLOOKUP($C39&amp;" "&amp;BN$1,Results!$G:$I,3,FALSE),-VLOOKUP($C39&amp;" "&amp;BN$1,Results!$H:$I,2,FALSE)),"")</f>
        <v/>
      </c>
      <c r="BO39" s="2" t="str">
        <f>IFERROR(IFERROR(VLOOKUP($C39&amp;" "&amp;BO$1,Results!$G:$I,3,FALSE),-VLOOKUP($C39&amp;" "&amp;BO$1,Results!$H:$I,2,FALSE)),"")</f>
        <v/>
      </c>
      <c r="BP39" s="2" t="str">
        <f>IFERROR(IFERROR(VLOOKUP($C39&amp;" "&amp;BP$1,Results!$G:$I,3,FALSE),-VLOOKUP($C39&amp;" "&amp;BP$1,Results!$H:$I,2,FALSE)),"")</f>
        <v/>
      </c>
      <c r="BQ39" s="2" t="str">
        <f>IFERROR(IFERROR(VLOOKUP($C39&amp;" "&amp;BQ$1,Results!$G:$I,3,FALSE),-VLOOKUP($C39&amp;" "&amp;BQ$1,Results!$H:$I,2,FALSE)),"")</f>
        <v/>
      </c>
      <c r="BR39" s="2" t="str">
        <f>IFERROR(IFERROR(VLOOKUP($C39&amp;" "&amp;BR$1,Results!$G:$I,3,FALSE),-VLOOKUP($C39&amp;" "&amp;BR$1,Results!$H:$I,2,FALSE)),"")</f>
        <v/>
      </c>
      <c r="BS39" s="21" t="str">
        <f>IFERROR(IFERROR(VLOOKUP($C39&amp;" "&amp;BS$1,Results!$G:$I,3,FALSE),-VLOOKUP($C39&amp;" "&amp;BS$1,Results!$H:$I,2,FALSE)),"")</f>
        <v/>
      </c>
      <c r="BT39" s="21" t="str">
        <f>IFERROR(IFERROR(VLOOKUP($C39&amp;" "&amp;BT$1,Results!$G:$I,3,FALSE),-VLOOKUP($C39&amp;" "&amp;BT$1,Results!$H:$I,2,FALSE)),"")</f>
        <v/>
      </c>
      <c r="BU39" s="21" t="str">
        <f>IFERROR(IFERROR(VLOOKUP($C39&amp;" "&amp;BU$1,Results!$G:$I,3,FALSE),-VLOOKUP($C39&amp;" "&amp;BU$1,Results!$H:$I,2,FALSE)),"")</f>
        <v/>
      </c>
      <c r="BV39" s="21"/>
      <c r="BW39" s="111">
        <f t="shared" si="7"/>
        <v>-478</v>
      </c>
      <c r="BX39" s="15">
        <f t="shared" si="10"/>
        <v>0</v>
      </c>
      <c r="BY39" s="15">
        <f t="shared" si="11"/>
        <v>5</v>
      </c>
      <c r="BZ39" s="15">
        <f t="shared" si="12"/>
        <v>6</v>
      </c>
      <c r="CA39" s="90">
        <f t="shared" si="14"/>
        <v>0</v>
      </c>
      <c r="CC39" s="22">
        <f t="shared" si="25"/>
        <v>-478</v>
      </c>
      <c r="CE39" s="15">
        <v>30</v>
      </c>
      <c r="CF39" s="15">
        <f t="shared" si="26"/>
        <v>0</v>
      </c>
      <c r="CG39" s="15">
        <f t="shared" si="9"/>
        <v>30</v>
      </c>
    </row>
    <row r="40" spans="2:85" ht="12.75" customHeight="1">
      <c r="B40" s="15">
        <v>37</v>
      </c>
      <c r="C40" s="32" t="s">
        <v>99</v>
      </c>
      <c r="D40" s="8"/>
      <c r="E40" s="8">
        <f>IF(AND(BF40&gt;0,$A40&lt;VLOOKUP(BF$1,$C:$L,10,FALSE)),1,IF(AND(BF40&lt;0,$A40&gt;VLOOKUP(BF$1,$C:$L,10,FALSE)),1,0))</f>
        <v>0</v>
      </c>
      <c r="F40" s="8">
        <f>IF(AND(BG40&gt;0,$A40&lt;VLOOKUP(BG$1,$C:$L,10,FALSE)),1,IF(AND(BG40&lt;0,$A40&gt;VLOOKUP(BG$1,$C:$L,10,FALSE)),1,0))</f>
        <v>0</v>
      </c>
      <c r="G40" s="8">
        <f>IF(AND(BH40&gt;0,$A40&lt;VLOOKUP(BH$1,$C:$L,10,FALSE)),1,IF(AND(BH40&lt;0,$A40&gt;VLOOKUP(BH$1,$C:$L,10,FALSE)),1,0))</f>
        <v>0</v>
      </c>
      <c r="H40" s="8">
        <f>IF(AND(BJ40&gt;0,$A40&lt;VLOOKUP(BJ$1,$C:$L,10,FALSE)),1,IF(AND(BJ40&lt;0,$A40&gt;VLOOKUP(BJ$1,$C:$L,10,FALSE)),1,0))</f>
        <v>0</v>
      </c>
      <c r="I40" s="8">
        <f>IF(AND(BK40&gt;0,$A40&lt;VLOOKUP(BK$1,$C:$L,10,FALSE)),1,IF(AND(BK40&lt;0,$A40&gt;VLOOKUP(BK$1,$C:$L,10,FALSE)),1,0))</f>
        <v>0</v>
      </c>
      <c r="J40" s="8">
        <f>IF(AND(BL40&gt;0,$A40&lt;VLOOKUP(BL$1,$C:$L,10,FALSE)),1,IF(AND(BL40&lt;0,$A40&gt;VLOOKUP(BL$1,$C:$L,10,FALSE)),1,0))</f>
        <v>0</v>
      </c>
      <c r="K40" s="108" t="s">
        <v>135</v>
      </c>
      <c r="L40" s="8">
        <f t="shared" si="21"/>
        <v>0</v>
      </c>
      <c r="M40" s="2">
        <v>10</v>
      </c>
      <c r="N40" s="17">
        <f t="shared" si="22"/>
        <v>6</v>
      </c>
      <c r="O40" s="2">
        <f t="shared" si="23"/>
        <v>0</v>
      </c>
      <c r="P40" s="2">
        <f t="shared" si="24"/>
        <v>0</v>
      </c>
      <c r="Q40" s="18">
        <f>COUNTIF($BI40:$BL40,"&gt;0")</f>
        <v>3</v>
      </c>
      <c r="R40" s="19">
        <f>COUNTIF($BI40:$BL40,"&lt;0")</f>
        <v>0</v>
      </c>
      <c r="S40" s="20">
        <f>COUNTIF($BI40:$BL40,"=0")</f>
        <v>0</v>
      </c>
      <c r="T40" s="2">
        <f t="shared" si="27"/>
        <v>0</v>
      </c>
      <c r="U40" s="2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 t="str">
        <f>IFERROR(IFERROR(VLOOKUP($C40&amp;" "&amp;AS$1,Results!$G:$I,3,FALSE),-VLOOKUP($C40&amp;" "&amp;AS$1,Results!$H:$I,2,FALSE)),"")</f>
        <v/>
      </c>
      <c r="AT40" s="14" t="str">
        <f>IFERROR(IFERROR(VLOOKUP($C40&amp;" "&amp;AT$1,Results!$G:$I,3,FALSE),-VLOOKUP($C40&amp;" "&amp;AT$1,Results!$H:$I,2,FALSE)),"")</f>
        <v/>
      </c>
      <c r="AU40" s="14" t="str">
        <f>IFERROR(IFERROR(VLOOKUP($C40&amp;" "&amp;AU$1,Results!$G:$I,3,FALSE),-VLOOKUP($C40&amp;" "&amp;AU$1,Results!$H:$I,2,FALSE)),"")</f>
        <v/>
      </c>
      <c r="AV40" s="14" t="str">
        <f>IFERROR(IFERROR(VLOOKUP($C40&amp;" "&amp;AV$1,Results!$G:$I,3,FALSE),-VLOOKUP($C40&amp;" "&amp;AV$1,Results!$H:$I,2,FALSE)),"")</f>
        <v/>
      </c>
      <c r="AW40" s="14" t="str">
        <f>IFERROR(IFERROR(VLOOKUP($C40&amp;" "&amp;AW$1,Results!$G:$I,3,FALSE),-VLOOKUP($C40&amp;" "&amp;AW$1,Results!$H:$I,2,FALSE)),"")</f>
        <v/>
      </c>
      <c r="AX40" s="14" t="str">
        <f>IFERROR(IFERROR(VLOOKUP($C40&amp;" "&amp;AX$1,Results!$G:$I,3,FALSE),-VLOOKUP($C40&amp;" "&amp;AX$1,Results!$H:$I,2,FALSE)),"")</f>
        <v/>
      </c>
      <c r="AY40" s="14" t="str">
        <f>IFERROR(IFERROR(VLOOKUP($C40&amp;" "&amp;AY$1,Results!$G:$I,3,FALSE),-VLOOKUP($C40&amp;" "&amp;AY$1,Results!$H:$I,2,FALSE)),"")</f>
        <v/>
      </c>
      <c r="AZ40" s="14" t="str">
        <f>IFERROR(IFERROR(VLOOKUP($C40&amp;" "&amp;AZ$1,Results!$G:$I,3,FALSE),-VLOOKUP($C40&amp;" "&amp;AZ$1,Results!$H:$I,2,FALSE)),"")</f>
        <v/>
      </c>
      <c r="BA40" s="14" t="str">
        <f>IFERROR(IFERROR(VLOOKUP($C40&amp;" "&amp;BA$1,Results!$G:$I,3,FALSE),-VLOOKUP($C40&amp;" "&amp;BA$1,Results!$H:$I,2,FALSE)),"")</f>
        <v/>
      </c>
      <c r="BB40" s="14" t="str">
        <f>IFERROR(IFERROR(VLOOKUP($C40&amp;" "&amp;BB$1,Results!$G:$I,3,FALSE),-VLOOKUP($C40&amp;" "&amp;BB$1,Results!$H:$I,2,FALSE)),"")</f>
        <v/>
      </c>
      <c r="BC40" s="14" t="str">
        <f>IFERROR(IFERROR(VLOOKUP($C40&amp;" "&amp;BC$1,Results!$G:$I,3,FALSE),-VLOOKUP($C40&amp;" "&amp;BC$1,Results!$H:$I,2,FALSE)),"")</f>
        <v/>
      </c>
      <c r="BD40" s="14" t="str">
        <f>IFERROR(IFERROR(VLOOKUP($C40&amp;" "&amp;BD$1,Results!$G:$I,3,FALSE),-VLOOKUP($C40&amp;" "&amp;BD$1,Results!$H:$I,2,FALSE)),"")</f>
        <v/>
      </c>
      <c r="BE40" s="14" t="str">
        <f>IFERROR(IFERROR(VLOOKUP($C40&amp;" "&amp;BE$1,Results!$G:$I,3,FALSE),-VLOOKUP($C40&amp;" "&amp;BE$1,Results!$H:$I,2,FALSE)),"")</f>
        <v/>
      </c>
      <c r="BF40" s="14">
        <f>IFERROR(IFERROR(VLOOKUP($C40&amp;" "&amp;BF$1,Results!$G:$I,3,FALSE),-VLOOKUP($C40&amp;" "&amp;BF$1,Results!$H:$I,2,FALSE)),"")</f>
        <v>230</v>
      </c>
      <c r="BG40" s="14">
        <f>IFERROR(IFERROR(VLOOKUP($C40&amp;" "&amp;BG$1,Results!$G:$I,3,FALSE),-VLOOKUP($C40&amp;" "&amp;BG$1,Results!$H:$I,2,FALSE)),"")</f>
        <v>143</v>
      </c>
      <c r="BH40" s="14">
        <f>IFERROR(IFERROR(VLOOKUP($C40&amp;" "&amp;BH$1,Results!$G:$I,3,FALSE),-VLOOKUP($C40&amp;" "&amp;BH$1,Results!$H:$I,2,FALSE)),"")</f>
        <v>183</v>
      </c>
      <c r="BI40" s="54" t="str">
        <f>IFERROR(IFERROR(VLOOKUP($C40&amp;" "&amp;BI$1,Results!$G:$I,3,FALSE),-VLOOKUP($C40&amp;" "&amp;BI$1,Results!$H:$I,2,FALSE)),"")</f>
        <v/>
      </c>
      <c r="BJ40" s="72">
        <f>IFERROR(IFERROR(VLOOKUP($C40&amp;" "&amp;BJ$1,Results!$G:$I,3,FALSE),-VLOOKUP($C40&amp;" "&amp;BJ$1,Results!$H:$I,2,FALSE)),"")</f>
        <v>90</v>
      </c>
      <c r="BK40" s="72">
        <f>IFERROR(IFERROR(VLOOKUP($C40&amp;" "&amp;BK$1,Results!$G:$I,3,FALSE),-VLOOKUP($C40&amp;" "&amp;BK$1,Results!$H:$I,2,FALSE)),"")</f>
        <v>147</v>
      </c>
      <c r="BL40" s="78">
        <f>IFERROR(IFERROR(VLOOKUP($C40&amp;" "&amp;BL$1,Results!$G:$I,3,FALSE),-VLOOKUP($C40&amp;" "&amp;BL$1,Results!$H:$I,2,FALSE)),"")</f>
        <v>33</v>
      </c>
      <c r="BM40" s="14" t="str">
        <f>IFERROR(IFERROR(VLOOKUP($C40&amp;" "&amp;BM$1,Results!$G:$I,3,FALSE),-VLOOKUP($C40&amp;" "&amp;BM$1,Results!$H:$I,2,FALSE)),"")</f>
        <v/>
      </c>
      <c r="BN40" s="2" t="str">
        <f>IFERROR(IFERROR(VLOOKUP($C40&amp;" "&amp;BN$1,Results!$G:$I,3,FALSE),-VLOOKUP($C40&amp;" "&amp;BN$1,Results!$H:$I,2,FALSE)),"")</f>
        <v/>
      </c>
      <c r="BO40" s="2" t="str">
        <f>IFERROR(IFERROR(VLOOKUP($C40&amp;" "&amp;BO$1,Results!$G:$I,3,FALSE),-VLOOKUP($C40&amp;" "&amp;BO$1,Results!$H:$I,2,FALSE)),"")</f>
        <v/>
      </c>
      <c r="BP40" s="2" t="str">
        <f>IFERROR(IFERROR(VLOOKUP($C40&amp;" "&amp;BP$1,Results!$G:$I,3,FALSE),-VLOOKUP($C40&amp;" "&amp;BP$1,Results!$H:$I,2,FALSE)),"")</f>
        <v/>
      </c>
      <c r="BQ40" s="2" t="str">
        <f>IFERROR(IFERROR(VLOOKUP($C40&amp;" "&amp;BQ$1,Results!$G:$I,3,FALSE),-VLOOKUP($C40&amp;" "&amp;BQ$1,Results!$H:$I,2,FALSE)),"")</f>
        <v/>
      </c>
      <c r="BR40" s="2" t="str">
        <f>IFERROR(IFERROR(VLOOKUP($C40&amp;" "&amp;BR$1,Results!$G:$I,3,FALSE),-VLOOKUP($C40&amp;" "&amp;BR$1,Results!$H:$I,2,FALSE)),"")</f>
        <v/>
      </c>
      <c r="BS40" s="21" t="str">
        <f>IFERROR(IFERROR(VLOOKUP($C40&amp;" "&amp;BS$1,Results!$G:$I,3,FALSE),-VLOOKUP($C40&amp;" "&amp;BS$1,Results!$H:$I,2,FALSE)),"")</f>
        <v/>
      </c>
      <c r="BT40" s="21" t="str">
        <f>IFERROR(IFERROR(VLOOKUP($C40&amp;" "&amp;BT$1,Results!$G:$I,3,FALSE),-VLOOKUP($C40&amp;" "&amp;BT$1,Results!$H:$I,2,FALSE)),"")</f>
        <v/>
      </c>
      <c r="BU40" s="21" t="str">
        <f>IFERROR(IFERROR(VLOOKUP($C40&amp;" "&amp;BU$1,Results!$G:$I,3,FALSE),-VLOOKUP($C40&amp;" "&amp;BU$1,Results!$H:$I,2,FALSE)),"")</f>
        <v/>
      </c>
      <c r="BV40" s="21"/>
      <c r="BW40" s="111">
        <f t="shared" si="7"/>
        <v>826</v>
      </c>
      <c r="BX40" s="15">
        <f t="shared" si="10"/>
        <v>0</v>
      </c>
      <c r="BY40" s="15">
        <f t="shared" si="11"/>
        <v>5</v>
      </c>
      <c r="BZ40" s="15">
        <f t="shared" si="12"/>
        <v>6</v>
      </c>
      <c r="CA40" s="90">
        <f t="shared" si="14"/>
        <v>0</v>
      </c>
      <c r="CC40" s="22">
        <f t="shared" si="25"/>
        <v>826</v>
      </c>
      <c r="CE40" s="15">
        <v>38</v>
      </c>
      <c r="CF40" s="15">
        <f t="shared" si="26"/>
        <v>0</v>
      </c>
      <c r="CG40" s="15">
        <f t="shared" si="9"/>
        <v>38</v>
      </c>
    </row>
    <row r="41" spans="2:85" ht="12.75" customHeight="1">
      <c r="B41" s="15">
        <v>38</v>
      </c>
      <c r="C41" s="16" t="s">
        <v>37</v>
      </c>
      <c r="D41" s="8"/>
      <c r="E41" s="8">
        <f>IF(AND(BG41&gt;0,$A41&lt;VLOOKUP(BG$1,$C:$L,10,FALSE)),1,IF(AND(BG41&lt;0,$A41&gt;VLOOKUP(BG$1,$C:$L,10,FALSE)),1,0))</f>
        <v>0</v>
      </c>
      <c r="F41" s="8">
        <f>IF(AND(BH41&gt;0,$A41&lt;VLOOKUP(BH$1,$C:$L,10,FALSE)),1,IF(AND(BH41&lt;0,$A41&gt;VLOOKUP(BH$1,$C:$L,10,FALSE)),1,0))</f>
        <v>0</v>
      </c>
      <c r="G41" s="8">
        <f>IF(AND(BI41&gt;0,$A41&lt;VLOOKUP(BI$1,$C:$L,10,FALSE)),1,IF(AND(BI41&lt;0,$A41&gt;VLOOKUP(BI$1,$C:$L,10,FALSE)),1,0))</f>
        <v>0</v>
      </c>
      <c r="H41" s="8">
        <f>IF(AND(BK41&gt;0,$A41&lt;VLOOKUP(BK$1,$C:$L,10,FALSE)),1,IF(AND(BK41&lt;0,$A41&gt;VLOOKUP(BK$1,$C:$L,10,FALSE)),1,0))</f>
        <v>0</v>
      </c>
      <c r="I41" s="8">
        <f>IF(AND(BL41&gt;0,$A41&lt;VLOOKUP(BL$1,$C:$L,10,FALSE)),1,IF(AND(BL41&lt;0,$A41&gt;VLOOKUP(BL$1,$C:$L,10,FALSE)),1,0))</f>
        <v>0</v>
      </c>
      <c r="J41" s="8">
        <f>IF(AND(BM41&gt;0,$A41&lt;VLOOKUP(BM$1,$C:$L,10,FALSE)),1,IF(AND(BM41&lt;0,$A41&gt;VLOOKUP(BM$1,$C:$L,10,FALSE)),1,0))</f>
        <v>0</v>
      </c>
      <c r="K41" s="108" t="s">
        <v>135</v>
      </c>
      <c r="L41" s="8">
        <f t="shared" si="21"/>
        <v>0</v>
      </c>
      <c r="M41" s="2">
        <v>10</v>
      </c>
      <c r="N41" s="17">
        <f t="shared" si="22"/>
        <v>4</v>
      </c>
      <c r="O41" s="2">
        <f t="shared" si="23"/>
        <v>2</v>
      </c>
      <c r="P41" s="2">
        <f t="shared" si="24"/>
        <v>0</v>
      </c>
      <c r="Q41" s="18">
        <f>COUNTIF($BI41:$BL41,"&gt;0")</f>
        <v>1</v>
      </c>
      <c r="R41" s="19">
        <f>COUNTIF($BI41:$BL41,"&lt;0")</f>
        <v>2</v>
      </c>
      <c r="S41" s="20">
        <f>COUNTIF($BI41:$BL41,"=0")</f>
        <v>0</v>
      </c>
      <c r="T41" s="2">
        <f t="shared" si="27"/>
        <v>0</v>
      </c>
      <c r="U41" s="2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 t="str">
        <f>IFERROR(IFERROR(VLOOKUP($C41&amp;" "&amp;AS$1,Results!$G:$I,3,FALSE),-VLOOKUP($C41&amp;" "&amp;AS$1,Results!$H:$I,2,FALSE)),"")</f>
        <v/>
      </c>
      <c r="AT41" s="14" t="str">
        <f>IFERROR(IFERROR(VLOOKUP($C41&amp;" "&amp;AT$1,Results!$G:$I,3,FALSE),-VLOOKUP($C41&amp;" "&amp;AT$1,Results!$H:$I,2,FALSE)),"")</f>
        <v/>
      </c>
      <c r="AU41" s="14" t="str">
        <f>IFERROR(IFERROR(VLOOKUP($C41&amp;" "&amp;AU$1,Results!$G:$I,3,FALSE),-VLOOKUP($C41&amp;" "&amp;AU$1,Results!$H:$I,2,FALSE)),"")</f>
        <v/>
      </c>
      <c r="AV41" s="14" t="str">
        <f>IFERROR(IFERROR(VLOOKUP($C41&amp;" "&amp;AV$1,Results!$G:$I,3,FALSE),-VLOOKUP($C41&amp;" "&amp;AV$1,Results!$H:$I,2,FALSE)),"")</f>
        <v/>
      </c>
      <c r="AW41" s="14" t="str">
        <f>IFERROR(IFERROR(VLOOKUP($C41&amp;" "&amp;AW$1,Results!$G:$I,3,FALSE),-VLOOKUP($C41&amp;" "&amp;AW$1,Results!$H:$I,2,FALSE)),"")</f>
        <v/>
      </c>
      <c r="AX41" s="14" t="str">
        <f>IFERROR(IFERROR(VLOOKUP($C41&amp;" "&amp;AX$1,Results!$G:$I,3,FALSE),-VLOOKUP($C41&amp;" "&amp;AX$1,Results!$H:$I,2,FALSE)),"")</f>
        <v/>
      </c>
      <c r="AY41" s="14" t="str">
        <f>IFERROR(IFERROR(VLOOKUP($C41&amp;" "&amp;AY$1,Results!$G:$I,3,FALSE),-VLOOKUP($C41&amp;" "&amp;AY$1,Results!$H:$I,2,FALSE)),"")</f>
        <v/>
      </c>
      <c r="AZ41" s="14" t="str">
        <f>IFERROR(IFERROR(VLOOKUP($C41&amp;" "&amp;AZ$1,Results!$G:$I,3,FALSE),-VLOOKUP($C41&amp;" "&amp;AZ$1,Results!$H:$I,2,FALSE)),"")</f>
        <v/>
      </c>
      <c r="BA41" s="14" t="str">
        <f>IFERROR(IFERROR(VLOOKUP($C41&amp;" "&amp;BA$1,Results!$G:$I,3,FALSE),-VLOOKUP($C41&amp;" "&amp;BA$1,Results!$H:$I,2,FALSE)),"")</f>
        <v/>
      </c>
      <c r="BB41" s="14" t="str">
        <f>IFERROR(IFERROR(VLOOKUP($C41&amp;" "&amp;BB$1,Results!$G:$I,3,FALSE),-VLOOKUP($C41&amp;" "&amp;BB$1,Results!$H:$I,2,FALSE)),"")</f>
        <v/>
      </c>
      <c r="BC41" s="14" t="str">
        <f>IFERROR(IFERROR(VLOOKUP($C41&amp;" "&amp;BC$1,Results!$G:$I,3,FALSE),-VLOOKUP($C41&amp;" "&amp;BC$1,Results!$H:$I,2,FALSE)),"")</f>
        <v/>
      </c>
      <c r="BD41" s="14" t="str">
        <f>IFERROR(IFERROR(VLOOKUP($C41&amp;" "&amp;BD$1,Results!$G:$I,3,FALSE),-VLOOKUP($C41&amp;" "&amp;BD$1,Results!$H:$I,2,FALSE)),"")</f>
        <v/>
      </c>
      <c r="BE41" s="14" t="str">
        <f>IFERROR(IFERROR(VLOOKUP($C41&amp;" "&amp;BE$1,Results!$G:$I,3,FALSE),-VLOOKUP($C41&amp;" "&amp;BE$1,Results!$H:$I,2,FALSE)),"")</f>
        <v/>
      </c>
      <c r="BF41" s="14" t="str">
        <f>IFERROR(IFERROR(VLOOKUP($C41&amp;" "&amp;BF$1,Results!$G:$I,3,FALSE),-VLOOKUP($C41&amp;" "&amp;BF$1,Results!$H:$I,2,FALSE)),"")</f>
        <v/>
      </c>
      <c r="BG41" s="14">
        <f>IFERROR(IFERROR(VLOOKUP($C41&amp;" "&amp;BG$1,Results!$G:$I,3,FALSE),-VLOOKUP($C41&amp;" "&amp;BG$1,Results!$H:$I,2,FALSE)),"")</f>
        <v>157</v>
      </c>
      <c r="BH41" s="14">
        <f>IFERROR(IFERROR(VLOOKUP($C41&amp;" "&amp;BH$1,Results!$G:$I,3,FALSE),-VLOOKUP($C41&amp;" "&amp;BH$1,Results!$H:$I,2,FALSE)),"")</f>
        <v>64</v>
      </c>
      <c r="BI41" s="74">
        <f>IFERROR(IFERROR(VLOOKUP($C41&amp;" "&amp;BI$1,Results!$G:$I,3,FALSE),-VLOOKUP($C41&amp;" "&amp;BI$1,Results!$H:$I,2,FALSE)),"")</f>
        <v>-90</v>
      </c>
      <c r="BJ41" s="14" t="str">
        <f>IFERROR(IFERROR(VLOOKUP($C41&amp;" "&amp;BJ$1,Results!$G:$I,3,FALSE),-VLOOKUP($C41&amp;" "&amp;BJ$1,Results!$H:$I,2,FALSE)),"")</f>
        <v/>
      </c>
      <c r="BK41" s="14">
        <f>IFERROR(IFERROR(VLOOKUP($C41&amp;" "&amp;BK$1,Results!$G:$I,3,FALSE),-VLOOKUP($C41&amp;" "&amp;BK$1,Results!$H:$I,2,FALSE)),"")</f>
        <v>128</v>
      </c>
      <c r="BL41" s="79">
        <f>IFERROR(IFERROR(VLOOKUP($C41&amp;" "&amp;BL$1,Results!$G:$I,3,FALSE),-VLOOKUP($C41&amp;" "&amp;BL$1,Results!$H:$I,2,FALSE)),"")</f>
        <v>-1</v>
      </c>
      <c r="BM41" s="14">
        <f>IFERROR(IFERROR(VLOOKUP($C41&amp;" "&amp;BM$1,Results!$G:$I,3,FALSE),-VLOOKUP($C41&amp;" "&amp;BM$1,Results!$H:$I,2,FALSE)),"")</f>
        <v>89</v>
      </c>
      <c r="BN41" s="2" t="str">
        <f>IFERROR(IFERROR(VLOOKUP($C41&amp;" "&amp;BN$1,Results!$G:$I,3,FALSE),-VLOOKUP($C41&amp;" "&amp;BN$1,Results!$H:$I,2,FALSE)),"")</f>
        <v/>
      </c>
      <c r="BO41" s="2" t="str">
        <f>IFERROR(IFERROR(VLOOKUP($C41&amp;" "&amp;BO$1,Results!$G:$I,3,FALSE),-VLOOKUP($C41&amp;" "&amp;BO$1,Results!$H:$I,2,FALSE)),"")</f>
        <v/>
      </c>
      <c r="BP41" s="2" t="str">
        <f>IFERROR(IFERROR(VLOOKUP($C41&amp;" "&amp;BP$1,Results!$G:$I,3,FALSE),-VLOOKUP($C41&amp;" "&amp;BP$1,Results!$H:$I,2,FALSE)),"")</f>
        <v/>
      </c>
      <c r="BQ41" s="14" t="str">
        <f>IFERROR(IFERROR(VLOOKUP($C41&amp;" "&amp;BQ$1,Results!$G:$I,3,FALSE),-VLOOKUP($C41&amp;" "&amp;BQ$1,Results!$H:$I,2,FALSE)),"")</f>
        <v/>
      </c>
      <c r="BR41" s="14" t="str">
        <f>IFERROR(IFERROR(VLOOKUP($C41&amp;" "&amp;BR$1,Results!$G:$I,3,FALSE),-VLOOKUP($C41&amp;" "&amp;BR$1,Results!$H:$I,2,FALSE)),"")</f>
        <v/>
      </c>
      <c r="BS41" s="14" t="str">
        <f>IFERROR(IFERROR(VLOOKUP($C41&amp;" "&amp;BS$1,Results!$G:$I,3,FALSE),-VLOOKUP($C41&amp;" "&amp;BS$1,Results!$H:$I,2,FALSE)),"")</f>
        <v/>
      </c>
      <c r="BT41" s="14" t="str">
        <f>IFERROR(IFERROR(VLOOKUP($C41&amp;" "&amp;BT$1,Results!$G:$I,3,FALSE),-VLOOKUP($C41&amp;" "&amp;BT$1,Results!$H:$I,2,FALSE)),"")</f>
        <v/>
      </c>
      <c r="BU41" s="14" t="str">
        <f>IFERROR(IFERROR(VLOOKUP($C41&amp;" "&amp;BU$1,Results!$G:$I,3,FALSE),-VLOOKUP($C41&amp;" "&amp;BU$1,Results!$H:$I,2,FALSE)),"")</f>
        <v/>
      </c>
      <c r="BV41" s="14"/>
      <c r="BW41" s="111">
        <f t="shared" si="7"/>
        <v>347</v>
      </c>
      <c r="BX41" s="15">
        <f t="shared" si="10"/>
        <v>0</v>
      </c>
      <c r="BY41" s="15">
        <f t="shared" si="11"/>
        <v>5</v>
      </c>
      <c r="BZ41" s="15">
        <f t="shared" si="12"/>
        <v>6</v>
      </c>
      <c r="CA41" s="90">
        <f t="shared" ref="CA41:CA51" si="28">+BX41/BZ41</f>
        <v>0</v>
      </c>
      <c r="CC41" s="22">
        <f t="shared" si="25"/>
        <v>347</v>
      </c>
      <c r="CE41" s="15">
        <v>39</v>
      </c>
      <c r="CF41" s="15">
        <f t="shared" si="26"/>
        <v>0</v>
      </c>
      <c r="CG41" s="15">
        <f t="shared" si="9"/>
        <v>39</v>
      </c>
    </row>
    <row r="42" spans="2:85" ht="12.75" customHeight="1">
      <c r="B42" s="15">
        <v>39</v>
      </c>
      <c r="C42" s="16" t="s">
        <v>22</v>
      </c>
      <c r="D42" s="8"/>
      <c r="E42" s="8">
        <f>IF(AND(BH42&gt;0,$A42&lt;VLOOKUP(BH$1,$C:$L,10,FALSE)),1,IF(AND(BH42&lt;0,$A42&gt;VLOOKUP(BH$1,$C:$L,10,FALSE)),1,0))</f>
        <v>0</v>
      </c>
      <c r="F42" s="8">
        <f>IF(AND(BI42&gt;0,$A42&lt;VLOOKUP(BI$1,$C:$L,10,FALSE)),1,IF(AND(BI42&lt;0,$A42&gt;VLOOKUP(BI$1,$C:$L,10,FALSE)),1,0))</f>
        <v>0</v>
      </c>
      <c r="G42" s="8">
        <f>IF(AND(BJ42&gt;0,$A42&lt;VLOOKUP(BJ$1,$C:$L,10,FALSE)),1,IF(AND(BJ42&lt;0,$A42&gt;VLOOKUP(BJ$1,$C:$L,10,FALSE)),1,0))</f>
        <v>0</v>
      </c>
      <c r="H42" s="8">
        <f>IF(AND(BL42&gt;0,$A42&lt;VLOOKUP(BL$1,$C:$L,10,FALSE)),1,IF(AND(BL42&lt;0,$A42&gt;VLOOKUP(BL$1,$C:$L,10,FALSE)),1,0))</f>
        <v>0</v>
      </c>
      <c r="I42" s="8">
        <f>IF(AND(BM42&gt;0,$A42&lt;VLOOKUP(BM$1,$C:$L,10,FALSE)),1,IF(AND(BM42&lt;0,$A42&gt;VLOOKUP(BM$1,$C:$L,10,FALSE)),1,0))</f>
        <v>0</v>
      </c>
      <c r="J42" s="8">
        <f>IF(AND(BO42&gt;0,$A42&lt;VLOOKUP(BO$1,$C:$L,10,FALSE)),1,IF(AND(BO42&lt;0,$A42&gt;VLOOKUP(BO$1,$C:$L,10,FALSE)),1,0))</f>
        <v>0</v>
      </c>
      <c r="K42" s="108" t="s">
        <v>135</v>
      </c>
      <c r="L42" s="8">
        <f t="shared" si="21"/>
        <v>0</v>
      </c>
      <c r="M42" s="2">
        <v>10</v>
      </c>
      <c r="N42" s="17">
        <f t="shared" si="22"/>
        <v>2</v>
      </c>
      <c r="O42" s="2">
        <f t="shared" si="23"/>
        <v>4</v>
      </c>
      <c r="P42" s="2">
        <f t="shared" si="24"/>
        <v>0</v>
      </c>
      <c r="Q42" s="18">
        <f>COUNTIF($BI42:$BL42,"&gt;0")</f>
        <v>0</v>
      </c>
      <c r="R42" s="19">
        <f>COUNTIF($BI42:$BL42,"&lt;0")</f>
        <v>3</v>
      </c>
      <c r="S42" s="20">
        <f>COUNTIF($BI42:$BL42,"=0")</f>
        <v>0</v>
      </c>
      <c r="T42" s="2">
        <f t="shared" ref="T42:T43" si="29">COUNTIF(V42:BJ42,"NC")</f>
        <v>0</v>
      </c>
      <c r="U42" s="2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 t="str">
        <f>IFERROR(IFERROR(VLOOKUP($C42&amp;" "&amp;AS$1,Results!$G:$I,3,FALSE),-VLOOKUP($C42&amp;" "&amp;AS$1,Results!$H:$I,2,FALSE)),"")</f>
        <v/>
      </c>
      <c r="AT42" s="14" t="str">
        <f>IFERROR(IFERROR(VLOOKUP($C42&amp;" "&amp;AT$1,Results!$G:$I,3,FALSE),-VLOOKUP($C42&amp;" "&amp;AT$1,Results!$H:$I,2,FALSE)),"")</f>
        <v/>
      </c>
      <c r="AU42" s="14" t="str">
        <f>IFERROR(IFERROR(VLOOKUP($C42&amp;" "&amp;AU$1,Results!$G:$I,3,FALSE),-VLOOKUP($C42&amp;" "&amp;AU$1,Results!$H:$I,2,FALSE)),"")</f>
        <v/>
      </c>
      <c r="AV42" s="14" t="str">
        <f>IFERROR(IFERROR(VLOOKUP($C42&amp;" "&amp;AV$1,Results!$G:$I,3,FALSE),-VLOOKUP($C42&amp;" "&amp;AV$1,Results!$H:$I,2,FALSE)),"")</f>
        <v/>
      </c>
      <c r="AW42" s="14" t="str">
        <f>IFERROR(IFERROR(VLOOKUP($C42&amp;" "&amp;AW$1,Results!$G:$I,3,FALSE),-VLOOKUP($C42&amp;" "&amp;AW$1,Results!$H:$I,2,FALSE)),"")</f>
        <v/>
      </c>
      <c r="AX42" s="14" t="str">
        <f>IFERROR(IFERROR(VLOOKUP($C42&amp;" "&amp;AX$1,Results!$G:$I,3,FALSE),-VLOOKUP($C42&amp;" "&amp;AX$1,Results!$H:$I,2,FALSE)),"")</f>
        <v/>
      </c>
      <c r="AY42" s="14" t="str">
        <f>IFERROR(IFERROR(VLOOKUP($C42&amp;" "&amp;AY$1,Results!$G:$I,3,FALSE),-VLOOKUP($C42&amp;" "&amp;AY$1,Results!$H:$I,2,FALSE)),"")</f>
        <v/>
      </c>
      <c r="AZ42" s="14" t="str">
        <f>IFERROR(IFERROR(VLOOKUP($C42&amp;" "&amp;AZ$1,Results!$G:$I,3,FALSE),-VLOOKUP($C42&amp;" "&amp;AZ$1,Results!$H:$I,2,FALSE)),"")</f>
        <v/>
      </c>
      <c r="BA42" s="14" t="str">
        <f>IFERROR(IFERROR(VLOOKUP($C42&amp;" "&amp;BA$1,Results!$G:$I,3,FALSE),-VLOOKUP($C42&amp;" "&amp;BA$1,Results!$H:$I,2,FALSE)),"")</f>
        <v/>
      </c>
      <c r="BB42" s="14" t="str">
        <f>IFERROR(IFERROR(VLOOKUP($C42&amp;" "&amp;BB$1,Results!$G:$I,3,FALSE),-VLOOKUP($C42&amp;" "&amp;BB$1,Results!$H:$I,2,FALSE)),"")</f>
        <v/>
      </c>
      <c r="BC42" s="14" t="str">
        <f>IFERROR(IFERROR(VLOOKUP($C42&amp;" "&amp;BC$1,Results!$G:$I,3,FALSE),-VLOOKUP($C42&amp;" "&amp;BC$1,Results!$H:$I,2,FALSE)),"")</f>
        <v/>
      </c>
      <c r="BD42" s="14" t="str">
        <f>IFERROR(IFERROR(VLOOKUP($C42&amp;" "&amp;BD$1,Results!$G:$I,3,FALSE),-VLOOKUP($C42&amp;" "&amp;BD$1,Results!$H:$I,2,FALSE)),"")</f>
        <v/>
      </c>
      <c r="BE42" s="14" t="str">
        <f>IFERROR(IFERROR(VLOOKUP($C42&amp;" "&amp;BE$1,Results!$G:$I,3,FALSE),-VLOOKUP($C42&amp;" "&amp;BE$1,Results!$H:$I,2,FALSE)),"")</f>
        <v/>
      </c>
      <c r="BF42" s="14" t="str">
        <f>IFERROR(IFERROR(VLOOKUP($C42&amp;" "&amp;BF$1,Results!$G:$I,3,FALSE),-VLOOKUP($C42&amp;" "&amp;BF$1,Results!$H:$I,2,FALSE)),"")</f>
        <v/>
      </c>
      <c r="BG42" s="14" t="str">
        <f>IFERROR(IFERROR(VLOOKUP($C42&amp;" "&amp;BG$1,Results!$G:$I,3,FALSE),-VLOOKUP($C42&amp;" "&amp;BG$1,Results!$H:$I,2,FALSE)),"")</f>
        <v/>
      </c>
      <c r="BH42" s="14">
        <f>IFERROR(IFERROR(VLOOKUP($C42&amp;" "&amp;BH$1,Results!$G:$I,3,FALSE),-VLOOKUP($C42&amp;" "&amp;BH$1,Results!$H:$I,2,FALSE)),"")</f>
        <v>-25</v>
      </c>
      <c r="BI42" s="74">
        <f>IFERROR(IFERROR(VLOOKUP($C42&amp;" "&amp;BI$1,Results!$G:$I,3,FALSE),-VLOOKUP($C42&amp;" "&amp;BI$1,Results!$H:$I,2,FALSE)),"")</f>
        <v>-147</v>
      </c>
      <c r="BJ42" s="14">
        <f>IFERROR(IFERROR(VLOOKUP($C42&amp;" "&amp;BJ$1,Results!$G:$I,3,FALSE),-VLOOKUP($C42&amp;" "&amp;BJ$1,Results!$H:$I,2,FALSE)),"")</f>
        <v>-128</v>
      </c>
      <c r="BK42" s="14" t="str">
        <f>IFERROR(IFERROR(VLOOKUP($C42&amp;" "&amp;BK$1,Results!$G:$I,3,FALSE),-VLOOKUP($C42&amp;" "&amp;BK$1,Results!$H:$I,2,FALSE)),"")</f>
        <v/>
      </c>
      <c r="BL42" s="79">
        <f>IFERROR(IFERROR(VLOOKUP($C42&amp;" "&amp;BL$1,Results!$G:$I,3,FALSE),-VLOOKUP($C42&amp;" "&amp;BL$1,Results!$H:$I,2,FALSE)),"")</f>
        <v>-122</v>
      </c>
      <c r="BM42" s="14">
        <f>IFERROR(IFERROR(VLOOKUP($C42&amp;" "&amp;BM$1,Results!$G:$I,3,FALSE),-VLOOKUP($C42&amp;" "&amp;BM$1,Results!$H:$I,2,FALSE)),"")</f>
        <v>26</v>
      </c>
      <c r="BN42" s="2">
        <f>IFERROR(IFERROR(VLOOKUP($C42&amp;" "&amp;BN$1,Results!$G:$I,3,FALSE),-VLOOKUP($C42&amp;" "&amp;BN$1,Results!$H:$I,2,FALSE)),"")</f>
        <v>36</v>
      </c>
      <c r="BO42" s="2" t="str">
        <f>IFERROR(IFERROR(VLOOKUP($C42&amp;" "&amp;BO$1,Results!$G:$I,3,FALSE),-VLOOKUP($C42&amp;" "&amp;BO$1,Results!$H:$I,2,FALSE)),"")</f>
        <v/>
      </c>
      <c r="BP42" s="14" t="str">
        <f>IFERROR(IFERROR(VLOOKUP($C42&amp;" "&amp;BP$1,Results!$G:$I,3,FALSE),-VLOOKUP($C42&amp;" "&amp;BP$1,Results!$H:$I,2,FALSE)),"")</f>
        <v/>
      </c>
      <c r="BQ42" s="14" t="str">
        <f>IFERROR(IFERROR(VLOOKUP($C42&amp;" "&amp;BQ$1,Results!$G:$I,3,FALSE),-VLOOKUP($C42&amp;" "&amp;BQ$1,Results!$H:$I,2,FALSE)),"")</f>
        <v/>
      </c>
      <c r="BR42" s="14" t="str">
        <f>IFERROR(IFERROR(VLOOKUP($C42&amp;" "&amp;BR$1,Results!$G:$I,3,FALSE),-VLOOKUP($C42&amp;" "&amp;BR$1,Results!$H:$I,2,FALSE)),"")</f>
        <v/>
      </c>
      <c r="BS42" s="14" t="str">
        <f>IFERROR(IFERROR(VLOOKUP($C42&amp;" "&amp;BS$1,Results!$G:$I,3,FALSE),-VLOOKUP($C42&amp;" "&amp;BS$1,Results!$H:$I,2,FALSE)),"")</f>
        <v/>
      </c>
      <c r="BT42" s="14" t="str">
        <f>IFERROR(IFERROR(VLOOKUP($C42&amp;" "&amp;BT$1,Results!$G:$I,3,FALSE),-VLOOKUP($C42&amp;" "&amp;BT$1,Results!$H:$I,2,FALSE)),"")</f>
        <v/>
      </c>
      <c r="BU42" s="14" t="str">
        <f>IFERROR(IFERROR(VLOOKUP($C42&amp;" "&amp;BU$1,Results!$G:$I,3,FALSE),-VLOOKUP($C42&amp;" "&amp;BU$1,Results!$H:$I,2,FALSE)),"")</f>
        <v/>
      </c>
      <c r="BV42" s="14"/>
      <c r="BW42" s="111">
        <f t="shared" si="7"/>
        <v>-360</v>
      </c>
      <c r="BX42" s="15">
        <f t="shared" si="10"/>
        <v>0</v>
      </c>
      <c r="BY42" s="15">
        <f t="shared" si="11"/>
        <v>5</v>
      </c>
      <c r="BZ42" s="15">
        <f t="shared" si="12"/>
        <v>6</v>
      </c>
      <c r="CA42" s="90">
        <f t="shared" si="28"/>
        <v>0</v>
      </c>
      <c r="CC42" s="22">
        <f t="shared" si="25"/>
        <v>-360</v>
      </c>
      <c r="CE42" s="15">
        <v>37</v>
      </c>
      <c r="CF42" s="15">
        <f t="shared" si="26"/>
        <v>0</v>
      </c>
      <c r="CG42" s="15">
        <f t="shared" si="9"/>
        <v>37</v>
      </c>
    </row>
    <row r="43" spans="2:85" ht="12.75" customHeight="1" thickBot="1">
      <c r="B43" s="15">
        <v>40</v>
      </c>
      <c r="C43" s="32" t="s">
        <v>95</v>
      </c>
      <c r="D43" s="8"/>
      <c r="E43" s="8">
        <f>IF(AND(BI43&gt;0,$A43&lt;VLOOKUP(BI$1,$C:$L,10,FALSE)),1,IF(AND(BI43&lt;0,$A43&gt;VLOOKUP(BI$1,$C:$L,10,FALSE)),1,0))</f>
        <v>0</v>
      </c>
      <c r="F43" s="8">
        <f>IF(AND(BJ43&gt;0,$A43&lt;VLOOKUP(BJ$1,$C:$L,10,FALSE)),1,IF(AND(BJ43&lt;0,$A43&gt;VLOOKUP(BJ$1,$C:$L,10,FALSE)),1,0))</f>
        <v>0</v>
      </c>
      <c r="G43" s="8">
        <f>IF(AND(BK43&gt;0,$A43&lt;VLOOKUP(BK$1,$C:$L,10,FALSE)),1,IF(AND(BK43&lt;0,$A43&gt;VLOOKUP(BK$1,$C:$L,10,FALSE)),1,0))</f>
        <v>0</v>
      </c>
      <c r="H43" s="8">
        <f>IF(AND(BN43&gt;0,$A43&lt;VLOOKUP(BN$1,$C:$L,10,FALSE)),1,IF(AND(BN43&lt;0,$A43&gt;VLOOKUP(BN$1,$C:$L,10,FALSE)),1,0))</f>
        <v>0</v>
      </c>
      <c r="I43" s="8">
        <f>IF(AND(BR43&gt;0,$A43&lt;VLOOKUP(BR$1,$C:$L,10,FALSE)),1,IF(AND(BR43&lt;0,$A43&gt;VLOOKUP(BR$1,$C:$L,10,FALSE)),1,0))</f>
        <v>0</v>
      </c>
      <c r="J43" s="8">
        <f>IF(AND(BS43&gt;0,$A43&lt;VLOOKUP(BS$1,$C:$L,10,FALSE)),1,IF(AND(BS43&lt;0,$A43&gt;VLOOKUP(BS$1,$C:$L,10,FALSE)),1,0))</f>
        <v>0</v>
      </c>
      <c r="K43" s="108" t="s">
        <v>135</v>
      </c>
      <c r="L43" s="8">
        <f t="shared" si="21"/>
        <v>0</v>
      </c>
      <c r="M43" s="2">
        <v>10</v>
      </c>
      <c r="N43" s="17">
        <f t="shared" si="22"/>
        <v>3</v>
      </c>
      <c r="O43" s="2">
        <f t="shared" si="23"/>
        <v>3</v>
      </c>
      <c r="P43" s="2">
        <f t="shared" si="24"/>
        <v>0</v>
      </c>
      <c r="Q43" s="18">
        <f>COUNTIF($BI43:$BL43,"&gt;0")</f>
        <v>2</v>
      </c>
      <c r="R43" s="19">
        <f>COUNTIF($BI43:$BL43,"&lt;0")</f>
        <v>1</v>
      </c>
      <c r="S43" s="20">
        <f>COUNTIF($BI43:$BL43,"=0")</f>
        <v>0</v>
      </c>
      <c r="T43" s="2">
        <f t="shared" si="29"/>
        <v>0</v>
      </c>
      <c r="U43" s="2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 t="str">
        <f>IFERROR(IFERROR(VLOOKUP($C43&amp;" "&amp;AS$1,Results!$G:$I,3,FALSE),-VLOOKUP($C43&amp;" "&amp;AS$1,Results!$H:$I,2,FALSE)),"")</f>
        <v/>
      </c>
      <c r="AT43" s="14" t="str">
        <f>IFERROR(IFERROR(VLOOKUP($C43&amp;" "&amp;AT$1,Results!$G:$I,3,FALSE),-VLOOKUP($C43&amp;" "&amp;AT$1,Results!$H:$I,2,FALSE)),"")</f>
        <v/>
      </c>
      <c r="AU43" s="14" t="str">
        <f>IFERROR(IFERROR(VLOOKUP($C43&amp;" "&amp;AU$1,Results!$G:$I,3,FALSE),-VLOOKUP($C43&amp;" "&amp;AU$1,Results!$H:$I,2,FALSE)),"")</f>
        <v/>
      </c>
      <c r="AV43" s="14" t="str">
        <f>IFERROR(IFERROR(VLOOKUP($C43&amp;" "&amp;AV$1,Results!$G:$I,3,FALSE),-VLOOKUP($C43&amp;" "&amp;AV$1,Results!$H:$I,2,FALSE)),"")</f>
        <v/>
      </c>
      <c r="AW43" s="14" t="str">
        <f>IFERROR(IFERROR(VLOOKUP($C43&amp;" "&amp;AW$1,Results!$G:$I,3,FALSE),-VLOOKUP($C43&amp;" "&amp;AW$1,Results!$H:$I,2,FALSE)),"")</f>
        <v/>
      </c>
      <c r="AX43" s="14" t="str">
        <f>IFERROR(IFERROR(VLOOKUP($C43&amp;" "&amp;AX$1,Results!$G:$I,3,FALSE),-VLOOKUP($C43&amp;" "&amp;AX$1,Results!$H:$I,2,FALSE)),"")</f>
        <v/>
      </c>
      <c r="AY43" s="14" t="str">
        <f>IFERROR(IFERROR(VLOOKUP($C43&amp;" "&amp;AY$1,Results!$G:$I,3,FALSE),-VLOOKUP($C43&amp;" "&amp;AY$1,Results!$H:$I,2,FALSE)),"")</f>
        <v/>
      </c>
      <c r="AZ43" s="14" t="str">
        <f>IFERROR(IFERROR(VLOOKUP($C43&amp;" "&amp;AZ$1,Results!$G:$I,3,FALSE),-VLOOKUP($C43&amp;" "&amp;AZ$1,Results!$H:$I,2,FALSE)),"")</f>
        <v/>
      </c>
      <c r="BA43" s="14" t="str">
        <f>IFERROR(IFERROR(VLOOKUP($C43&amp;" "&amp;BA$1,Results!$G:$I,3,FALSE),-VLOOKUP($C43&amp;" "&amp;BA$1,Results!$H:$I,2,FALSE)),"")</f>
        <v/>
      </c>
      <c r="BB43" s="14" t="str">
        <f>IFERROR(IFERROR(VLOOKUP($C43&amp;" "&amp;BB$1,Results!$G:$I,3,FALSE),-VLOOKUP($C43&amp;" "&amp;BB$1,Results!$H:$I,2,FALSE)),"")</f>
        <v/>
      </c>
      <c r="BC43" s="14" t="str">
        <f>IFERROR(IFERROR(VLOOKUP($C43&amp;" "&amp;BC$1,Results!$G:$I,3,FALSE),-VLOOKUP($C43&amp;" "&amp;BC$1,Results!$H:$I,2,FALSE)),"")</f>
        <v/>
      </c>
      <c r="BD43" s="14" t="str">
        <f>IFERROR(IFERROR(VLOOKUP($C43&amp;" "&amp;BD$1,Results!$G:$I,3,FALSE),-VLOOKUP($C43&amp;" "&amp;BD$1,Results!$H:$I,2,FALSE)),"")</f>
        <v/>
      </c>
      <c r="BE43" s="14" t="str">
        <f>IFERROR(IFERROR(VLOOKUP($C43&amp;" "&amp;BE$1,Results!$G:$I,3,FALSE),-VLOOKUP($C43&amp;" "&amp;BE$1,Results!$H:$I,2,FALSE)),"")</f>
        <v/>
      </c>
      <c r="BF43" s="14" t="str">
        <f>IFERROR(IFERROR(VLOOKUP($C43&amp;" "&amp;BF$1,Results!$G:$I,3,FALSE),-VLOOKUP($C43&amp;" "&amp;BF$1,Results!$H:$I,2,FALSE)),"")</f>
        <v/>
      </c>
      <c r="BG43" s="14" t="str">
        <f>IFERROR(IFERROR(VLOOKUP($C43&amp;" "&amp;BG$1,Results!$G:$I,3,FALSE),-VLOOKUP($C43&amp;" "&amp;BG$1,Results!$H:$I,2,FALSE)),"")</f>
        <v/>
      </c>
      <c r="BH43" s="14" t="str">
        <f>IFERROR(IFERROR(VLOOKUP($C43&amp;" "&amp;BH$1,Results!$G:$I,3,FALSE),-VLOOKUP($C43&amp;" "&amp;BH$1,Results!$H:$I,2,FALSE)),"")</f>
        <v/>
      </c>
      <c r="BI43" s="75">
        <f>IFERROR(IFERROR(VLOOKUP($C43&amp;" "&amp;BI$1,Results!$G:$I,3,FALSE),-VLOOKUP($C43&amp;" "&amp;BI$1,Results!$H:$I,2,FALSE)),"")</f>
        <v>-33</v>
      </c>
      <c r="BJ43" s="80">
        <f>IFERROR(IFERROR(VLOOKUP($C43&amp;" "&amp;BJ$1,Results!$G:$I,3,FALSE),-VLOOKUP($C43&amp;" "&amp;BJ$1,Results!$H:$I,2,FALSE)),"")</f>
        <v>1</v>
      </c>
      <c r="BK43" s="80">
        <f>IFERROR(IFERROR(VLOOKUP($C43&amp;" "&amp;BK$1,Results!$G:$I,3,FALSE),-VLOOKUP($C43&amp;" "&amp;BK$1,Results!$H:$I,2,FALSE)),"")</f>
        <v>122</v>
      </c>
      <c r="BL43" s="81" t="str">
        <f>IFERROR(IFERROR(VLOOKUP($C43&amp;" "&amp;BL$1,Results!$G:$I,3,FALSE),-VLOOKUP($C43&amp;" "&amp;BL$1,Results!$H:$I,2,FALSE)),"")</f>
        <v/>
      </c>
      <c r="BM43" s="14">
        <f>IFERROR(IFERROR(VLOOKUP($C43&amp;" "&amp;BM$1,Results!$G:$I,3,FALSE),-VLOOKUP($C43&amp;" "&amp;BM$1,Results!$H:$I,2,FALSE)),"")</f>
        <v>-24</v>
      </c>
      <c r="BN43" s="2">
        <f>IFERROR(IFERROR(VLOOKUP($C43&amp;" "&amp;BN$1,Results!$G:$I,3,FALSE),-VLOOKUP($C43&amp;" "&amp;BN$1,Results!$H:$I,2,FALSE)),"")</f>
        <v>182</v>
      </c>
      <c r="BO43" s="2">
        <f>IFERROR(IFERROR(VLOOKUP($C43&amp;" "&amp;BO$1,Results!$G:$I,3,FALSE),-VLOOKUP($C43&amp;" "&amp;BO$1,Results!$H:$I,2,FALSE)),"")</f>
        <v>-10</v>
      </c>
      <c r="BP43" s="14" t="str">
        <f>IFERROR(IFERROR(VLOOKUP($C43&amp;" "&amp;BP$1,Results!$G:$I,3,FALSE),-VLOOKUP($C43&amp;" "&amp;BP$1,Results!$H:$I,2,FALSE)),"")</f>
        <v/>
      </c>
      <c r="BQ43" s="14" t="str">
        <f>IFERROR(IFERROR(VLOOKUP($C43&amp;" "&amp;BQ$1,Results!$G:$I,3,FALSE),-VLOOKUP($C43&amp;" "&amp;BQ$1,Results!$H:$I,2,FALSE)),"")</f>
        <v/>
      </c>
      <c r="BR43" s="14" t="str">
        <f>IFERROR(IFERROR(VLOOKUP($C43&amp;" "&amp;BR$1,Results!$G:$I,3,FALSE),-VLOOKUP($C43&amp;" "&amp;BR$1,Results!$H:$I,2,FALSE)),"")</f>
        <v/>
      </c>
      <c r="BS43" s="14" t="str">
        <f>IFERROR(IFERROR(VLOOKUP($C43&amp;" "&amp;BS$1,Results!$G:$I,3,FALSE),-VLOOKUP($C43&amp;" "&amp;BS$1,Results!$H:$I,2,FALSE)),"")</f>
        <v/>
      </c>
      <c r="BT43" s="14" t="str">
        <f>IFERROR(IFERROR(VLOOKUP($C43&amp;" "&amp;BT$1,Results!$G:$I,3,FALSE),-VLOOKUP($C43&amp;" "&amp;BT$1,Results!$H:$I,2,FALSE)),"")</f>
        <v/>
      </c>
      <c r="BU43" s="14" t="str">
        <f>IFERROR(IFERROR(VLOOKUP($C43&amp;" "&amp;BU$1,Results!$G:$I,3,FALSE),-VLOOKUP($C43&amp;" "&amp;BU$1,Results!$H:$I,2,FALSE)),"")</f>
        <v/>
      </c>
      <c r="BV43" s="14"/>
      <c r="BW43" s="111">
        <f t="shared" si="7"/>
        <v>238</v>
      </c>
      <c r="BX43" s="15">
        <f t="shared" si="10"/>
        <v>0</v>
      </c>
      <c r="BY43" s="15">
        <f t="shared" si="11"/>
        <v>5</v>
      </c>
      <c r="BZ43" s="15">
        <f t="shared" si="12"/>
        <v>6</v>
      </c>
      <c r="CA43" s="90">
        <f t="shared" si="28"/>
        <v>0</v>
      </c>
      <c r="CC43" s="22">
        <f t="shared" si="25"/>
        <v>238</v>
      </c>
      <c r="CE43" s="15">
        <v>43</v>
      </c>
      <c r="CF43" s="15">
        <f t="shared" si="26"/>
        <v>0</v>
      </c>
      <c r="CG43" s="15">
        <f t="shared" si="9"/>
        <v>43</v>
      </c>
    </row>
    <row r="44" spans="2:85" ht="12.75" customHeight="1">
      <c r="B44" s="15">
        <v>41</v>
      </c>
      <c r="C44" s="16" t="s">
        <v>38</v>
      </c>
      <c r="D44" s="8"/>
      <c r="E44" s="8">
        <f>IF(AND(BJ44&gt;0,$A44&lt;VLOOKUP(BJ$1,$C:$L,10,FALSE)),1,IF(AND(BJ44&lt;0,$A44&gt;VLOOKUP(BJ$1,$C:$L,10,FALSE)),1,0))</f>
        <v>0</v>
      </c>
      <c r="F44" s="8">
        <f>IF(AND(BK44&gt;0,$A44&lt;VLOOKUP(BK$1,$C:$L,10,FALSE)),1,IF(AND(BK44&lt;0,$A44&gt;VLOOKUP(BK$1,$C:$L,10,FALSE)),1,0))</f>
        <v>0</v>
      </c>
      <c r="G44" s="8">
        <f>IF(AND(BN44&gt;0,$A44&lt;VLOOKUP(BN$1,$C:$L,10,FALSE)),1,IF(AND(BN44&lt;0,$A44&gt;VLOOKUP(BN$1,$C:$L,10,FALSE)),1,0))</f>
        <v>0</v>
      </c>
      <c r="H44" s="8">
        <f>IF(AND(BO44&gt;0,$A44&lt;VLOOKUP(BO$1,$C:$L,10,FALSE)),1,IF(AND(BO44&lt;0,$A44&gt;VLOOKUP(BO$1,$C:$L,10,FALSE)),1,0))</f>
        <v>0</v>
      </c>
      <c r="I44" s="8">
        <f>IF(AND(BP44&gt;0,$A44&lt;VLOOKUP(BP$1,$C:$L,10,FALSE)),1,IF(AND(BP44&lt;0,$A44&gt;VLOOKUP(BP$1,$C:$L,10,FALSE)),1,0))</f>
        <v>0</v>
      </c>
      <c r="J44" s="8">
        <f>IF(AND(BS44&gt;0,$A44&lt;VLOOKUP(BS$1,$C:$L,10,FALSE)),1,IF(AND(BS44&lt;0,$A44&gt;VLOOKUP(BS$1,$C:$L,10,FALSE)),1,0))</f>
        <v>0</v>
      </c>
      <c r="K44" s="108" t="s">
        <v>135</v>
      </c>
      <c r="L44" s="8">
        <f t="shared" si="21"/>
        <v>0</v>
      </c>
      <c r="M44" s="2">
        <v>11</v>
      </c>
      <c r="N44" s="17">
        <f t="shared" si="22"/>
        <v>3</v>
      </c>
      <c r="O44" s="2">
        <f t="shared" si="23"/>
        <v>3</v>
      </c>
      <c r="P44" s="2">
        <f t="shared" si="24"/>
        <v>0</v>
      </c>
      <c r="Q44" s="18">
        <f>COUNTIF($BM44:$BP44,"&gt;0")</f>
        <v>2</v>
      </c>
      <c r="R44" s="19">
        <f>COUNTIF($BM44:$BP44,"&lt;0")</f>
        <v>1</v>
      </c>
      <c r="S44" s="20">
        <f>COUNTIF($BM44:$BP44,"=0")</f>
        <v>0</v>
      </c>
      <c r="T44" s="2">
        <f t="shared" ref="T44:T46" si="30">COUNTIF(V44:BJ44,"NC")</f>
        <v>0</v>
      </c>
      <c r="U44" s="2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 t="str">
        <f>IFERROR(IFERROR(VLOOKUP($C44&amp;" "&amp;AS$1,Results!$G:$I,3,FALSE),-VLOOKUP($C44&amp;" "&amp;AS$1,Results!$H:$I,2,FALSE)),"")</f>
        <v/>
      </c>
      <c r="AT44" s="14" t="str">
        <f>IFERROR(IFERROR(VLOOKUP($C44&amp;" "&amp;AT$1,Results!$G:$I,3,FALSE),-VLOOKUP($C44&amp;" "&amp;AT$1,Results!$H:$I,2,FALSE)),"")</f>
        <v/>
      </c>
      <c r="AU44" s="14" t="str">
        <f>IFERROR(IFERROR(VLOOKUP($C44&amp;" "&amp;AU$1,Results!$G:$I,3,FALSE),-VLOOKUP($C44&amp;" "&amp;AU$1,Results!$H:$I,2,FALSE)),"")</f>
        <v/>
      </c>
      <c r="AV44" s="14" t="str">
        <f>IFERROR(IFERROR(VLOOKUP($C44&amp;" "&amp;AV$1,Results!$G:$I,3,FALSE),-VLOOKUP($C44&amp;" "&amp;AV$1,Results!$H:$I,2,FALSE)),"")</f>
        <v/>
      </c>
      <c r="AW44" s="14" t="str">
        <f>IFERROR(IFERROR(VLOOKUP($C44&amp;" "&amp;AW$1,Results!$G:$I,3,FALSE),-VLOOKUP($C44&amp;" "&amp;AW$1,Results!$H:$I,2,FALSE)),"")</f>
        <v/>
      </c>
      <c r="AX44" s="14" t="str">
        <f>IFERROR(IFERROR(VLOOKUP($C44&amp;" "&amp;AX$1,Results!$G:$I,3,FALSE),-VLOOKUP($C44&amp;" "&amp;AX$1,Results!$H:$I,2,FALSE)),"")</f>
        <v/>
      </c>
      <c r="AY44" s="14" t="str">
        <f>IFERROR(IFERROR(VLOOKUP($C44&amp;" "&amp;AY$1,Results!$G:$I,3,FALSE),-VLOOKUP($C44&amp;" "&amp;AY$1,Results!$H:$I,2,FALSE)),"")</f>
        <v/>
      </c>
      <c r="AZ44" s="14" t="str">
        <f>IFERROR(IFERROR(VLOOKUP($C44&amp;" "&amp;AZ$1,Results!$G:$I,3,FALSE),-VLOOKUP($C44&amp;" "&amp;AZ$1,Results!$H:$I,2,FALSE)),"")</f>
        <v/>
      </c>
      <c r="BA44" s="14" t="str">
        <f>IFERROR(IFERROR(VLOOKUP($C44&amp;" "&amp;BA$1,Results!$G:$I,3,FALSE),-VLOOKUP($C44&amp;" "&amp;BA$1,Results!$H:$I,2,FALSE)),"")</f>
        <v/>
      </c>
      <c r="BB44" s="14" t="str">
        <f>IFERROR(IFERROR(VLOOKUP($C44&amp;" "&amp;BB$1,Results!$G:$I,3,FALSE),-VLOOKUP($C44&amp;" "&amp;BB$1,Results!$H:$I,2,FALSE)),"")</f>
        <v/>
      </c>
      <c r="BC44" s="14" t="str">
        <f>IFERROR(IFERROR(VLOOKUP($C44&amp;" "&amp;BC$1,Results!$G:$I,3,FALSE),-VLOOKUP($C44&amp;" "&amp;BC$1,Results!$H:$I,2,FALSE)),"")</f>
        <v/>
      </c>
      <c r="BD44" s="14" t="str">
        <f>IFERROR(IFERROR(VLOOKUP($C44&amp;" "&amp;BD$1,Results!$G:$I,3,FALSE),-VLOOKUP($C44&amp;" "&amp;BD$1,Results!$H:$I,2,FALSE)),"")</f>
        <v/>
      </c>
      <c r="BE44" s="14" t="str">
        <f>IFERROR(IFERROR(VLOOKUP($C44&amp;" "&amp;BE$1,Results!$G:$I,3,FALSE),-VLOOKUP($C44&amp;" "&amp;BE$1,Results!$H:$I,2,FALSE)),"")</f>
        <v/>
      </c>
      <c r="BF44" s="14" t="str">
        <f>IFERROR(IFERROR(VLOOKUP($C44&amp;" "&amp;BF$1,Results!$G:$I,3,FALSE),-VLOOKUP($C44&amp;" "&amp;BF$1,Results!$H:$I,2,FALSE)),"")</f>
        <v/>
      </c>
      <c r="BG44" s="14" t="str">
        <f>IFERROR(IFERROR(VLOOKUP($C44&amp;" "&amp;BG$1,Results!$G:$I,3,FALSE),-VLOOKUP($C44&amp;" "&amp;BG$1,Results!$H:$I,2,FALSE)),"")</f>
        <v/>
      </c>
      <c r="BH44" s="14" t="str">
        <f>IFERROR(IFERROR(VLOOKUP($C44&amp;" "&amp;BH$1,Results!$G:$I,3,FALSE),-VLOOKUP($C44&amp;" "&amp;BH$1,Results!$H:$I,2,FALSE)),"")</f>
        <v/>
      </c>
      <c r="BI44" s="14" t="str">
        <f>IFERROR(IFERROR(VLOOKUP($C44&amp;" "&amp;BI$1,Results!$G:$I,3,FALSE),-VLOOKUP($C44&amp;" "&amp;BI$1,Results!$H:$I,2,FALSE)),"")</f>
        <v/>
      </c>
      <c r="BJ44" s="14">
        <f>IFERROR(IFERROR(VLOOKUP($C44&amp;" "&amp;BJ$1,Results!$G:$I,3,FALSE),-VLOOKUP($C44&amp;" "&amp;BJ$1,Results!$H:$I,2,FALSE)),"")</f>
        <v>-89</v>
      </c>
      <c r="BK44" s="14">
        <f>IFERROR(IFERROR(VLOOKUP($C44&amp;" "&amp;BK$1,Results!$G:$I,3,FALSE),-VLOOKUP($C44&amp;" "&amp;BK$1,Results!$H:$I,2,FALSE)),"")</f>
        <v>-26</v>
      </c>
      <c r="BL44" s="14">
        <f>IFERROR(IFERROR(VLOOKUP($C44&amp;" "&amp;BL$1,Results!$G:$I,3,FALSE),-VLOOKUP($C44&amp;" "&amp;BL$1,Results!$H:$I,2,FALSE)),"")</f>
        <v>24</v>
      </c>
      <c r="BM44" s="54" t="str">
        <f>IFERROR(IFERROR(VLOOKUP($C44&amp;" "&amp;BM$1,Results!$G:$I,3,FALSE),-VLOOKUP($C44&amp;" "&amp;BM$1,Results!$H:$I,2,FALSE)),"")</f>
        <v/>
      </c>
      <c r="BN44" s="72">
        <f>IFERROR(IFERROR(VLOOKUP($C44&amp;" "&amp;BN$1,Results!$G:$I,3,FALSE),-VLOOKUP($C44&amp;" "&amp;BN$1,Results!$H:$I,2,FALSE)),"")</f>
        <v>121</v>
      </c>
      <c r="BO44" s="72">
        <f>IFERROR(IFERROR(VLOOKUP($C44&amp;" "&amp;BO$1,Results!$G:$I,3,FALSE),-VLOOKUP($C44&amp;" "&amp;BO$1,Results!$H:$I,2,FALSE)),"")</f>
        <v>12</v>
      </c>
      <c r="BP44" s="78">
        <f>IFERROR(IFERROR(VLOOKUP($C44&amp;" "&amp;BP$1,Results!$G:$I,3,FALSE),-VLOOKUP($C44&amp;" "&amp;BP$1,Results!$H:$I,2,FALSE)),"")</f>
        <v>-31</v>
      </c>
      <c r="BQ44" s="14" t="str">
        <f>IFERROR(IFERROR(VLOOKUP($C44&amp;" "&amp;BQ$1,Results!$G:$I,3,FALSE),-VLOOKUP($C44&amp;" "&amp;BQ$1,Results!$H:$I,2,FALSE)),"")</f>
        <v/>
      </c>
      <c r="BR44" s="14" t="str">
        <f>IFERROR(IFERROR(VLOOKUP($C44&amp;" "&amp;BR$1,Results!$G:$I,3,FALSE),-VLOOKUP($C44&amp;" "&amp;BR$1,Results!$H:$I,2,FALSE)),"")</f>
        <v/>
      </c>
      <c r="BS44" s="14" t="str">
        <f>IFERROR(IFERROR(VLOOKUP($C44&amp;" "&amp;BS$1,Results!$G:$I,3,FALSE),-VLOOKUP($C44&amp;" "&amp;BS$1,Results!$H:$I,2,FALSE)),"")</f>
        <v/>
      </c>
      <c r="BT44" s="14" t="str">
        <f>IFERROR(IFERROR(VLOOKUP($C44&amp;" "&amp;BT$1,Results!$G:$I,3,FALSE),-VLOOKUP($C44&amp;" "&amp;BT$1,Results!$H:$I,2,FALSE)),"")</f>
        <v/>
      </c>
      <c r="BU44" s="14" t="str">
        <f>IFERROR(IFERROR(VLOOKUP($C44&amp;" "&amp;BU$1,Results!$G:$I,3,FALSE),-VLOOKUP($C44&amp;" "&amp;BU$1,Results!$H:$I,2,FALSE)),"")</f>
        <v/>
      </c>
      <c r="BV44" s="14"/>
      <c r="BW44" s="111">
        <f t="shared" si="7"/>
        <v>11</v>
      </c>
      <c r="BX44" s="15">
        <f t="shared" si="10"/>
        <v>0</v>
      </c>
      <c r="BY44" s="15">
        <f t="shared" si="11"/>
        <v>5</v>
      </c>
      <c r="BZ44" s="15">
        <f t="shared" si="12"/>
        <v>6</v>
      </c>
      <c r="CA44" s="90">
        <f t="shared" si="28"/>
        <v>0</v>
      </c>
      <c r="CC44" s="22">
        <f t="shared" si="25"/>
        <v>11</v>
      </c>
      <c r="CE44" s="15">
        <v>44</v>
      </c>
      <c r="CF44" s="15">
        <f t="shared" si="26"/>
        <v>0</v>
      </c>
      <c r="CG44" s="15">
        <f t="shared" si="9"/>
        <v>44</v>
      </c>
    </row>
    <row r="45" spans="2:85" ht="12.75" customHeight="1">
      <c r="B45" s="15">
        <v>42</v>
      </c>
      <c r="C45" s="32" t="s">
        <v>113</v>
      </c>
      <c r="D45" s="8"/>
      <c r="E45" s="8">
        <f>IF(AND(BL45&gt;0,$A45&lt;VLOOKUP(BL$1,$C:$L,10,FALSE)),1,IF(AND(BL45&lt;0,$A45&gt;VLOOKUP(BL$1,$C:$L,10,FALSE)),1,0))</f>
        <v>0</v>
      </c>
      <c r="F45" s="8">
        <f>IF(AND(BM45&gt;0,$A45&lt;VLOOKUP(BM$1,$C:$L,10,FALSE)),1,IF(AND(BM45&lt;0,$A45&gt;VLOOKUP(BM$1,$C:$L,10,FALSE)),1,0))</f>
        <v>0</v>
      </c>
      <c r="G45" s="8">
        <f>IF(AND(BO45&gt;0,$A45&lt;VLOOKUP(BO$1,$C:$L,10,FALSE)),1,IF(AND(BO45&lt;0,$A45&gt;VLOOKUP(BO$1,$C:$L,10,FALSE)),1,0))</f>
        <v>0</v>
      </c>
      <c r="H45" s="8">
        <f>IF(AND(BP45&gt;0,$A45&lt;VLOOKUP(BP$1,$C:$L,10,FALSE)),1,IF(AND(BP45&lt;0,$A45&gt;VLOOKUP(BP$1,$C:$L,10,FALSE)),1,0))</f>
        <v>0</v>
      </c>
      <c r="I45" s="8">
        <f>IF(AND(BQ45&gt;0,$A45&lt;VLOOKUP(BQ$1,$C:$L,10,FALSE)),1,IF(AND(BQ45&lt;0,$A45&gt;VLOOKUP(BQ$1,$C:$L,10,FALSE)),1,0))</f>
        <v>0</v>
      </c>
      <c r="J45" s="8">
        <f>IF(AND(BT45&gt;0,$A45&lt;VLOOKUP(BT$1,$C:$L,10,FALSE)),1,IF(AND(BT45&lt;0,$A45&gt;VLOOKUP(BT$1,$C:$L,10,FALSE)),1,0))</f>
        <v>0</v>
      </c>
      <c r="K45" s="108" t="s">
        <v>135</v>
      </c>
      <c r="L45" s="8">
        <f t="shared" si="21"/>
        <v>0</v>
      </c>
      <c r="M45" s="2">
        <v>11</v>
      </c>
      <c r="N45" s="17">
        <f t="shared" si="22"/>
        <v>1</v>
      </c>
      <c r="O45" s="2">
        <f t="shared" si="23"/>
        <v>5</v>
      </c>
      <c r="P45" s="2">
        <f t="shared" si="24"/>
        <v>0</v>
      </c>
      <c r="Q45" s="18">
        <f>COUNTIF($BM45:$BP45,"&gt;0")</f>
        <v>0</v>
      </c>
      <c r="R45" s="19">
        <f>COUNTIF($BM45:$BP45,"&lt;0")</f>
        <v>3</v>
      </c>
      <c r="S45" s="20">
        <f>COUNTIF($BM45:$BP45,"=0")</f>
        <v>0</v>
      </c>
      <c r="T45" s="2">
        <f t="shared" si="30"/>
        <v>0</v>
      </c>
      <c r="U45" s="2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 t="str">
        <f>IFERROR(IFERROR(VLOOKUP($C45&amp;" "&amp;AS$1,Results!$G:$I,3,FALSE),-VLOOKUP($C45&amp;" "&amp;AS$1,Results!$H:$I,2,FALSE)),"")</f>
        <v/>
      </c>
      <c r="AT45" s="14" t="str">
        <f>IFERROR(IFERROR(VLOOKUP($C45&amp;" "&amp;AT$1,Results!$G:$I,3,FALSE),-VLOOKUP($C45&amp;" "&amp;AT$1,Results!$H:$I,2,FALSE)),"")</f>
        <v/>
      </c>
      <c r="AU45" s="14" t="str">
        <f>IFERROR(IFERROR(VLOOKUP($C45&amp;" "&amp;AU$1,Results!$G:$I,3,FALSE),-VLOOKUP($C45&amp;" "&amp;AU$1,Results!$H:$I,2,FALSE)),"")</f>
        <v/>
      </c>
      <c r="AV45" s="14" t="str">
        <f>IFERROR(IFERROR(VLOOKUP($C45&amp;" "&amp;AV$1,Results!$G:$I,3,FALSE),-VLOOKUP($C45&amp;" "&amp;AV$1,Results!$H:$I,2,FALSE)),"")</f>
        <v/>
      </c>
      <c r="AW45" s="14" t="str">
        <f>IFERROR(IFERROR(VLOOKUP($C45&amp;" "&amp;AW$1,Results!$G:$I,3,FALSE),-VLOOKUP($C45&amp;" "&amp;AW$1,Results!$H:$I,2,FALSE)),"")</f>
        <v/>
      </c>
      <c r="AX45" s="14" t="str">
        <f>IFERROR(IFERROR(VLOOKUP($C45&amp;" "&amp;AX$1,Results!$G:$I,3,FALSE),-VLOOKUP($C45&amp;" "&amp;AX$1,Results!$H:$I,2,FALSE)),"")</f>
        <v/>
      </c>
      <c r="AY45" s="14" t="str">
        <f>IFERROR(IFERROR(VLOOKUP($C45&amp;" "&amp;AY$1,Results!$G:$I,3,FALSE),-VLOOKUP($C45&amp;" "&amp;AY$1,Results!$H:$I,2,FALSE)),"")</f>
        <v/>
      </c>
      <c r="AZ45" s="14" t="str">
        <f>IFERROR(IFERROR(VLOOKUP($C45&amp;" "&amp;AZ$1,Results!$G:$I,3,FALSE),-VLOOKUP($C45&amp;" "&amp;AZ$1,Results!$H:$I,2,FALSE)),"")</f>
        <v/>
      </c>
      <c r="BA45" s="14" t="str">
        <f>IFERROR(IFERROR(VLOOKUP($C45&amp;" "&amp;BA$1,Results!$G:$I,3,FALSE),-VLOOKUP($C45&amp;" "&amp;BA$1,Results!$H:$I,2,FALSE)),"")</f>
        <v/>
      </c>
      <c r="BB45" s="14" t="str">
        <f>IFERROR(IFERROR(VLOOKUP($C45&amp;" "&amp;BB$1,Results!$G:$I,3,FALSE),-VLOOKUP($C45&amp;" "&amp;BB$1,Results!$H:$I,2,FALSE)),"")</f>
        <v/>
      </c>
      <c r="BC45" s="14" t="str">
        <f>IFERROR(IFERROR(VLOOKUP($C45&amp;" "&amp;BC$1,Results!$G:$I,3,FALSE),-VLOOKUP($C45&amp;" "&amp;BC$1,Results!$H:$I,2,FALSE)),"")</f>
        <v/>
      </c>
      <c r="BD45" s="14" t="str">
        <f>IFERROR(IFERROR(VLOOKUP($C45&amp;" "&amp;BD$1,Results!$G:$I,3,FALSE),-VLOOKUP($C45&amp;" "&amp;BD$1,Results!$H:$I,2,FALSE)),"")</f>
        <v/>
      </c>
      <c r="BE45" s="14" t="str">
        <f>IFERROR(IFERROR(VLOOKUP($C45&amp;" "&amp;BE$1,Results!$G:$I,3,FALSE),-VLOOKUP($C45&amp;" "&amp;BE$1,Results!$H:$I,2,FALSE)),"")</f>
        <v/>
      </c>
      <c r="BF45" s="14" t="str">
        <f>IFERROR(IFERROR(VLOOKUP($C45&amp;" "&amp;BF$1,Results!$G:$I,3,FALSE),-VLOOKUP($C45&amp;" "&amp;BF$1,Results!$H:$I,2,FALSE)),"")</f>
        <v/>
      </c>
      <c r="BG45" s="14" t="str">
        <f>IFERROR(IFERROR(VLOOKUP($C45&amp;" "&amp;BG$1,Results!$G:$I,3,FALSE),-VLOOKUP($C45&amp;" "&amp;BG$1,Results!$H:$I,2,FALSE)),"")</f>
        <v/>
      </c>
      <c r="BH45" s="14" t="str">
        <f>IFERROR(IFERROR(VLOOKUP($C45&amp;" "&amp;BH$1,Results!$G:$I,3,FALSE),-VLOOKUP($C45&amp;" "&amp;BH$1,Results!$H:$I,2,FALSE)),"")</f>
        <v/>
      </c>
      <c r="BI45" s="14" t="str">
        <f>IFERROR(IFERROR(VLOOKUP($C45&amp;" "&amp;BI$1,Results!$G:$I,3,FALSE),-VLOOKUP($C45&amp;" "&amp;BI$1,Results!$H:$I,2,FALSE)),"")</f>
        <v/>
      </c>
      <c r="BJ45" s="14" t="str">
        <f>IFERROR(IFERROR(VLOOKUP($C45&amp;" "&amp;BJ$1,Results!$G:$I,3,FALSE),-VLOOKUP($C45&amp;" "&amp;BJ$1,Results!$H:$I,2,FALSE)),"")</f>
        <v/>
      </c>
      <c r="BK45" s="14">
        <f>IFERROR(IFERROR(VLOOKUP($C45&amp;" "&amp;BK$1,Results!$G:$I,3,FALSE),-VLOOKUP($C45&amp;" "&amp;BK$1,Results!$H:$I,2,FALSE)),"")</f>
        <v>-36</v>
      </c>
      <c r="BL45" s="14">
        <f>IFERROR(IFERROR(VLOOKUP($C45&amp;" "&amp;BL$1,Results!$G:$I,3,FALSE),-VLOOKUP($C45&amp;" "&amp;BL$1,Results!$H:$I,2,FALSE)),"")</f>
        <v>-182</v>
      </c>
      <c r="BM45" s="74">
        <f>IFERROR(IFERROR(VLOOKUP($C45&amp;" "&amp;BM$1,Results!$G:$I,3,FALSE),-VLOOKUP($C45&amp;" "&amp;BM$1,Results!$H:$I,2,FALSE)),"")</f>
        <v>-121</v>
      </c>
      <c r="BN45" s="14" t="str">
        <f>IFERROR(IFERROR(VLOOKUP($C45&amp;" "&amp;BN$1,Results!$G:$I,3,FALSE),-VLOOKUP($C45&amp;" "&amp;BN$1,Results!$H:$I,2,FALSE)),"")</f>
        <v/>
      </c>
      <c r="BO45" s="14">
        <f>IFERROR(IFERROR(VLOOKUP($C45&amp;" "&amp;BO$1,Results!$G:$I,3,FALSE),-VLOOKUP($C45&amp;" "&amp;BO$1,Results!$H:$I,2,FALSE)),"")</f>
        <v>-147</v>
      </c>
      <c r="BP45" s="79">
        <f>IFERROR(IFERROR(VLOOKUP($C45&amp;" "&amp;BP$1,Results!$G:$I,3,FALSE),-VLOOKUP($C45&amp;" "&amp;BP$1,Results!$H:$I,2,FALSE)),"")</f>
        <v>-19</v>
      </c>
      <c r="BQ45" s="14" t="str">
        <f>IFERROR(IFERROR(VLOOKUP($C45&amp;" "&amp;BQ$1,Results!$G:$I,3,FALSE),-VLOOKUP($C45&amp;" "&amp;BQ$1,Results!$H:$I,2,FALSE)),"")</f>
        <v/>
      </c>
      <c r="BR45" s="14" t="str">
        <f>IFERROR(IFERROR(VLOOKUP($C45&amp;" "&amp;BR$1,Results!$G:$I,3,FALSE),-VLOOKUP($C45&amp;" "&amp;BR$1,Results!$H:$I,2,FALSE)),"")</f>
        <v/>
      </c>
      <c r="BS45" s="14" t="str">
        <f>IFERROR(IFERROR(VLOOKUP($C45&amp;" "&amp;BS$1,Results!$G:$I,3,FALSE),-VLOOKUP($C45&amp;" "&amp;BS$1,Results!$H:$I,2,FALSE)),"")</f>
        <v/>
      </c>
      <c r="BT45" s="14" t="str">
        <f>IFERROR(IFERROR(VLOOKUP($C45&amp;" "&amp;BT$1,Results!$G:$I,3,FALSE),-VLOOKUP($C45&amp;" "&amp;BT$1,Results!$H:$I,2,FALSE)),"")</f>
        <v/>
      </c>
      <c r="BU45" s="14">
        <f>IFERROR(IFERROR(VLOOKUP($C45&amp;" "&amp;BU$1,Results!$G:$I,3,FALSE),-VLOOKUP($C45&amp;" "&amp;BU$1,Results!$H:$I,2,FALSE)),"")</f>
        <v>231</v>
      </c>
      <c r="BV45" s="14" t="str">
        <f>IFERROR(IFERROR(VLOOKUP($C45&amp;" "&amp;BV$1,Results!$G:$I,3,FALSE),-VLOOKUP($C45&amp;" "&amp;BV$1,Results!$H:$I,2,FALSE)),"")</f>
        <v/>
      </c>
      <c r="BW45" s="111">
        <f t="shared" si="7"/>
        <v>-505</v>
      </c>
      <c r="BX45" s="15">
        <f>COUNTIF(E45:I45,1)</f>
        <v>0</v>
      </c>
      <c r="BY45" s="15">
        <f>COUNTIF(E45:H45,0)</f>
        <v>4</v>
      </c>
      <c r="BZ45" s="15">
        <f t="shared" si="12"/>
        <v>6</v>
      </c>
      <c r="CA45" s="90">
        <f t="shared" si="28"/>
        <v>0</v>
      </c>
      <c r="CC45" s="22">
        <f t="shared" si="25"/>
        <v>-274</v>
      </c>
      <c r="CE45" s="15">
        <v>47</v>
      </c>
      <c r="CF45" s="15">
        <f t="shared" si="26"/>
        <v>0</v>
      </c>
      <c r="CG45" s="15">
        <f t="shared" si="9"/>
        <v>47</v>
      </c>
    </row>
    <row r="46" spans="2:85" ht="12.75" customHeight="1">
      <c r="B46" s="15">
        <v>43</v>
      </c>
      <c r="C46" s="16" t="s">
        <v>34</v>
      </c>
      <c r="D46" s="8"/>
      <c r="E46" s="8">
        <f>IF(AND(BK46&gt;0,$A46&lt;VLOOKUP(BK$1,$C:$L,10,FALSE)),1,IF(AND(BK46&lt;0,$A46&gt;VLOOKUP(BK$1,$C:$L,10,FALSE)),1,0))</f>
        <v>0</v>
      </c>
      <c r="F46" s="8">
        <f>IF(AND(BM46&gt;0,$A46&lt;VLOOKUP(BM$1,$C:$L,10,FALSE)),1,IF(AND(BM46&lt;0,$A46&gt;VLOOKUP(BM$1,$C:$L,10,FALSE)),1,0))</f>
        <v>0</v>
      </c>
      <c r="G46" s="8">
        <f>IF(AND(BN46&gt;0,$A46&lt;VLOOKUP(BN$1,$C:$L,10,FALSE)),1,IF(AND(BN46&lt;0,$A46&gt;VLOOKUP(BN$1,$C:$L,10,FALSE)),1,0))</f>
        <v>0</v>
      </c>
      <c r="H46" s="8">
        <f>IF(AND(BR46&gt;0,$A46&lt;VLOOKUP(BR$1,$C:$L,10,FALSE)),1,IF(AND(BR46&lt;0,$A46&gt;VLOOKUP(BR$1,$C:$L,10,FALSE)),1,0))</f>
        <v>0</v>
      </c>
      <c r="I46" s="8">
        <f>IF(AND(BT46&gt;0,$A46&lt;VLOOKUP(BT$1,$C:$L,10,FALSE)),1,IF(AND(BT46&lt;0,$A46&gt;VLOOKUP(BT$1,$C:$L,10,FALSE)),1,0))</f>
        <v>0</v>
      </c>
      <c r="J46" s="8">
        <f>IF(AND(BU46&gt;0,$A46&lt;VLOOKUP(BU$1,$C:$L,10,FALSE)),1,IF(AND(BU46&lt;0,$A46&gt;VLOOKUP(BU$1,$C:$L,10,FALSE)),1,0))</f>
        <v>0</v>
      </c>
      <c r="K46" s="108" t="s">
        <v>135</v>
      </c>
      <c r="L46" s="8">
        <f t="shared" si="21"/>
        <v>0</v>
      </c>
      <c r="M46" s="2">
        <v>11</v>
      </c>
      <c r="N46" s="17">
        <f t="shared" si="22"/>
        <v>5</v>
      </c>
      <c r="O46" s="2">
        <f t="shared" si="23"/>
        <v>1</v>
      </c>
      <c r="P46" s="2">
        <f t="shared" si="24"/>
        <v>0</v>
      </c>
      <c r="Q46" s="18">
        <f>COUNTIF($BM46:$BP46,"&gt;0")</f>
        <v>2</v>
      </c>
      <c r="R46" s="19">
        <f>COUNTIF($BM46:$BP46,"&lt;0")</f>
        <v>1</v>
      </c>
      <c r="S46" s="20">
        <f>COUNTIF($BM46:$BP46,"=0")</f>
        <v>0</v>
      </c>
      <c r="T46" s="2">
        <f t="shared" si="30"/>
        <v>0</v>
      </c>
      <c r="U46" s="2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 t="str">
        <f>IFERROR(IFERROR(VLOOKUP($C46&amp;" "&amp;AS$1,Results!$G:$I,3,FALSE),-VLOOKUP($C46&amp;" "&amp;AS$1,Results!$H:$I,2,FALSE)),"")</f>
        <v/>
      </c>
      <c r="AT46" s="14" t="str">
        <f>IFERROR(IFERROR(VLOOKUP($C46&amp;" "&amp;AT$1,Results!$G:$I,3,FALSE),-VLOOKUP($C46&amp;" "&amp;AT$1,Results!$H:$I,2,FALSE)),"")</f>
        <v/>
      </c>
      <c r="AU46" s="14" t="str">
        <f>IFERROR(IFERROR(VLOOKUP($C46&amp;" "&amp;AU$1,Results!$G:$I,3,FALSE),-VLOOKUP($C46&amp;" "&amp;AU$1,Results!$H:$I,2,FALSE)),"")</f>
        <v/>
      </c>
      <c r="AV46" s="14" t="str">
        <f>IFERROR(IFERROR(VLOOKUP($C46&amp;" "&amp;AV$1,Results!$G:$I,3,FALSE),-VLOOKUP($C46&amp;" "&amp;AV$1,Results!$H:$I,2,FALSE)),"")</f>
        <v/>
      </c>
      <c r="AW46" s="14" t="str">
        <f>IFERROR(IFERROR(VLOOKUP($C46&amp;" "&amp;AW$1,Results!$G:$I,3,FALSE),-VLOOKUP($C46&amp;" "&amp;AW$1,Results!$H:$I,2,FALSE)),"")</f>
        <v/>
      </c>
      <c r="AX46" s="14" t="str">
        <f>IFERROR(IFERROR(VLOOKUP($C46&amp;" "&amp;AX$1,Results!$G:$I,3,FALSE),-VLOOKUP($C46&amp;" "&amp;AX$1,Results!$H:$I,2,FALSE)),"")</f>
        <v/>
      </c>
      <c r="AY46" s="14" t="str">
        <f>IFERROR(IFERROR(VLOOKUP($C46&amp;" "&amp;AY$1,Results!$G:$I,3,FALSE),-VLOOKUP($C46&amp;" "&amp;AY$1,Results!$H:$I,2,FALSE)),"")</f>
        <v/>
      </c>
      <c r="AZ46" s="14" t="str">
        <f>IFERROR(IFERROR(VLOOKUP($C46&amp;" "&amp;AZ$1,Results!$G:$I,3,FALSE),-VLOOKUP($C46&amp;" "&amp;AZ$1,Results!$H:$I,2,FALSE)),"")</f>
        <v/>
      </c>
      <c r="BA46" s="14" t="str">
        <f>IFERROR(IFERROR(VLOOKUP($C46&amp;" "&amp;BA$1,Results!$G:$I,3,FALSE),-VLOOKUP($C46&amp;" "&amp;BA$1,Results!$H:$I,2,FALSE)),"")</f>
        <v/>
      </c>
      <c r="BB46" s="14" t="str">
        <f>IFERROR(IFERROR(VLOOKUP($C46&amp;" "&amp;BB$1,Results!$G:$I,3,FALSE),-VLOOKUP($C46&amp;" "&amp;BB$1,Results!$H:$I,2,FALSE)),"")</f>
        <v/>
      </c>
      <c r="BC46" s="14" t="str">
        <f>IFERROR(IFERROR(VLOOKUP($C46&amp;" "&amp;BC$1,Results!$G:$I,3,FALSE),-VLOOKUP($C46&amp;" "&amp;BC$1,Results!$H:$I,2,FALSE)),"")</f>
        <v/>
      </c>
      <c r="BD46" s="14" t="str">
        <f>IFERROR(IFERROR(VLOOKUP($C46&amp;" "&amp;BD$1,Results!$G:$I,3,FALSE),-VLOOKUP($C46&amp;" "&amp;BD$1,Results!$H:$I,2,FALSE)),"")</f>
        <v/>
      </c>
      <c r="BE46" s="14" t="str">
        <f>IFERROR(IFERROR(VLOOKUP($C46&amp;" "&amp;BE$1,Results!$G:$I,3,FALSE),-VLOOKUP($C46&amp;" "&amp;BE$1,Results!$H:$I,2,FALSE)),"")</f>
        <v/>
      </c>
      <c r="BF46" s="14" t="str">
        <f>IFERROR(IFERROR(VLOOKUP($C46&amp;" "&amp;BF$1,Results!$G:$I,3,FALSE),-VLOOKUP($C46&amp;" "&amp;BF$1,Results!$H:$I,2,FALSE)),"")</f>
        <v/>
      </c>
      <c r="BG46" s="14" t="str">
        <f>IFERROR(IFERROR(VLOOKUP($C46&amp;" "&amp;BG$1,Results!$G:$I,3,FALSE),-VLOOKUP($C46&amp;" "&amp;BG$1,Results!$H:$I,2,FALSE)),"")</f>
        <v/>
      </c>
      <c r="BH46" s="14" t="str">
        <f>IFERROR(IFERROR(VLOOKUP($C46&amp;" "&amp;BH$1,Results!$G:$I,3,FALSE),-VLOOKUP($C46&amp;" "&amp;BH$1,Results!$H:$I,2,FALSE)),"")</f>
        <v/>
      </c>
      <c r="BI46" s="14" t="str">
        <f>IFERROR(IFERROR(VLOOKUP($C46&amp;" "&amp;BI$1,Results!$G:$I,3,FALSE),-VLOOKUP($C46&amp;" "&amp;BI$1,Results!$H:$I,2,FALSE)),"")</f>
        <v/>
      </c>
      <c r="BJ46" s="14" t="str">
        <f>IFERROR(IFERROR(VLOOKUP($C46&amp;" "&amp;BJ$1,Results!$G:$I,3,FALSE),-VLOOKUP($C46&amp;" "&amp;BJ$1,Results!$H:$I,2,FALSE)),"")</f>
        <v/>
      </c>
      <c r="BK46" s="14" t="str">
        <f>IFERROR(IFERROR(VLOOKUP($C46&amp;" "&amp;BK$1,Results!$G:$I,3,FALSE),-VLOOKUP($C46&amp;" "&amp;BK$1,Results!$H:$I,2,FALSE)),"")</f>
        <v/>
      </c>
      <c r="BL46" s="14">
        <f>IFERROR(IFERROR(VLOOKUP($C46&amp;" "&amp;BL$1,Results!$G:$I,3,FALSE),-VLOOKUP($C46&amp;" "&amp;BL$1,Results!$H:$I,2,FALSE)),"")</f>
        <v>10</v>
      </c>
      <c r="BM46" s="74">
        <f>IFERROR(IFERROR(VLOOKUP($C46&amp;" "&amp;BM$1,Results!$G:$I,3,FALSE),-VLOOKUP($C46&amp;" "&amp;BM$1,Results!$H:$I,2,FALSE)),"")</f>
        <v>-12</v>
      </c>
      <c r="BN46" s="14">
        <f>IFERROR(IFERROR(VLOOKUP($C46&amp;" "&amp;BN$1,Results!$G:$I,3,FALSE),-VLOOKUP($C46&amp;" "&amp;BN$1,Results!$H:$I,2,FALSE)),"")</f>
        <v>147</v>
      </c>
      <c r="BO46" s="14" t="str">
        <f>IFERROR(IFERROR(VLOOKUP($C46&amp;" "&amp;BO$1,Results!$G:$I,3,FALSE),-VLOOKUP($C46&amp;" "&amp;BO$1,Results!$H:$I,2,FALSE)),"")</f>
        <v/>
      </c>
      <c r="BP46" s="79">
        <f>IFERROR(IFERROR(VLOOKUP($C46&amp;" "&amp;BP$1,Results!$G:$I,3,FALSE),-VLOOKUP($C46&amp;" "&amp;BP$1,Results!$H:$I,2,FALSE)),"")</f>
        <v>41</v>
      </c>
      <c r="BQ46" s="14">
        <f>IFERROR(IFERROR(VLOOKUP($C46&amp;" "&amp;BQ$1,Results!$G:$I,3,FALSE),-VLOOKUP($C46&amp;" "&amp;BQ$1,Results!$H:$I,2,FALSE)),"")</f>
        <v>181</v>
      </c>
      <c r="BR46" s="14" t="str">
        <f>IFERROR(IFERROR(VLOOKUP($C46&amp;" "&amp;BR$1,Results!$G:$I,3,FALSE),-VLOOKUP($C46&amp;" "&amp;BR$1,Results!$H:$I,2,FALSE)),"")</f>
        <v/>
      </c>
      <c r="BS46" s="14" t="str">
        <f>IFERROR(IFERROR(VLOOKUP($C46&amp;" "&amp;BS$1,Results!$G:$I,3,FALSE),-VLOOKUP($C46&amp;" "&amp;BS$1,Results!$H:$I,2,FALSE)),"")</f>
        <v/>
      </c>
      <c r="BT46" s="14">
        <f>IFERROR(IFERROR(VLOOKUP($C46&amp;" "&amp;BT$1,Results!$G:$I,3,FALSE),-VLOOKUP($C46&amp;" "&amp;BT$1,Results!$H:$I,2,FALSE)),"")</f>
        <v>283</v>
      </c>
      <c r="BU46" s="14" t="str">
        <f>IFERROR(IFERROR(VLOOKUP($C46&amp;" "&amp;BU$1,Results!$G:$I,3,FALSE),-VLOOKUP($C46&amp;" "&amp;BU$1,Results!$H:$I,2,FALSE)),"")</f>
        <v/>
      </c>
      <c r="BV46" s="14" t="str">
        <f>IFERROR(IFERROR(VLOOKUP($C46&amp;" "&amp;BV$1,Results!$G:$I,3,FALSE),-VLOOKUP($C46&amp;" "&amp;BV$1,Results!$H:$I,2,FALSE)),"")</f>
        <v/>
      </c>
      <c r="BW46" s="111">
        <f t="shared" si="7"/>
        <v>650</v>
      </c>
      <c r="BX46" s="15">
        <f>COUNTIF(E46:I46,1)</f>
        <v>0</v>
      </c>
      <c r="BY46" s="15">
        <f>COUNTIF(E46:I46,0)</f>
        <v>5</v>
      </c>
      <c r="BZ46" s="15">
        <f t="shared" si="12"/>
        <v>6</v>
      </c>
      <c r="CA46" s="90">
        <f t="shared" si="28"/>
        <v>0</v>
      </c>
      <c r="CC46" s="22">
        <f t="shared" si="25"/>
        <v>650</v>
      </c>
      <c r="CE46" s="15">
        <v>46</v>
      </c>
      <c r="CF46" s="15">
        <f t="shared" si="26"/>
        <v>0</v>
      </c>
      <c r="CG46" s="15">
        <f t="shared" si="9"/>
        <v>46</v>
      </c>
    </row>
    <row r="47" spans="2:85" ht="12.75" customHeight="1" thickBot="1">
      <c r="B47" s="15">
        <v>44</v>
      </c>
      <c r="C47" s="16" t="s">
        <v>31</v>
      </c>
      <c r="D47" s="59"/>
      <c r="E47" s="8">
        <f>IF(AND(BM47&gt;0,$A47&lt;VLOOKUP(BM$1,$C:$L,10,FALSE)),1,IF(AND(BM47&lt;0,$A47&gt;VLOOKUP(BM$1,$C:$L,10,FALSE)),1,0))</f>
        <v>0</v>
      </c>
      <c r="F47" s="8">
        <f>IF(AND(BN47&gt;0,$A47&lt;VLOOKUP(BN$1,$C:$L,10,FALSE)),1,IF(AND(BN47&lt;0,$A47&gt;VLOOKUP(BN$1,$C:$L,10,FALSE)),1,0))</f>
        <v>0</v>
      </c>
      <c r="G47" s="8" t="s">
        <v>162</v>
      </c>
      <c r="H47" s="8">
        <f>IF(AND(BQ47&gt;0,$A47&lt;VLOOKUP(BQ$1,$C:$L,10,FALSE)),1,IF(AND(BQ47&lt;0,$A47&gt;VLOOKUP(BQ$1,$C:$L,10,FALSE)),1,0))</f>
        <v>0</v>
      </c>
      <c r="I47" s="8">
        <f>IF(AND(BR47&gt;0,$A47&lt;VLOOKUP(BR$1,$C:$L,10,FALSE)),1,IF(AND(BR47&lt;0,$A47&gt;VLOOKUP(BR$1,$C:$L,10,FALSE)),1,0))</f>
        <v>0</v>
      </c>
      <c r="J47" s="8">
        <f>IF(AND(BU47&gt;0,$A47&lt;VLOOKUP(BU$1,$C:$L,10,FALSE)),1,IF(AND(BU47&lt;0,$A47&gt;VLOOKUP(BU$1,$C:$L,10,FALSE)),1,0))</f>
        <v>0</v>
      </c>
      <c r="K47" s="108" t="s">
        <v>135</v>
      </c>
      <c r="L47" s="8">
        <f t="shared" si="21"/>
        <v>0</v>
      </c>
      <c r="M47" s="2">
        <v>11</v>
      </c>
      <c r="N47" s="17">
        <f>COUNTIF($V47:$BV47,"&gt;0")</f>
        <v>4</v>
      </c>
      <c r="O47" s="2">
        <f>COUNTIF($V47:$BV47,"&lt;0")</f>
        <v>1</v>
      </c>
      <c r="P47" s="2">
        <f>COUNTIF($V47:$BV47,"=0")</f>
        <v>0</v>
      </c>
      <c r="Q47" s="18">
        <f>COUNTIF($BM47:$BP47,"&gt;0")</f>
        <v>2</v>
      </c>
      <c r="R47" s="19">
        <f>COUNTIF($BM47:$BP47,"&lt;0")</f>
        <v>1</v>
      </c>
      <c r="S47" s="20">
        <f>COUNTIF($BM47:$BP47,"=0")</f>
        <v>0</v>
      </c>
      <c r="T47" s="2">
        <f t="shared" ref="T47" si="31">COUNTIF(V47:BJ47,"NC")</f>
        <v>0</v>
      </c>
      <c r="U47" s="2"/>
      <c r="V47" s="13"/>
      <c r="W47" s="13"/>
      <c r="X47" s="13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 t="str">
        <f>IFERROR(IFERROR(VLOOKUP($C47&amp;" "&amp;AS$1,Results!$G:$I,3,FALSE),-VLOOKUP($C47&amp;" "&amp;AS$1,Results!$H:$I,2,FALSE)),"")</f>
        <v/>
      </c>
      <c r="AT47" s="14" t="str">
        <f>IFERROR(IFERROR(VLOOKUP($C47&amp;" "&amp;AT$1,Results!$G:$I,3,FALSE),-VLOOKUP($C47&amp;" "&amp;AT$1,Results!$H:$I,2,FALSE)),"")</f>
        <v/>
      </c>
      <c r="AU47" s="14" t="str">
        <f>IFERROR(IFERROR(VLOOKUP($C47&amp;" "&amp;AU$1,Results!$G:$I,3,FALSE),-VLOOKUP($C47&amp;" "&amp;AU$1,Results!$H:$I,2,FALSE)),"")</f>
        <v/>
      </c>
      <c r="AV47" s="14" t="str">
        <f>IFERROR(IFERROR(VLOOKUP($C47&amp;" "&amp;AV$1,Results!$G:$I,3,FALSE),-VLOOKUP($C47&amp;" "&amp;AV$1,Results!$H:$I,2,FALSE)),"")</f>
        <v/>
      </c>
      <c r="AW47" s="14" t="str">
        <f>IFERROR(IFERROR(VLOOKUP($C47&amp;" "&amp;AW$1,Results!$G:$I,3,FALSE),-VLOOKUP($C47&amp;" "&amp;AW$1,Results!$H:$I,2,FALSE)),"")</f>
        <v/>
      </c>
      <c r="AX47" s="14" t="str">
        <f>IFERROR(IFERROR(VLOOKUP($C47&amp;" "&amp;AX$1,Results!$G:$I,3,FALSE),-VLOOKUP($C47&amp;" "&amp;AX$1,Results!$H:$I,2,FALSE)),"")</f>
        <v/>
      </c>
      <c r="AY47" s="14" t="str">
        <f>IFERROR(IFERROR(VLOOKUP($C47&amp;" "&amp;AY$1,Results!$G:$I,3,FALSE),-VLOOKUP($C47&amp;" "&amp;AY$1,Results!$H:$I,2,FALSE)),"")</f>
        <v/>
      </c>
      <c r="AZ47" s="14" t="str">
        <f>IFERROR(IFERROR(VLOOKUP($C47&amp;" "&amp;AZ$1,Results!$G:$I,3,FALSE),-VLOOKUP($C47&amp;" "&amp;AZ$1,Results!$H:$I,2,FALSE)),"")</f>
        <v/>
      </c>
      <c r="BA47" s="14" t="str">
        <f>IFERROR(IFERROR(VLOOKUP($C47&amp;" "&amp;BA$1,Results!$G:$I,3,FALSE),-VLOOKUP($C47&amp;" "&amp;BA$1,Results!$H:$I,2,FALSE)),"")</f>
        <v/>
      </c>
      <c r="BB47" s="14" t="str">
        <f>IFERROR(IFERROR(VLOOKUP($C47&amp;" "&amp;BB$1,Results!$G:$I,3,FALSE),-VLOOKUP($C47&amp;" "&amp;BB$1,Results!$H:$I,2,FALSE)),"")</f>
        <v/>
      </c>
      <c r="BC47" s="14" t="str">
        <f>IFERROR(IFERROR(VLOOKUP($C47&amp;" "&amp;BC$1,Results!$G:$I,3,FALSE),-VLOOKUP($C47&amp;" "&amp;BC$1,Results!$H:$I,2,FALSE)),"")</f>
        <v/>
      </c>
      <c r="BD47" s="14" t="str">
        <f>IFERROR(IFERROR(VLOOKUP($C47&amp;" "&amp;BD$1,Results!$G:$I,3,FALSE),-VLOOKUP($C47&amp;" "&amp;BD$1,Results!$H:$I,2,FALSE)),"")</f>
        <v/>
      </c>
      <c r="BE47" s="14" t="str">
        <f>IFERROR(IFERROR(VLOOKUP($C47&amp;" "&amp;BE$1,Results!$G:$I,3,FALSE),-VLOOKUP($C47&amp;" "&amp;BE$1,Results!$H:$I,2,FALSE)),"")</f>
        <v/>
      </c>
      <c r="BF47" s="14" t="str">
        <f>IFERROR(IFERROR(VLOOKUP($C47&amp;" "&amp;BF$1,Results!$G:$I,3,FALSE),-VLOOKUP($C47&amp;" "&amp;BF$1,Results!$H:$I,2,FALSE)),"")</f>
        <v/>
      </c>
      <c r="BG47" s="14" t="str">
        <f>IFERROR(IFERROR(VLOOKUP($C47&amp;" "&amp;BG$1,Results!$G:$I,3,FALSE),-VLOOKUP($C47&amp;" "&amp;BG$1,Results!$H:$I,2,FALSE)),"")</f>
        <v/>
      </c>
      <c r="BH47" s="14" t="str">
        <f>IFERROR(IFERROR(VLOOKUP($C47&amp;" "&amp;BH$1,Results!$G:$I,3,FALSE),-VLOOKUP($C47&amp;" "&amp;BH$1,Results!$H:$I,2,FALSE)),"")</f>
        <v/>
      </c>
      <c r="BI47" s="30" t="str">
        <f>IFERROR(IFERROR(VLOOKUP($C47&amp;" "&amp;BI$1,Results!$G:$I,3,FALSE),-VLOOKUP($C47&amp;" "&amp;BI$1,Results!$H:$I,2,FALSE)),"")</f>
        <v/>
      </c>
      <c r="BJ47" s="14" t="str">
        <f>IFERROR(IFERROR(VLOOKUP($C47&amp;" "&amp;BJ$1,Results!$G:$I,3,FALSE),-VLOOKUP($C47&amp;" "&amp;BJ$1,Results!$H:$I,2,FALSE)),"")</f>
        <v/>
      </c>
      <c r="BK47" s="14" t="str">
        <f>IFERROR(IFERROR(VLOOKUP($C47&amp;" "&amp;BK$1,Results!$G:$I,3,FALSE),-VLOOKUP($C47&amp;" "&amp;BK$1,Results!$H:$I,2,FALSE)),"")</f>
        <v/>
      </c>
      <c r="BL47" s="14" t="str">
        <f>IFERROR(IFERROR(VLOOKUP($C47&amp;" "&amp;BL$1,Results!$G:$I,3,FALSE),-VLOOKUP($C47&amp;" "&amp;BL$1,Results!$H:$I,2,FALSE)),"")</f>
        <v/>
      </c>
      <c r="BM47" s="75">
        <f>IFERROR(IFERROR(VLOOKUP($C47&amp;" "&amp;BM$1,Results!$G:$I,3,FALSE),-VLOOKUP($C47&amp;" "&amp;BM$1,Results!$H:$I,2,FALSE)),"")</f>
        <v>31</v>
      </c>
      <c r="BN47" s="80">
        <f>IFERROR(IFERROR(VLOOKUP($C47&amp;" "&amp;BN$1,Results!$G:$I,3,FALSE),-VLOOKUP($C47&amp;" "&amp;BN$1,Results!$H:$I,2,FALSE)),"")</f>
        <v>19</v>
      </c>
      <c r="BO47" s="80">
        <f>IFERROR(IFERROR(VLOOKUP($C47&amp;" "&amp;BO$1,Results!$G:$I,3,FALSE),-VLOOKUP($C47&amp;" "&amp;BO$1,Results!$H:$I,2,FALSE)),"")</f>
        <v>-41</v>
      </c>
      <c r="BP47" s="81" t="str">
        <f>IFERROR(IFERROR(VLOOKUP($C47&amp;" "&amp;BP$1,Results!$G:$I,3,FALSE),-VLOOKUP($C47&amp;" "&amp;BP$1,Results!$H:$I,2,FALSE)),"")</f>
        <v/>
      </c>
      <c r="BQ47" s="14" t="str">
        <f>IFERROR(IFERROR(VLOOKUP($C47&amp;" "&amp;BQ$1,Results!$G:$I,3,FALSE),-VLOOKUP($C47&amp;" "&amp;BQ$1,Results!$H:$I,2,FALSE)),"")</f>
        <v/>
      </c>
      <c r="BR47" s="14">
        <f>IFERROR(IFERROR(VLOOKUP($C47&amp;" "&amp;BR$1,Results!$G:$I,3,FALSE),-VLOOKUP($C47&amp;" "&amp;BR$1,Results!$H:$I,2,FALSE)),"")</f>
        <v>162</v>
      </c>
      <c r="BS47" s="14" t="str">
        <f>IFERROR(IFERROR(VLOOKUP($C47&amp;" "&amp;BS$1,Results!$G:$I,3,FALSE),-VLOOKUP($C47&amp;" "&amp;BS$1,Results!$H:$I,2,FALSE)),"")</f>
        <v/>
      </c>
      <c r="BT47" s="14" t="str">
        <f>IFERROR(IFERROR(VLOOKUP($C47&amp;" "&amp;BT$1,Results!$G:$I,3,FALSE),-VLOOKUP($C47&amp;" "&amp;BT$1,Results!$H:$I,2,FALSE)),"")</f>
        <v/>
      </c>
      <c r="BU47" s="14" t="str">
        <f>IFERROR(IFERROR(VLOOKUP($C47&amp;" "&amp;BU$1,Results!$G:$I,3,FALSE),-VLOOKUP($C47&amp;" "&amp;BU$1,Results!$H:$I,2,FALSE)),"")</f>
        <v/>
      </c>
      <c r="BV47" s="14">
        <f>IFERROR(IFERROR(VLOOKUP($C47&amp;" "&amp;BV$1,Results!$G:$I,3,FALSE),-VLOOKUP($C47&amp;" "&amp;BV$1,Results!$H:$I,2,FALSE)),"")</f>
        <v>124</v>
      </c>
      <c r="BW47" s="111">
        <f t="shared" si="7"/>
        <v>171</v>
      </c>
      <c r="BX47" s="15">
        <f>COUNTIF(E47:J47,1)</f>
        <v>0</v>
      </c>
      <c r="BY47" s="15">
        <f>COUNTIF(E47:I47,0)</f>
        <v>4</v>
      </c>
      <c r="BZ47" s="15">
        <f t="shared" si="12"/>
        <v>5</v>
      </c>
      <c r="CA47" s="90">
        <f t="shared" si="28"/>
        <v>0</v>
      </c>
      <c r="CC47" s="22">
        <f t="shared" si="25"/>
        <v>171</v>
      </c>
      <c r="CE47" s="15">
        <v>41</v>
      </c>
      <c r="CF47" s="15">
        <f t="shared" si="26"/>
        <v>0</v>
      </c>
      <c r="CG47" s="15">
        <f t="shared" si="9"/>
        <v>41</v>
      </c>
    </row>
    <row r="48" spans="2:85" ht="12.75" customHeight="1">
      <c r="B48" s="15">
        <v>45</v>
      </c>
      <c r="C48" s="16" t="s">
        <v>32</v>
      </c>
      <c r="D48" s="8"/>
      <c r="E48" s="8">
        <f>IF(AND(BN48&gt;0,$A48&lt;VLOOKUP(BN$1,$C:$L,10,FALSE)),1,IF(AND(BN48&lt;0,$A48&gt;VLOOKUP(BN$1,$C:$L,10,FALSE)),1,0))</f>
        <v>0</v>
      </c>
      <c r="F48" s="8" t="s">
        <v>162</v>
      </c>
      <c r="G48" s="8">
        <f>IF(AND(BP48&gt;0,$A48&lt;VLOOKUP(BP$1,$C:$L,10,FALSE)),1,IF(AND(BP48&lt;0,$A48&gt;VLOOKUP(BP$1,$C:$L,10,FALSE)),1,0))</f>
        <v>0</v>
      </c>
      <c r="H48" s="8">
        <f>IF(AND(BR48&gt;0,$A48&lt;VLOOKUP(BR$1,$C:$L,10,FALSE)),1,IF(AND(BR48&lt;0,$A48&gt;VLOOKUP(BR$1,$C:$L,10,FALSE)),1,0))</f>
        <v>0</v>
      </c>
      <c r="I48" s="8">
        <f>IF(AND(BS48&gt;0,$A48&lt;VLOOKUP(BS$1,$C:$L,10,FALSE)),1,IF(AND(BS48&lt;0,$A48&gt;VLOOKUP(BS$1,$C:$L,10,FALSE)),1,0))</f>
        <v>0</v>
      </c>
      <c r="J48" s="8">
        <f>IF(AND(BU48&gt;0,$A48&lt;VLOOKUP(BU$1,$C:$L,10,FALSE)),1,IF(AND(BU48&lt;0,$A48&gt;VLOOKUP(BU$1,$C:$L,10,FALSE)),1,0))</f>
        <v>0</v>
      </c>
      <c r="K48" s="108" t="s">
        <v>135</v>
      </c>
      <c r="L48" s="8">
        <f t="shared" si="21"/>
        <v>0</v>
      </c>
      <c r="M48" s="2">
        <v>12</v>
      </c>
      <c r="N48" s="17">
        <f t="shared" ref="N48:N53" si="32">COUNTIF($V48:$BV48,"&gt;0")</f>
        <v>2</v>
      </c>
      <c r="O48" s="2">
        <f t="shared" ref="O48:O53" si="33">COUNTIF($V48:$BV48,"&lt;0")</f>
        <v>3</v>
      </c>
      <c r="P48" s="2">
        <f t="shared" ref="P48:P53" si="34">COUNTIF($V48:$BV48,"=0")</f>
        <v>0</v>
      </c>
      <c r="Q48" s="18">
        <f>COUNTIF($BQ48:$BS48,"&gt;0")</f>
        <v>0</v>
      </c>
      <c r="R48" s="19">
        <f>COUNTIF($BQ48:$BS48,"&lt;0")</f>
        <v>1</v>
      </c>
      <c r="S48" s="20">
        <f>COUNTIF($BQ48:$BS48,"=0")</f>
        <v>0</v>
      </c>
      <c r="T48" s="2">
        <f t="shared" ref="T48:T51" si="35">COUNTIF(V48:BJ48,"NC")</f>
        <v>0</v>
      </c>
      <c r="U48" s="2"/>
      <c r="V48" s="13"/>
      <c r="W48" s="13"/>
      <c r="X48" s="13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 t="str">
        <f>IFERROR(IFERROR(VLOOKUP($C48&amp;" "&amp;AS$1,Results!$G:$I,3,FALSE),-VLOOKUP($C48&amp;" "&amp;AS$1,Results!$H:$I,2,FALSE)),"")</f>
        <v/>
      </c>
      <c r="AT48" s="14" t="str">
        <f>IFERROR(IFERROR(VLOOKUP($C48&amp;" "&amp;AT$1,Results!$G:$I,3,FALSE),-VLOOKUP($C48&amp;" "&amp;AT$1,Results!$H:$I,2,FALSE)),"")</f>
        <v/>
      </c>
      <c r="AU48" s="14" t="str">
        <f>IFERROR(IFERROR(VLOOKUP($C48&amp;" "&amp;AU$1,Results!$G:$I,3,FALSE),-VLOOKUP($C48&amp;" "&amp;AU$1,Results!$H:$I,2,FALSE)),"")</f>
        <v/>
      </c>
      <c r="AV48" s="14" t="str">
        <f>IFERROR(IFERROR(VLOOKUP($C48&amp;" "&amp;AV$1,Results!$G:$I,3,FALSE),-VLOOKUP($C48&amp;" "&amp;AV$1,Results!$H:$I,2,FALSE)),"")</f>
        <v/>
      </c>
      <c r="AW48" s="14" t="str">
        <f>IFERROR(IFERROR(VLOOKUP($C48&amp;" "&amp;AW$1,Results!$G:$I,3,FALSE),-VLOOKUP($C48&amp;" "&amp;AW$1,Results!$H:$I,2,FALSE)),"")</f>
        <v/>
      </c>
      <c r="AX48" s="14" t="str">
        <f>IFERROR(IFERROR(VLOOKUP($C48&amp;" "&amp;AX$1,Results!$G:$I,3,FALSE),-VLOOKUP($C48&amp;" "&amp;AX$1,Results!$H:$I,2,FALSE)),"")</f>
        <v/>
      </c>
      <c r="AY48" s="14" t="str">
        <f>IFERROR(IFERROR(VLOOKUP($C48&amp;" "&amp;AY$1,Results!$G:$I,3,FALSE),-VLOOKUP($C48&amp;" "&amp;AY$1,Results!$H:$I,2,FALSE)),"")</f>
        <v/>
      </c>
      <c r="AZ48" s="14" t="str">
        <f>IFERROR(IFERROR(VLOOKUP($C48&amp;" "&amp;AZ$1,Results!$G:$I,3,FALSE),-VLOOKUP($C48&amp;" "&amp;AZ$1,Results!$H:$I,2,FALSE)),"")</f>
        <v/>
      </c>
      <c r="BA48" s="14" t="str">
        <f>IFERROR(IFERROR(VLOOKUP($C48&amp;" "&amp;BA$1,Results!$G:$I,3,FALSE),-VLOOKUP($C48&amp;" "&amp;BA$1,Results!$H:$I,2,FALSE)),"")</f>
        <v/>
      </c>
      <c r="BB48" s="14" t="str">
        <f>IFERROR(IFERROR(VLOOKUP($C48&amp;" "&amp;BB$1,Results!$G:$I,3,FALSE),-VLOOKUP($C48&amp;" "&amp;BB$1,Results!$H:$I,2,FALSE)),"")</f>
        <v/>
      </c>
      <c r="BC48" s="14" t="str">
        <f>IFERROR(IFERROR(VLOOKUP($C48&amp;" "&amp;BC$1,Results!$G:$I,3,FALSE),-VLOOKUP($C48&amp;" "&amp;BC$1,Results!$H:$I,2,FALSE)),"")</f>
        <v/>
      </c>
      <c r="BD48" s="14" t="str">
        <f>IFERROR(IFERROR(VLOOKUP($C48&amp;" "&amp;BD$1,Results!$G:$I,3,FALSE),-VLOOKUP($C48&amp;" "&amp;BD$1,Results!$H:$I,2,FALSE)),"")</f>
        <v/>
      </c>
      <c r="BE48" s="14" t="str">
        <f>IFERROR(IFERROR(VLOOKUP($C48&amp;" "&amp;BE$1,Results!$G:$I,3,FALSE),-VLOOKUP($C48&amp;" "&amp;BE$1,Results!$H:$I,2,FALSE)),"")</f>
        <v/>
      </c>
      <c r="BF48" s="14" t="str">
        <f>IFERROR(IFERROR(VLOOKUP($C48&amp;" "&amp;BF$1,Results!$G:$I,3,FALSE),-VLOOKUP($C48&amp;" "&amp;BF$1,Results!$H:$I,2,FALSE)),"")</f>
        <v/>
      </c>
      <c r="BG48" s="14" t="str">
        <f>IFERROR(IFERROR(VLOOKUP($C48&amp;" "&amp;BG$1,Results!$G:$I,3,FALSE),-VLOOKUP($C48&amp;" "&amp;BG$1,Results!$H:$I,2,FALSE)),"")</f>
        <v/>
      </c>
      <c r="BH48" s="14" t="str">
        <f>IFERROR(IFERROR(VLOOKUP($C48&amp;" "&amp;BH$1,Results!$G:$I,3,FALSE),-VLOOKUP($C48&amp;" "&amp;BH$1,Results!$H:$I,2,FALSE)),"")</f>
        <v/>
      </c>
      <c r="BI48" s="30" t="str">
        <f>IFERROR(IFERROR(VLOOKUP($C48&amp;" "&amp;BI$1,Results!$G:$I,3,FALSE),-VLOOKUP($C48&amp;" "&amp;BI$1,Results!$H:$I,2,FALSE)),"")</f>
        <v/>
      </c>
      <c r="BJ48" s="14" t="str">
        <f>IFERROR(IFERROR(VLOOKUP($C48&amp;" "&amp;BJ$1,Results!$G:$I,3,FALSE),-VLOOKUP($C48&amp;" "&amp;BJ$1,Results!$H:$I,2,FALSE)),"")</f>
        <v/>
      </c>
      <c r="BK48" s="14" t="str">
        <f>IFERROR(IFERROR(VLOOKUP($C48&amp;" "&amp;BK$1,Results!$G:$I,3,FALSE),-VLOOKUP($C48&amp;" "&amp;BK$1,Results!$H:$I,2,FALSE)),"")</f>
        <v/>
      </c>
      <c r="BL48" s="14" t="str">
        <f>IFERROR(IFERROR(VLOOKUP($C48&amp;" "&amp;BL$1,Results!$G:$I,3,FALSE),-VLOOKUP($C48&amp;" "&amp;BL$1,Results!$H:$I,2,FALSE)),"")</f>
        <v/>
      </c>
      <c r="BM48" s="14" t="str">
        <f>IFERROR(IFERROR(VLOOKUP($C48&amp;" "&amp;BM$1,Results!$G:$I,3,FALSE),-VLOOKUP($C48&amp;" "&amp;BM$1,Results!$H:$I,2,FALSE)),"")</f>
        <v/>
      </c>
      <c r="BN48" s="14" t="str">
        <f>IFERROR(IFERROR(VLOOKUP($C48&amp;" "&amp;BN$1,Results!$G:$I,3,FALSE),-VLOOKUP($C48&amp;" "&amp;BN$1,Results!$H:$I,2,FALSE)),"")</f>
        <v/>
      </c>
      <c r="BO48" s="14">
        <f>IFERROR(IFERROR(VLOOKUP($C48&amp;" "&amp;BO$1,Results!$G:$I,3,FALSE),-VLOOKUP($C48&amp;" "&amp;BO$1,Results!$H:$I,2,FALSE)),"")</f>
        <v>-181</v>
      </c>
      <c r="BP48" s="14" t="str">
        <f>IFERROR(IFERROR(VLOOKUP($C48&amp;" "&amp;BP$1,Results!$G:$I,3,FALSE),-VLOOKUP($C48&amp;" "&amp;BP$1,Results!$H:$I,2,FALSE)),"")</f>
        <v/>
      </c>
      <c r="BQ48" s="54" t="str">
        <f>IFERROR(IFERROR(VLOOKUP($C48&amp;" "&amp;BQ$1,Results!$G:$I,3,FALSE),-VLOOKUP($C48&amp;" "&amp;BQ$1,Results!$H:$I,2,FALSE)),"")</f>
        <v/>
      </c>
      <c r="BR48" s="72">
        <f>IFERROR(IFERROR(VLOOKUP($C48&amp;" "&amp;BR$1,Results!$G:$I,3,FALSE),-VLOOKUP($C48&amp;" "&amp;BR$1,Results!$H:$I,2,FALSE)),"")</f>
        <v>-72</v>
      </c>
      <c r="BS48" s="78" t="str">
        <f>IFERROR(IFERROR(VLOOKUP($C48&amp;" "&amp;BS$1,Results!$G:$I,3,FALSE),-VLOOKUP($C48&amp;" "&amp;BS$1,Results!$H:$I,2,FALSE)),"")</f>
        <v/>
      </c>
      <c r="BT48" s="14">
        <f>IFERROR(IFERROR(VLOOKUP($C48&amp;" "&amp;BT$1,Results!$G:$I,3,FALSE),-VLOOKUP($C48&amp;" "&amp;BT$1,Results!$H:$I,2,FALSE)),"")</f>
        <v>54</v>
      </c>
      <c r="BU48" s="14">
        <f>IFERROR(IFERROR(VLOOKUP($C48&amp;" "&amp;BU$1,Results!$G:$I,3,FALSE),-VLOOKUP($C48&amp;" "&amp;BU$1,Results!$H:$I,2,FALSE)),"")</f>
        <v>181</v>
      </c>
      <c r="BV48" s="14">
        <f>IFERROR(IFERROR(VLOOKUP($C48&amp;" "&amp;BV$1,Results!$G:$I,3,FALSE),-VLOOKUP($C48&amp;" "&amp;BV$1,Results!$H:$I,2,FALSE)),"")</f>
        <v>-87</v>
      </c>
      <c r="BW48" s="111">
        <f t="shared" si="7"/>
        <v>-199</v>
      </c>
      <c r="BX48" s="15">
        <f>COUNTIF(E48:J48,1)</f>
        <v>0</v>
      </c>
      <c r="BY48" s="15">
        <f>COUNTIF(E48:I48,0)</f>
        <v>4</v>
      </c>
      <c r="BZ48" s="15">
        <f t="shared" si="12"/>
        <v>5</v>
      </c>
      <c r="CA48" s="90">
        <f t="shared" si="28"/>
        <v>0</v>
      </c>
      <c r="CC48" s="22">
        <f t="shared" si="25"/>
        <v>-18</v>
      </c>
      <c r="CE48" s="15">
        <v>40</v>
      </c>
      <c r="CF48" s="15">
        <f t="shared" si="26"/>
        <v>0</v>
      </c>
      <c r="CG48" s="15">
        <f t="shared" si="9"/>
        <v>40</v>
      </c>
    </row>
    <row r="49" spans="1:85" ht="12.75" customHeight="1">
      <c r="B49" s="15">
        <v>46</v>
      </c>
      <c r="C49" s="16" t="s">
        <v>83</v>
      </c>
      <c r="D49" s="8"/>
      <c r="E49" s="8">
        <f>IF(AND(BL49&gt;0,$A49&lt;VLOOKUP(BL$1,$C:$L,10,FALSE)),1,IF(AND(BL49&lt;0,$A49&gt;VLOOKUP(BL$1,$C:$L,10,FALSE)),1,0))</f>
        <v>0</v>
      </c>
      <c r="F49" s="8">
        <f>IF(AND(BO49&gt;0,$A49&lt;VLOOKUP(BO$1,$C:$L,10,FALSE)),1,IF(AND(BO49&lt;0,$A49&gt;VLOOKUP(BO$1,$C:$L,10,FALSE)),1,0))</f>
        <v>0</v>
      </c>
      <c r="G49" s="8">
        <f>IF(AND(BP49&gt;0,$A49&lt;VLOOKUP(BP$1,$C:$L,10,FALSE)),1,IF(AND(BP49&lt;0,$A49&gt;VLOOKUP(BP$1,$C:$L,10,FALSE)),1,0))</f>
        <v>0</v>
      </c>
      <c r="H49" s="8">
        <f>IF(AND(BQ49&gt;0,$A49&lt;VLOOKUP(BQ$1,$C:$L,10,FALSE)),1,IF(AND(BQ49&lt;0,$A49&gt;VLOOKUP(BQ$1,$C:$L,10,FALSE)),1,0))</f>
        <v>0</v>
      </c>
      <c r="I49" s="8">
        <f>IF(AND(BT49&gt;0,$A49&lt;VLOOKUP(BT$1,$C:$L,10,FALSE)),1,IF(AND(BT49&lt;0,$A49&gt;VLOOKUP(BT$1,$C:$L,10,FALSE)),1,0))</f>
        <v>0</v>
      </c>
      <c r="J49" s="8" t="s">
        <v>162</v>
      </c>
      <c r="K49" s="108" t="s">
        <v>135</v>
      </c>
      <c r="L49" s="8">
        <f t="shared" si="21"/>
        <v>0</v>
      </c>
      <c r="M49" s="2">
        <v>12</v>
      </c>
      <c r="N49" s="17">
        <f t="shared" si="32"/>
        <v>4</v>
      </c>
      <c r="O49" s="2">
        <f t="shared" si="33"/>
        <v>1</v>
      </c>
      <c r="P49" s="2">
        <f t="shared" si="34"/>
        <v>0</v>
      </c>
      <c r="Q49" s="18">
        <f t="shared" ref="Q49:Q50" si="36">COUNTIF($BQ49:$BS49,"&gt;0")</f>
        <v>1</v>
      </c>
      <c r="R49" s="19">
        <f t="shared" ref="R49:R50" si="37">COUNTIF($BQ49:$BS49,"&lt;0")</f>
        <v>0</v>
      </c>
      <c r="S49" s="20">
        <f t="shared" ref="S49:S50" si="38">COUNTIF($BQ49:$BS49,"=0")</f>
        <v>0</v>
      </c>
      <c r="T49" s="2">
        <f t="shared" si="35"/>
        <v>0</v>
      </c>
      <c r="U49" s="2"/>
      <c r="V49" s="13"/>
      <c r="W49" s="13"/>
      <c r="X49" s="13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 t="str">
        <f>IFERROR(IFERROR(VLOOKUP($C49&amp;" "&amp;AS$1,Results!$G:$I,3,FALSE),-VLOOKUP($C49&amp;" "&amp;AS$1,Results!$H:$I,2,FALSE)),"")</f>
        <v/>
      </c>
      <c r="AT49" s="14" t="str">
        <f>IFERROR(IFERROR(VLOOKUP($C49&amp;" "&amp;AT$1,Results!$G:$I,3,FALSE),-VLOOKUP($C49&amp;" "&amp;AT$1,Results!$H:$I,2,FALSE)),"")</f>
        <v/>
      </c>
      <c r="AU49" s="14" t="str">
        <f>IFERROR(IFERROR(VLOOKUP($C49&amp;" "&amp;AU$1,Results!$G:$I,3,FALSE),-VLOOKUP($C49&amp;" "&amp;AU$1,Results!$H:$I,2,FALSE)),"")</f>
        <v/>
      </c>
      <c r="AV49" s="14" t="str">
        <f>IFERROR(IFERROR(VLOOKUP($C49&amp;" "&amp;AV$1,Results!$G:$I,3,FALSE),-VLOOKUP($C49&amp;" "&amp;AV$1,Results!$H:$I,2,FALSE)),"")</f>
        <v/>
      </c>
      <c r="AW49" s="14" t="str">
        <f>IFERROR(IFERROR(VLOOKUP($C49&amp;" "&amp;AW$1,Results!$G:$I,3,FALSE),-VLOOKUP($C49&amp;" "&amp;AW$1,Results!$H:$I,2,FALSE)),"")</f>
        <v/>
      </c>
      <c r="AX49" s="14" t="str">
        <f>IFERROR(IFERROR(VLOOKUP($C49&amp;" "&amp;AX$1,Results!$G:$I,3,FALSE),-VLOOKUP($C49&amp;" "&amp;AX$1,Results!$H:$I,2,FALSE)),"")</f>
        <v/>
      </c>
      <c r="AY49" s="14" t="str">
        <f>IFERROR(IFERROR(VLOOKUP($C49&amp;" "&amp;AY$1,Results!$G:$I,3,FALSE),-VLOOKUP($C49&amp;" "&amp;AY$1,Results!$H:$I,2,FALSE)),"")</f>
        <v/>
      </c>
      <c r="AZ49" s="14" t="str">
        <f>IFERROR(IFERROR(VLOOKUP($C49&amp;" "&amp;AZ$1,Results!$G:$I,3,FALSE),-VLOOKUP($C49&amp;" "&amp;AZ$1,Results!$H:$I,2,FALSE)),"")</f>
        <v/>
      </c>
      <c r="BA49" s="14" t="str">
        <f>IFERROR(IFERROR(VLOOKUP($C49&amp;" "&amp;BA$1,Results!$G:$I,3,FALSE),-VLOOKUP($C49&amp;" "&amp;BA$1,Results!$H:$I,2,FALSE)),"")</f>
        <v/>
      </c>
      <c r="BB49" s="14" t="str">
        <f>IFERROR(IFERROR(VLOOKUP($C49&amp;" "&amp;BB$1,Results!$G:$I,3,FALSE),-VLOOKUP($C49&amp;" "&amp;BB$1,Results!$H:$I,2,FALSE)),"")</f>
        <v/>
      </c>
      <c r="BC49" s="14" t="str">
        <f>IFERROR(IFERROR(VLOOKUP($C49&amp;" "&amp;BC$1,Results!$G:$I,3,FALSE),-VLOOKUP($C49&amp;" "&amp;BC$1,Results!$H:$I,2,FALSE)),"")</f>
        <v/>
      </c>
      <c r="BD49" s="14" t="str">
        <f>IFERROR(IFERROR(VLOOKUP($C49&amp;" "&amp;BD$1,Results!$G:$I,3,FALSE),-VLOOKUP($C49&amp;" "&amp;BD$1,Results!$H:$I,2,FALSE)),"")</f>
        <v/>
      </c>
      <c r="BE49" s="14" t="str">
        <f>IFERROR(IFERROR(VLOOKUP($C49&amp;" "&amp;BE$1,Results!$G:$I,3,FALSE),-VLOOKUP($C49&amp;" "&amp;BE$1,Results!$H:$I,2,FALSE)),"")</f>
        <v/>
      </c>
      <c r="BF49" s="14" t="str">
        <f>IFERROR(IFERROR(VLOOKUP($C49&amp;" "&amp;BF$1,Results!$G:$I,3,FALSE),-VLOOKUP($C49&amp;" "&amp;BF$1,Results!$H:$I,2,FALSE)),"")</f>
        <v/>
      </c>
      <c r="BG49" s="14" t="str">
        <f>IFERROR(IFERROR(VLOOKUP($C49&amp;" "&amp;BG$1,Results!$G:$I,3,FALSE),-VLOOKUP($C49&amp;" "&amp;BG$1,Results!$H:$I,2,FALSE)),"")</f>
        <v/>
      </c>
      <c r="BH49" s="14" t="str">
        <f>IFERROR(IFERROR(VLOOKUP($C49&amp;" "&amp;BH$1,Results!$G:$I,3,FALSE),-VLOOKUP($C49&amp;" "&amp;BH$1,Results!$H:$I,2,FALSE)),"")</f>
        <v/>
      </c>
      <c r="BI49" s="30" t="str">
        <f>IFERROR(IFERROR(VLOOKUP($C49&amp;" "&amp;BI$1,Results!$G:$I,3,FALSE),-VLOOKUP($C49&amp;" "&amp;BI$1,Results!$H:$I,2,FALSE)),"")</f>
        <v/>
      </c>
      <c r="BJ49" s="14" t="str">
        <f>IFERROR(IFERROR(VLOOKUP($C49&amp;" "&amp;BJ$1,Results!$G:$I,3,FALSE),-VLOOKUP($C49&amp;" "&amp;BJ$1,Results!$H:$I,2,FALSE)),"")</f>
        <v/>
      </c>
      <c r="BK49" s="14" t="str">
        <f>IFERROR(IFERROR(VLOOKUP($C49&amp;" "&amp;BK$1,Results!$G:$I,3,FALSE),-VLOOKUP($C49&amp;" "&amp;BK$1,Results!$H:$I,2,FALSE)),"")</f>
        <v/>
      </c>
      <c r="BL49" s="14" t="str">
        <f>IFERROR(IFERROR(VLOOKUP($C49&amp;" "&amp;BL$1,Results!$G:$I,3,FALSE),-VLOOKUP($C49&amp;" "&amp;BL$1,Results!$H:$I,2,FALSE)),"")</f>
        <v/>
      </c>
      <c r="BM49" s="14" t="str">
        <f>IFERROR(IFERROR(VLOOKUP($C49&amp;" "&amp;BM$1,Results!$G:$I,3,FALSE),-VLOOKUP($C49&amp;" "&amp;BM$1,Results!$H:$I,2,FALSE)),"")</f>
        <v/>
      </c>
      <c r="BN49" s="14" t="str">
        <f>IFERROR(IFERROR(VLOOKUP($C49&amp;" "&amp;BN$1,Results!$G:$I,3,FALSE),-VLOOKUP($C49&amp;" "&amp;BN$1,Results!$H:$I,2,FALSE)),"")</f>
        <v/>
      </c>
      <c r="BO49" s="14" t="str">
        <f>IFERROR(IFERROR(VLOOKUP($C49&amp;" "&amp;BO$1,Results!$G:$I,3,FALSE),-VLOOKUP($C49&amp;" "&amp;BO$1,Results!$H:$I,2,FALSE)),"")</f>
        <v/>
      </c>
      <c r="BP49" s="14">
        <f>IFERROR(IFERROR(VLOOKUP($C49&amp;" "&amp;BP$1,Results!$G:$I,3,FALSE),-VLOOKUP($C49&amp;" "&amp;BP$1,Results!$H:$I,2,FALSE)),"")</f>
        <v>-162</v>
      </c>
      <c r="BQ49" s="74">
        <f>IFERROR(IFERROR(VLOOKUP($C49&amp;" "&amp;BQ$1,Results!$G:$I,3,FALSE),-VLOOKUP($C49&amp;" "&amp;BQ$1,Results!$H:$I,2,FALSE)),"")</f>
        <v>72</v>
      </c>
      <c r="BR49" s="14" t="str">
        <f>IFERROR(IFERROR(VLOOKUP($C49&amp;" "&amp;BR$1,Results!$G:$I,3,FALSE),-VLOOKUP($C49&amp;" "&amp;BR$1,Results!$H:$I,2,FALSE)),"")</f>
        <v/>
      </c>
      <c r="BS49" s="79" t="str">
        <f>IFERROR(IFERROR(VLOOKUP($C49&amp;" "&amp;BS$1,Results!$G:$I,3,FALSE),-VLOOKUP($C49&amp;" "&amp;BS$1,Results!$H:$I,2,FALSE)),"")</f>
        <v/>
      </c>
      <c r="BT49" s="14">
        <f>IFERROR(IFERROR(VLOOKUP($C49&amp;" "&amp;BT$1,Results!$G:$I,3,FALSE),-VLOOKUP($C49&amp;" "&amp;BT$1,Results!$H:$I,2,FALSE)),"")</f>
        <v>194</v>
      </c>
      <c r="BU49" s="14">
        <f>IFERROR(IFERROR(VLOOKUP($C49&amp;" "&amp;BU$1,Results!$G:$I,3,FALSE),-VLOOKUP($C49&amp;" "&amp;BU$1,Results!$H:$I,2,FALSE)),"")</f>
        <v>217</v>
      </c>
      <c r="BV49" s="14">
        <f>IFERROR(IFERROR(VLOOKUP($C49&amp;" "&amp;BV$1,Results!$G:$I,3,FALSE),-VLOOKUP($C49&amp;" "&amp;BV$1,Results!$H:$I,2,FALSE)),"")</f>
        <v>6</v>
      </c>
      <c r="BW49" s="111">
        <f t="shared" si="7"/>
        <v>104</v>
      </c>
      <c r="BX49" s="15">
        <f>COUNTIF(F49:J49,1)</f>
        <v>0</v>
      </c>
      <c r="BY49" s="15">
        <f>COUNTIF(F49:H49,0)</f>
        <v>3</v>
      </c>
      <c r="BZ49" s="15">
        <f t="shared" si="12"/>
        <v>5</v>
      </c>
      <c r="CA49" s="90">
        <f t="shared" si="28"/>
        <v>0</v>
      </c>
      <c r="CC49" s="22">
        <f t="shared" si="25"/>
        <v>321</v>
      </c>
      <c r="CE49" s="15">
        <v>42</v>
      </c>
      <c r="CF49" s="15">
        <f t="shared" si="26"/>
        <v>0</v>
      </c>
      <c r="CG49" s="15">
        <f t="shared" si="9"/>
        <v>42</v>
      </c>
    </row>
    <row r="50" spans="1:85" ht="12.75" customHeight="1" thickBot="1">
      <c r="A50" s="57"/>
      <c r="B50" s="57">
        <v>47</v>
      </c>
      <c r="C50" s="16" t="s">
        <v>39</v>
      </c>
      <c r="D50" s="59"/>
      <c r="E50" s="8">
        <f>IF(AND(BL50&gt;0,$A50&lt;VLOOKUP(BL$1,$C:$L,10,FALSE)),1,IF(AND(BL50&lt;0,$A50&gt;VLOOKUP(BL$1,$C:$L,10,FALSE)),1,0))</f>
        <v>0</v>
      </c>
      <c r="F50" s="8">
        <f>IF(AND(BM50&gt;0,$A50&lt;VLOOKUP(BM$1,$C:$L,10,FALSE)),1,IF(AND(BM50&lt;0,$A50&gt;VLOOKUP(BM$1,$C:$L,10,FALSE)),1,0))</f>
        <v>0</v>
      </c>
      <c r="G50" s="8">
        <f>IF(AND(BQ50&gt;0,$A50&lt;VLOOKUP(BQ$1,$C:$L,10,FALSE)),1,IF(AND(BQ50&lt;0,$A50&gt;VLOOKUP(BQ$1,$C:$L,10,FALSE)),1,0))</f>
        <v>0</v>
      </c>
      <c r="H50" s="8" t="s">
        <v>162</v>
      </c>
      <c r="I50" s="8">
        <f>IF(AND(BT50&gt;0,$A50&lt;VLOOKUP(BT$1,$C:$L,10,FALSE)),1,IF(AND(BT50&lt;0,$A50&gt;VLOOKUP(BT$1,$C:$L,10,FALSE)),1,0))</f>
        <v>0</v>
      </c>
      <c r="J50" s="8">
        <f>IF(AND(BU50&gt;0,$A50&lt;VLOOKUP(BU$1,$C:$L,10,FALSE)),1,IF(AND(BU50&lt;0,$A50&gt;VLOOKUP(BU$1,$C:$L,10,FALSE)),1,0))</f>
        <v>0</v>
      </c>
      <c r="K50" s="108" t="s">
        <v>135</v>
      </c>
      <c r="L50" s="8">
        <f t="shared" si="21"/>
        <v>0</v>
      </c>
      <c r="M50" s="2">
        <v>12</v>
      </c>
      <c r="N50" s="17">
        <f t="shared" si="32"/>
        <v>0</v>
      </c>
      <c r="O50" s="2">
        <f t="shared" si="33"/>
        <v>0</v>
      </c>
      <c r="P50" s="2">
        <f t="shared" si="34"/>
        <v>0</v>
      </c>
      <c r="Q50" s="18">
        <f t="shared" si="36"/>
        <v>0</v>
      </c>
      <c r="R50" s="19">
        <f t="shared" si="37"/>
        <v>0</v>
      </c>
      <c r="S50" s="20">
        <f t="shared" si="38"/>
        <v>0</v>
      </c>
      <c r="T50" s="2">
        <f t="shared" si="35"/>
        <v>0</v>
      </c>
      <c r="U50" s="2"/>
      <c r="V50" s="13"/>
      <c r="W50" s="13"/>
      <c r="X50" s="13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 t="str">
        <f>IFERROR(IFERROR(VLOOKUP($C50&amp;" "&amp;AS$1,Results!$G:$I,3,FALSE),-VLOOKUP($C50&amp;" "&amp;AS$1,Results!$H:$I,2,FALSE)),"")</f>
        <v/>
      </c>
      <c r="AT50" s="14" t="str">
        <f>IFERROR(IFERROR(VLOOKUP($C50&amp;" "&amp;AT$1,Results!$G:$I,3,FALSE),-VLOOKUP($C50&amp;" "&amp;AT$1,Results!$H:$I,2,FALSE)),"")</f>
        <v/>
      </c>
      <c r="AU50" s="14" t="str">
        <f>IFERROR(IFERROR(VLOOKUP($C50&amp;" "&amp;AU$1,Results!$G:$I,3,FALSE),-VLOOKUP($C50&amp;" "&amp;AU$1,Results!$H:$I,2,FALSE)),"")</f>
        <v/>
      </c>
      <c r="AV50" s="14" t="str">
        <f>IFERROR(IFERROR(VLOOKUP($C50&amp;" "&amp;AV$1,Results!$G:$I,3,FALSE),-VLOOKUP($C50&amp;" "&amp;AV$1,Results!$H:$I,2,FALSE)),"")</f>
        <v/>
      </c>
      <c r="AW50" s="14" t="str">
        <f>IFERROR(IFERROR(VLOOKUP($C50&amp;" "&amp;AW$1,Results!$G:$I,3,FALSE),-VLOOKUP($C50&amp;" "&amp;AW$1,Results!$H:$I,2,FALSE)),"")</f>
        <v/>
      </c>
      <c r="AX50" s="14" t="str">
        <f>IFERROR(IFERROR(VLOOKUP($C50&amp;" "&amp;AX$1,Results!$G:$I,3,FALSE),-VLOOKUP($C50&amp;" "&amp;AX$1,Results!$H:$I,2,FALSE)),"")</f>
        <v/>
      </c>
      <c r="AY50" s="14" t="str">
        <f>IFERROR(IFERROR(VLOOKUP($C50&amp;" "&amp;AY$1,Results!$G:$I,3,FALSE),-VLOOKUP($C50&amp;" "&amp;AY$1,Results!$H:$I,2,FALSE)),"")</f>
        <v/>
      </c>
      <c r="AZ50" s="14" t="str">
        <f>IFERROR(IFERROR(VLOOKUP($C50&amp;" "&amp;AZ$1,Results!$G:$I,3,FALSE),-VLOOKUP($C50&amp;" "&amp;AZ$1,Results!$H:$I,2,FALSE)),"")</f>
        <v/>
      </c>
      <c r="BA50" s="14" t="str">
        <f>IFERROR(IFERROR(VLOOKUP($C50&amp;" "&amp;BA$1,Results!$G:$I,3,FALSE),-VLOOKUP($C50&amp;" "&amp;BA$1,Results!$H:$I,2,FALSE)),"")</f>
        <v/>
      </c>
      <c r="BB50" s="14" t="str">
        <f>IFERROR(IFERROR(VLOOKUP($C50&amp;" "&amp;BB$1,Results!$G:$I,3,FALSE),-VLOOKUP($C50&amp;" "&amp;BB$1,Results!$H:$I,2,FALSE)),"")</f>
        <v/>
      </c>
      <c r="BC50" s="14" t="str">
        <f>IFERROR(IFERROR(VLOOKUP($C50&amp;" "&amp;BC$1,Results!$G:$I,3,FALSE),-VLOOKUP($C50&amp;" "&amp;BC$1,Results!$H:$I,2,FALSE)),"")</f>
        <v/>
      </c>
      <c r="BD50" s="14" t="str">
        <f>IFERROR(IFERROR(VLOOKUP($C50&amp;" "&amp;BD$1,Results!$G:$I,3,FALSE),-VLOOKUP($C50&amp;" "&amp;BD$1,Results!$H:$I,2,FALSE)),"")</f>
        <v/>
      </c>
      <c r="BE50" s="14" t="str">
        <f>IFERROR(IFERROR(VLOOKUP($C50&amp;" "&amp;BE$1,Results!$G:$I,3,FALSE),-VLOOKUP($C50&amp;" "&amp;BE$1,Results!$H:$I,2,FALSE)),"")</f>
        <v/>
      </c>
      <c r="BF50" s="14" t="str">
        <f>IFERROR(IFERROR(VLOOKUP($C50&amp;" "&amp;BF$1,Results!$G:$I,3,FALSE),-VLOOKUP($C50&amp;" "&amp;BF$1,Results!$H:$I,2,FALSE)),"")</f>
        <v/>
      </c>
      <c r="BG50" s="14" t="str">
        <f>IFERROR(IFERROR(VLOOKUP($C50&amp;" "&amp;BG$1,Results!$G:$I,3,FALSE),-VLOOKUP($C50&amp;" "&amp;BG$1,Results!$H:$I,2,FALSE)),"")</f>
        <v/>
      </c>
      <c r="BH50" s="14" t="str">
        <f>IFERROR(IFERROR(VLOOKUP($C50&amp;" "&amp;BH$1,Results!$G:$I,3,FALSE),-VLOOKUP($C50&amp;" "&amp;BH$1,Results!$H:$I,2,FALSE)),"")</f>
        <v/>
      </c>
      <c r="BI50" s="30" t="str">
        <f>IFERROR(IFERROR(VLOOKUP($C50&amp;" "&amp;BI$1,Results!$G:$I,3,FALSE),-VLOOKUP($C50&amp;" "&amp;BI$1,Results!$H:$I,2,FALSE)),"")</f>
        <v/>
      </c>
      <c r="BJ50" s="14" t="str">
        <f>IFERROR(IFERROR(VLOOKUP($C50&amp;" "&amp;BJ$1,Results!$G:$I,3,FALSE),-VLOOKUP($C50&amp;" "&amp;BJ$1,Results!$H:$I,2,FALSE)),"")</f>
        <v/>
      </c>
      <c r="BK50" s="14" t="str">
        <f>IFERROR(IFERROR(VLOOKUP($C50&amp;" "&amp;BK$1,Results!$G:$I,3,FALSE),-VLOOKUP($C50&amp;" "&amp;BK$1,Results!$H:$I,2,FALSE)),"")</f>
        <v/>
      </c>
      <c r="BL50" s="14" t="str">
        <f>IFERROR(IFERROR(VLOOKUP($C50&amp;" "&amp;BL$1,Results!$G:$I,3,FALSE),-VLOOKUP($C50&amp;" "&amp;BL$1,Results!$H:$I,2,FALSE)),"")</f>
        <v/>
      </c>
      <c r="BM50" s="14" t="str">
        <f>IFERROR(IFERROR(VLOOKUP($C50&amp;" "&amp;BM$1,Results!$G:$I,3,FALSE),-VLOOKUP($C50&amp;" "&amp;BM$1,Results!$H:$I,2,FALSE)),"")</f>
        <v/>
      </c>
      <c r="BN50" s="14" t="str">
        <f>IFERROR(IFERROR(VLOOKUP($C50&amp;" "&amp;BN$1,Results!$G:$I,3,FALSE),-VLOOKUP($C50&amp;" "&amp;BN$1,Results!$H:$I,2,FALSE)),"")</f>
        <v/>
      </c>
      <c r="BO50" s="14" t="str">
        <f>IFERROR(IFERROR(VLOOKUP($C50&amp;" "&amp;BO$1,Results!$G:$I,3,FALSE),-VLOOKUP($C50&amp;" "&amp;BO$1,Results!$H:$I,2,FALSE)),"")</f>
        <v/>
      </c>
      <c r="BP50" s="14" t="str">
        <f>IFERROR(IFERROR(VLOOKUP($C50&amp;" "&amp;BP$1,Results!$G:$I,3,FALSE),-VLOOKUP($C50&amp;" "&amp;BP$1,Results!$H:$I,2,FALSE)),"")</f>
        <v/>
      </c>
      <c r="BQ50" s="75" t="str">
        <f>IFERROR(IFERROR(VLOOKUP($C50&amp;" "&amp;BQ$1,Results!$G:$I,3,FALSE),-VLOOKUP($C50&amp;" "&amp;BQ$1,Results!$H:$I,2,FALSE)),"")</f>
        <v/>
      </c>
      <c r="BR50" s="80" t="str">
        <f>IFERROR(IFERROR(VLOOKUP($C50&amp;" "&amp;BR$1,Results!$G:$I,3,FALSE),-VLOOKUP($C50&amp;" "&amp;BR$1,Results!$H:$I,2,FALSE)),"")</f>
        <v/>
      </c>
      <c r="BS50" s="81" t="str">
        <f>IFERROR(IFERROR(VLOOKUP($C50&amp;" "&amp;BS$1,Results!$G:$I,3,FALSE),-VLOOKUP($C50&amp;" "&amp;BS$1,Results!$H:$I,2,FALSE)),"")</f>
        <v/>
      </c>
      <c r="BT50" s="14" t="str">
        <f>IFERROR(IFERROR(VLOOKUP($C50&amp;" "&amp;BT$1,Results!$G:$I,3,FALSE),-VLOOKUP($C50&amp;" "&amp;BT$1,Results!$H:$I,2,FALSE)),"")</f>
        <v/>
      </c>
      <c r="BU50" s="14" t="str">
        <f>IFERROR(IFERROR(VLOOKUP($C50&amp;" "&amp;BU$1,Results!$G:$I,3,FALSE),-VLOOKUP($C50&amp;" "&amp;BU$1,Results!$H:$I,2,FALSE)),"")</f>
        <v/>
      </c>
      <c r="BV50" s="14" t="str">
        <f>IFERROR(IFERROR(VLOOKUP($C50&amp;" "&amp;BV$1,Results!$G:$I,3,FALSE),-VLOOKUP($C50&amp;" "&amp;BV$1,Results!$H:$I,2,FALSE)),"")</f>
        <v/>
      </c>
      <c r="BW50" s="111">
        <f t="shared" si="7"/>
        <v>0</v>
      </c>
      <c r="BX50" s="15">
        <f>COUNTIF(E50:J50,1)</f>
        <v>0</v>
      </c>
      <c r="BY50" s="15">
        <f>COUNTIF(E50:J50,0)</f>
        <v>5</v>
      </c>
      <c r="BZ50" s="15">
        <f t="shared" si="12"/>
        <v>5</v>
      </c>
      <c r="CA50" s="90">
        <f t="shared" si="28"/>
        <v>0</v>
      </c>
      <c r="CC50" s="22">
        <f t="shared" si="25"/>
        <v>0</v>
      </c>
      <c r="CE50" s="15">
        <v>48</v>
      </c>
      <c r="CF50" s="15">
        <f t="shared" si="26"/>
        <v>0</v>
      </c>
      <c r="CG50" s="15">
        <f t="shared" si="9"/>
        <v>48</v>
      </c>
    </row>
    <row r="51" spans="1:85" ht="12.75" customHeight="1">
      <c r="B51" s="15">
        <v>48</v>
      </c>
      <c r="C51" s="16" t="s">
        <v>40</v>
      </c>
      <c r="D51" s="59"/>
      <c r="E51" s="8">
        <f>IF(AND(BN51&gt;0,$A51&lt;VLOOKUP(BN$1,$C:$L,10,FALSE)),1,IF(AND(BN51&lt;0,$A51&gt;VLOOKUP(BN$1,$C:$L,10,FALSE)),1,0))</f>
        <v>0</v>
      </c>
      <c r="F51" s="8">
        <f>IF(AND(BO51&gt;0,$A51&lt;VLOOKUP(BO$1,$C:$L,10,FALSE)),1,IF(AND(BO51&lt;0,$A51&gt;VLOOKUP(BO$1,$C:$L,10,FALSE)),1,0))</f>
        <v>0</v>
      </c>
      <c r="G51" s="8">
        <f>IF(AND(BR51&gt;0,$A51&lt;VLOOKUP(BR$1,$C:$L,10,FALSE)),1,IF(AND(BR51&lt;0,$A51&gt;VLOOKUP(BR$1,$C:$L,10,FALSE)),1,0))</f>
        <v>0</v>
      </c>
      <c r="H51" s="8">
        <f>IF(AND(BS51&gt;0,$A51&lt;VLOOKUP(BS$1,$C:$L,10,FALSE)),1,IF(AND(BS51&lt;0,$A51&gt;VLOOKUP(BS$1,$C:$L,10,FALSE)),1,0))</f>
        <v>0</v>
      </c>
      <c r="I51" s="8" t="s">
        <v>162</v>
      </c>
      <c r="J51" s="8">
        <f>IF(AND(BU51&gt;0,$A51&lt;VLOOKUP(BU$1,$C:$L,10,FALSE)),1,IF(AND(BU51&lt;0,$A51&gt;VLOOKUP(BU$1,$C:$L,10,FALSE)),1,0))</f>
        <v>0</v>
      </c>
      <c r="K51" s="108" t="s">
        <v>135</v>
      </c>
      <c r="L51" s="8">
        <f t="shared" si="21"/>
        <v>0</v>
      </c>
      <c r="M51" s="2">
        <v>13</v>
      </c>
      <c r="N51" s="17">
        <f t="shared" si="32"/>
        <v>1</v>
      </c>
      <c r="O51" s="2">
        <f t="shared" si="33"/>
        <v>4</v>
      </c>
      <c r="P51" s="2">
        <f t="shared" si="34"/>
        <v>0</v>
      </c>
      <c r="Q51" s="18">
        <f>COUNTIF($BT51:$BV51,"&gt;0")</f>
        <v>1</v>
      </c>
      <c r="R51" s="19">
        <f>COUNTIF($BT51:$BV51,"&lt;0")</f>
        <v>1</v>
      </c>
      <c r="S51" s="20">
        <f>COUNTIF($BT51:$BV51,"=0")</f>
        <v>0</v>
      </c>
      <c r="T51" s="2">
        <f t="shared" si="35"/>
        <v>0</v>
      </c>
      <c r="U51" s="2"/>
      <c r="V51" s="13"/>
      <c r="W51" s="13"/>
      <c r="X51" s="13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 t="str">
        <f>IFERROR(IFERROR(VLOOKUP($C51&amp;" "&amp;AS$1,Results!$G:$I,3,FALSE),-VLOOKUP($C51&amp;" "&amp;AS$1,Results!$H:$I,2,FALSE)),"")</f>
        <v/>
      </c>
      <c r="AT51" s="14" t="str">
        <f>IFERROR(IFERROR(VLOOKUP($C51&amp;" "&amp;AT$1,Results!$G:$I,3,FALSE),-VLOOKUP($C51&amp;" "&amp;AT$1,Results!$H:$I,2,FALSE)),"")</f>
        <v/>
      </c>
      <c r="AU51" s="14" t="str">
        <f>IFERROR(IFERROR(VLOOKUP($C51&amp;" "&amp;AU$1,Results!$G:$I,3,FALSE),-VLOOKUP($C51&amp;" "&amp;AU$1,Results!$H:$I,2,FALSE)),"")</f>
        <v/>
      </c>
      <c r="AV51" s="14" t="str">
        <f>IFERROR(IFERROR(VLOOKUP($C51&amp;" "&amp;AV$1,Results!$G:$I,3,FALSE),-VLOOKUP($C51&amp;" "&amp;AV$1,Results!$H:$I,2,FALSE)),"")</f>
        <v/>
      </c>
      <c r="AW51" s="14" t="str">
        <f>IFERROR(IFERROR(VLOOKUP($C51&amp;" "&amp;AW$1,Results!$G:$I,3,FALSE),-VLOOKUP($C51&amp;" "&amp;AW$1,Results!$H:$I,2,FALSE)),"")</f>
        <v/>
      </c>
      <c r="AX51" s="14" t="str">
        <f>IFERROR(IFERROR(VLOOKUP($C51&amp;" "&amp;AX$1,Results!$G:$I,3,FALSE),-VLOOKUP($C51&amp;" "&amp;AX$1,Results!$H:$I,2,FALSE)),"")</f>
        <v/>
      </c>
      <c r="AY51" s="14" t="str">
        <f>IFERROR(IFERROR(VLOOKUP($C51&amp;" "&amp;AY$1,Results!$G:$I,3,FALSE),-VLOOKUP($C51&amp;" "&amp;AY$1,Results!$H:$I,2,FALSE)),"")</f>
        <v/>
      </c>
      <c r="AZ51" s="14" t="str">
        <f>IFERROR(IFERROR(VLOOKUP($C51&amp;" "&amp;AZ$1,Results!$G:$I,3,FALSE),-VLOOKUP($C51&amp;" "&amp;AZ$1,Results!$H:$I,2,FALSE)),"")</f>
        <v/>
      </c>
      <c r="BA51" s="14" t="str">
        <f>IFERROR(IFERROR(VLOOKUP($C51&amp;" "&amp;BA$1,Results!$G:$I,3,FALSE),-VLOOKUP($C51&amp;" "&amp;BA$1,Results!$H:$I,2,FALSE)),"")</f>
        <v/>
      </c>
      <c r="BB51" s="14" t="str">
        <f>IFERROR(IFERROR(VLOOKUP($C51&amp;" "&amp;BB$1,Results!$G:$I,3,FALSE),-VLOOKUP($C51&amp;" "&amp;BB$1,Results!$H:$I,2,FALSE)),"")</f>
        <v/>
      </c>
      <c r="BC51" s="14" t="str">
        <f>IFERROR(IFERROR(VLOOKUP($C51&amp;" "&amp;BC$1,Results!$G:$I,3,FALSE),-VLOOKUP($C51&amp;" "&amp;BC$1,Results!$H:$I,2,FALSE)),"")</f>
        <v/>
      </c>
      <c r="BD51" s="14" t="str">
        <f>IFERROR(IFERROR(VLOOKUP($C51&amp;" "&amp;BD$1,Results!$G:$I,3,FALSE),-VLOOKUP($C51&amp;" "&amp;BD$1,Results!$H:$I,2,FALSE)),"")</f>
        <v/>
      </c>
      <c r="BE51" s="14" t="str">
        <f>IFERROR(IFERROR(VLOOKUP($C51&amp;" "&amp;BE$1,Results!$G:$I,3,FALSE),-VLOOKUP($C51&amp;" "&amp;BE$1,Results!$H:$I,2,FALSE)),"")</f>
        <v/>
      </c>
      <c r="BF51" s="14" t="str">
        <f>IFERROR(IFERROR(VLOOKUP($C51&amp;" "&amp;BF$1,Results!$G:$I,3,FALSE),-VLOOKUP($C51&amp;" "&amp;BF$1,Results!$H:$I,2,FALSE)),"")</f>
        <v/>
      </c>
      <c r="BG51" s="14" t="str">
        <f>IFERROR(IFERROR(VLOOKUP($C51&amp;" "&amp;BG$1,Results!$G:$I,3,FALSE),-VLOOKUP($C51&amp;" "&amp;BG$1,Results!$H:$I,2,FALSE)),"")</f>
        <v/>
      </c>
      <c r="BH51" s="14" t="str">
        <f>IFERROR(IFERROR(VLOOKUP($C51&amp;" "&amp;BH$1,Results!$G:$I,3,FALSE),-VLOOKUP($C51&amp;" "&amp;BH$1,Results!$H:$I,2,FALSE)),"")</f>
        <v/>
      </c>
      <c r="BI51" s="30" t="str">
        <f>IFERROR(IFERROR(VLOOKUP($C51&amp;" "&amp;BI$1,Results!$G:$I,3,FALSE),-VLOOKUP($C51&amp;" "&amp;BI$1,Results!$H:$I,2,FALSE)),"")</f>
        <v/>
      </c>
      <c r="BJ51" s="14" t="str">
        <f>IFERROR(IFERROR(VLOOKUP($C51&amp;" "&amp;BJ$1,Results!$G:$I,3,FALSE),-VLOOKUP($C51&amp;" "&amp;BJ$1,Results!$H:$I,2,FALSE)),"")</f>
        <v/>
      </c>
      <c r="BK51" s="14" t="str">
        <f>IFERROR(IFERROR(VLOOKUP($C51&amp;" "&amp;BK$1,Results!$G:$I,3,FALSE),-VLOOKUP($C51&amp;" "&amp;BK$1,Results!$H:$I,2,FALSE)),"")</f>
        <v/>
      </c>
      <c r="BL51" s="14" t="str">
        <f>IFERROR(IFERROR(VLOOKUP($C51&amp;" "&amp;BL$1,Results!$G:$I,3,FALSE),-VLOOKUP($C51&amp;" "&amp;BL$1,Results!$H:$I,2,FALSE)),"")</f>
        <v/>
      </c>
      <c r="BM51" s="14" t="str">
        <f>IFERROR(IFERROR(VLOOKUP($C51&amp;" "&amp;BM$1,Results!$G:$I,3,FALSE),-VLOOKUP($C51&amp;" "&amp;BM$1,Results!$H:$I,2,FALSE)),"")</f>
        <v/>
      </c>
      <c r="BN51" s="14" t="str">
        <f>IFERROR(IFERROR(VLOOKUP($C51&amp;" "&amp;BN$1,Results!$G:$I,3,FALSE),-VLOOKUP($C51&amp;" "&amp;BN$1,Results!$H:$I,2,FALSE)),"")</f>
        <v/>
      </c>
      <c r="BO51" s="14">
        <f>IFERROR(IFERROR(VLOOKUP($C51&amp;" "&amp;BO$1,Results!$G:$I,3,FALSE),-VLOOKUP($C51&amp;" "&amp;BO$1,Results!$H:$I,2,FALSE)),"")</f>
        <v>-283</v>
      </c>
      <c r="BP51" s="14" t="str">
        <f>IFERROR(IFERROR(VLOOKUP($C51&amp;" "&amp;BP$1,Results!$G:$I,3,FALSE),-VLOOKUP($C51&amp;" "&amp;BP$1,Results!$H:$I,2,FALSE)),"")</f>
        <v/>
      </c>
      <c r="BQ51" s="14">
        <f>IFERROR(IFERROR(VLOOKUP($C51&amp;" "&amp;BQ$1,Results!$G:$I,3,FALSE),-VLOOKUP($C51&amp;" "&amp;BQ$1,Results!$H:$I,2,FALSE)),"")</f>
        <v>-54</v>
      </c>
      <c r="BR51" s="14">
        <f>IFERROR(IFERROR(VLOOKUP($C51&amp;" "&amp;BR$1,Results!$G:$I,3,FALSE),-VLOOKUP($C51&amp;" "&amp;BR$1,Results!$H:$I,2,FALSE)),"")</f>
        <v>-194</v>
      </c>
      <c r="BS51" s="14" t="str">
        <f>IFERROR(IFERROR(VLOOKUP($C51&amp;" "&amp;BS$1,Results!$G:$I,3,FALSE),-VLOOKUP($C51&amp;" "&amp;BS$1,Results!$H:$I,2,FALSE)),"")</f>
        <v/>
      </c>
      <c r="BT51" s="54" t="str">
        <f>IFERROR(IFERROR(VLOOKUP($C51&amp;" "&amp;BT$1,Results!$G:$I,3,FALSE),-VLOOKUP($C51&amp;" "&amp;BT$1,Results!$H:$I,2,FALSE)),"")</f>
        <v/>
      </c>
      <c r="BU51" s="72">
        <f>IFERROR(IFERROR(VLOOKUP($C51&amp;" "&amp;BU$1,Results!$G:$I,3,FALSE),-VLOOKUP($C51&amp;" "&amp;BU$1,Results!$H:$I,2,FALSE)),"")</f>
        <v>158</v>
      </c>
      <c r="BV51" s="78">
        <f>IFERROR(IFERROR(VLOOKUP($C51&amp;" "&amp;BV$1,Results!$G:$I,3,FALSE),-VLOOKUP($C51&amp;" "&amp;BV$1,Results!$H:$I,2,FALSE)),"")</f>
        <v>-158</v>
      </c>
      <c r="BW51" s="111">
        <f t="shared" si="7"/>
        <v>-531</v>
      </c>
      <c r="BY51" s="15">
        <f>COUNTIF(E51:I51,0)</f>
        <v>4</v>
      </c>
      <c r="BZ51" s="15">
        <f t="shared" si="12"/>
        <v>5</v>
      </c>
      <c r="CA51" s="90">
        <f t="shared" si="28"/>
        <v>0</v>
      </c>
      <c r="CC51" s="22">
        <f t="shared" si="25"/>
        <v>-373</v>
      </c>
      <c r="CE51" s="15">
        <v>49</v>
      </c>
      <c r="CF51" s="15">
        <f t="shared" si="26"/>
        <v>0</v>
      </c>
      <c r="CG51" s="15">
        <f t="shared" si="9"/>
        <v>49</v>
      </c>
    </row>
    <row r="52" spans="1:85">
      <c r="B52" s="15">
        <v>49</v>
      </c>
      <c r="C52" s="32" t="s">
        <v>100</v>
      </c>
      <c r="D52" s="59"/>
      <c r="E52" s="8">
        <f t="shared" ref="E52:G53" si="39">IF(AND(BO52&gt;0,$A52&lt;VLOOKUP(BO$1,$C:$L,10,FALSE)),1,IF(AND(BO52&lt;0,$A52&gt;VLOOKUP(BO$1,$C:$L,10,FALSE)),1,0))</f>
        <v>0</v>
      </c>
      <c r="F52" s="8">
        <f t="shared" si="39"/>
        <v>0</v>
      </c>
      <c r="G52" s="8">
        <f t="shared" si="39"/>
        <v>0</v>
      </c>
      <c r="H52" s="8">
        <f>IF(AND(BS52&gt;0,$A52&lt;VLOOKUP(BS$1,$C:$L,10,FALSE)),1,IF(AND(BS52&lt;0,$A52&gt;VLOOKUP(BS$1,$C:$L,10,FALSE)),1,0))</f>
        <v>0</v>
      </c>
      <c r="I52" s="8">
        <f>IF(AND(BT52&gt;0,$A52&lt;VLOOKUP(BT$1,$C:$L,10,FALSE)),1,IF(AND(BT52&lt;0,$A52&gt;VLOOKUP(BT$1,$C:$L,10,FALSE)),1,0))</f>
        <v>0</v>
      </c>
      <c r="J52" s="8" t="s">
        <v>162</v>
      </c>
      <c r="K52" s="108" t="s">
        <v>135</v>
      </c>
      <c r="L52" s="8">
        <f t="shared" si="21"/>
        <v>0</v>
      </c>
      <c r="M52" s="2">
        <v>13</v>
      </c>
      <c r="N52" s="17">
        <f t="shared" si="32"/>
        <v>0</v>
      </c>
      <c r="O52" s="2">
        <f t="shared" si="33"/>
        <v>5</v>
      </c>
      <c r="P52" s="2">
        <f t="shared" si="34"/>
        <v>0</v>
      </c>
      <c r="Q52" s="18">
        <f>COUNTIF($BT52:$BV52,"&gt;0")</f>
        <v>0</v>
      </c>
      <c r="R52" s="19">
        <f>COUNTIF($BT52:$BV52,"&lt;0")</f>
        <v>2</v>
      </c>
      <c r="S52" s="20">
        <f>COUNTIF($BT52:$BV52,"=0")</f>
        <v>0</v>
      </c>
      <c r="T52" s="2">
        <f t="shared" ref="T52" si="40">COUNTIF(V52:BJ52,"NC")</f>
        <v>0</v>
      </c>
      <c r="U52" s="2"/>
      <c r="V52" s="13"/>
      <c r="W52" s="13"/>
      <c r="X52" s="13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 t="str">
        <f>IFERROR(IFERROR(VLOOKUP($C52&amp;" "&amp;AS$1,Results!$G:$I,3,FALSE),-VLOOKUP($C52&amp;" "&amp;AS$1,Results!$H:$I,2,FALSE)),"")</f>
        <v/>
      </c>
      <c r="AT52" s="14" t="str">
        <f>IFERROR(IFERROR(VLOOKUP($C52&amp;" "&amp;AT$1,Results!$G:$I,3,FALSE),-VLOOKUP($C52&amp;" "&amp;AT$1,Results!$H:$I,2,FALSE)),"")</f>
        <v/>
      </c>
      <c r="AU52" s="14" t="str">
        <f>IFERROR(IFERROR(VLOOKUP($C52&amp;" "&amp;AU$1,Results!$G:$I,3,FALSE),-VLOOKUP($C52&amp;" "&amp;AU$1,Results!$H:$I,2,FALSE)),"")</f>
        <v/>
      </c>
      <c r="AV52" s="14" t="str">
        <f>IFERROR(IFERROR(VLOOKUP($C52&amp;" "&amp;AV$1,Results!$G:$I,3,FALSE),-VLOOKUP($C52&amp;" "&amp;AV$1,Results!$H:$I,2,FALSE)),"")</f>
        <v/>
      </c>
      <c r="AW52" s="14" t="str">
        <f>IFERROR(IFERROR(VLOOKUP($C52&amp;" "&amp;AW$1,Results!$G:$I,3,FALSE),-VLOOKUP($C52&amp;" "&amp;AW$1,Results!$H:$I,2,FALSE)),"")</f>
        <v/>
      </c>
      <c r="AX52" s="14" t="str">
        <f>IFERROR(IFERROR(VLOOKUP($C52&amp;" "&amp;AX$1,Results!$G:$I,3,FALSE),-VLOOKUP($C52&amp;" "&amp;AX$1,Results!$H:$I,2,FALSE)),"")</f>
        <v/>
      </c>
      <c r="AY52" s="14" t="str">
        <f>IFERROR(IFERROR(VLOOKUP($C52&amp;" "&amp;AY$1,Results!$G:$I,3,FALSE),-VLOOKUP($C52&amp;" "&amp;AY$1,Results!$H:$I,2,FALSE)),"")</f>
        <v/>
      </c>
      <c r="AZ52" s="14" t="str">
        <f>IFERROR(IFERROR(VLOOKUP($C52&amp;" "&amp;AZ$1,Results!$G:$I,3,FALSE),-VLOOKUP($C52&amp;" "&amp;AZ$1,Results!$H:$I,2,FALSE)),"")</f>
        <v/>
      </c>
      <c r="BA52" s="14" t="str">
        <f>IFERROR(IFERROR(VLOOKUP($C52&amp;" "&amp;BA$1,Results!$G:$I,3,FALSE),-VLOOKUP($C52&amp;" "&amp;BA$1,Results!$H:$I,2,FALSE)),"")</f>
        <v/>
      </c>
      <c r="BB52" s="14" t="str">
        <f>IFERROR(IFERROR(VLOOKUP($C52&amp;" "&amp;BB$1,Results!$G:$I,3,FALSE),-VLOOKUP($C52&amp;" "&amp;BB$1,Results!$H:$I,2,FALSE)),"")</f>
        <v/>
      </c>
      <c r="BC52" s="14" t="str">
        <f>IFERROR(IFERROR(VLOOKUP($C52&amp;" "&amp;BC$1,Results!$G:$I,3,FALSE),-VLOOKUP($C52&amp;" "&amp;BC$1,Results!$H:$I,2,FALSE)),"")</f>
        <v/>
      </c>
      <c r="BD52" s="14" t="str">
        <f>IFERROR(IFERROR(VLOOKUP($C52&amp;" "&amp;BD$1,Results!$G:$I,3,FALSE),-VLOOKUP($C52&amp;" "&amp;BD$1,Results!$H:$I,2,FALSE)),"")</f>
        <v/>
      </c>
      <c r="BE52" s="14" t="str">
        <f>IFERROR(IFERROR(VLOOKUP($C52&amp;" "&amp;BE$1,Results!$G:$I,3,FALSE),-VLOOKUP($C52&amp;" "&amp;BE$1,Results!$H:$I,2,FALSE)),"")</f>
        <v/>
      </c>
      <c r="BF52" s="14" t="str">
        <f>IFERROR(IFERROR(VLOOKUP($C52&amp;" "&amp;BF$1,Results!$G:$I,3,FALSE),-VLOOKUP($C52&amp;" "&amp;BF$1,Results!$H:$I,2,FALSE)),"")</f>
        <v/>
      </c>
      <c r="BG52" s="14" t="str">
        <f>IFERROR(IFERROR(VLOOKUP($C52&amp;" "&amp;BG$1,Results!$G:$I,3,FALSE),-VLOOKUP($C52&amp;" "&amp;BG$1,Results!$H:$I,2,FALSE)),"")</f>
        <v/>
      </c>
      <c r="BH52" s="14" t="str">
        <f>IFERROR(IFERROR(VLOOKUP($C52&amp;" "&amp;BH$1,Results!$G:$I,3,FALSE),-VLOOKUP($C52&amp;" "&amp;BH$1,Results!$H:$I,2,FALSE)),"")</f>
        <v/>
      </c>
      <c r="BI52" s="30" t="str">
        <f>IFERROR(IFERROR(VLOOKUP($C52&amp;" "&amp;BI$1,Results!$G:$I,3,FALSE),-VLOOKUP($C52&amp;" "&amp;BI$1,Results!$H:$I,2,FALSE)),"")</f>
        <v/>
      </c>
      <c r="BJ52" s="14" t="str">
        <f>IFERROR(IFERROR(VLOOKUP($C52&amp;" "&amp;BJ$1,Results!$G:$I,3,FALSE),-VLOOKUP($C52&amp;" "&amp;BJ$1,Results!$H:$I,2,FALSE)),"")</f>
        <v/>
      </c>
      <c r="BK52" s="14" t="str">
        <f>IFERROR(IFERROR(VLOOKUP($C52&amp;" "&amp;BK$1,Results!$G:$I,3,FALSE),-VLOOKUP($C52&amp;" "&amp;BK$1,Results!$H:$I,2,FALSE)),"")</f>
        <v/>
      </c>
      <c r="BL52" s="14" t="str">
        <f>IFERROR(IFERROR(VLOOKUP($C52&amp;" "&amp;BL$1,Results!$G:$I,3,FALSE),-VLOOKUP($C52&amp;" "&amp;BL$1,Results!$H:$I,2,FALSE)),"")</f>
        <v/>
      </c>
      <c r="BM52" s="14" t="str">
        <f>IFERROR(IFERROR(VLOOKUP($C52&amp;" "&amp;BM$1,Results!$G:$I,3,FALSE),-VLOOKUP($C52&amp;" "&amp;BM$1,Results!$H:$I,2,FALSE)),"")</f>
        <v/>
      </c>
      <c r="BN52" s="14">
        <f>IFERROR(IFERROR(VLOOKUP($C52&amp;" "&amp;BN$1,Results!$G:$I,3,FALSE),-VLOOKUP($C52&amp;" "&amp;BN$1,Results!$H:$I,2,FALSE)),"")</f>
        <v>-231</v>
      </c>
      <c r="BO52" s="14" t="str">
        <f>IFERROR(IFERROR(VLOOKUP($C52&amp;" "&amp;BO$1,Results!$G:$I,3,FALSE),-VLOOKUP($C52&amp;" "&amp;BO$1,Results!$H:$I,2,FALSE)),"")</f>
        <v/>
      </c>
      <c r="BP52" s="14" t="str">
        <f>IFERROR(IFERROR(VLOOKUP($C52&amp;" "&amp;BP$1,Results!$G:$I,3,FALSE),-VLOOKUP($C52&amp;" "&amp;BP$1,Results!$H:$I,2,FALSE)),"")</f>
        <v/>
      </c>
      <c r="BQ52" s="14">
        <f>IFERROR(IFERROR(VLOOKUP($C52&amp;" "&amp;BQ$1,Results!$G:$I,3,FALSE),-VLOOKUP($C52&amp;" "&amp;BQ$1,Results!$H:$I,2,FALSE)),"")</f>
        <v>-181</v>
      </c>
      <c r="BR52" s="14">
        <f>IFERROR(IFERROR(VLOOKUP($C52&amp;" "&amp;BR$1,Results!$G:$I,3,FALSE),-VLOOKUP($C52&amp;" "&amp;BR$1,Results!$H:$I,2,FALSE)),"")</f>
        <v>-217</v>
      </c>
      <c r="BS52" s="14" t="str">
        <f>IFERROR(IFERROR(VLOOKUP($C52&amp;" "&amp;BS$1,Results!$G:$I,3,FALSE),-VLOOKUP($C52&amp;" "&amp;BS$1,Results!$H:$I,2,FALSE)),"")</f>
        <v/>
      </c>
      <c r="BT52" s="74">
        <f>IFERROR(IFERROR(VLOOKUP($C52&amp;" "&amp;BT$1,Results!$G:$I,3,FALSE),-VLOOKUP($C52&amp;" "&amp;BT$1,Results!$H:$I,2,FALSE)),"")</f>
        <v>-158</v>
      </c>
      <c r="BU52" s="14" t="str">
        <f>IFERROR(IFERROR(VLOOKUP($C52&amp;" "&amp;BU$1,Results!$G:$I,3,FALSE),-VLOOKUP($C52&amp;" "&amp;BU$1,Results!$H:$I,2,FALSE)),"")</f>
        <v/>
      </c>
      <c r="BV52" s="79">
        <f>IFERROR(IFERROR(VLOOKUP($C52&amp;" "&amp;BV$1,Results!$G:$I,3,FALSE),-VLOOKUP($C52&amp;" "&amp;BV$1,Results!$H:$I,2,FALSE)),"")</f>
        <v>-327</v>
      </c>
      <c r="BW52" s="111">
        <f t="shared" ref="BW52" si="41">SUM(V52:BT52)</f>
        <v>-787</v>
      </c>
      <c r="BY52" s="15">
        <f>COUNTIF(E52:H52,0)</f>
        <v>4</v>
      </c>
      <c r="BZ52" s="15">
        <f t="shared" si="12"/>
        <v>5</v>
      </c>
      <c r="CA52" s="90">
        <f t="shared" ref="CA52" si="42">+BX52/BZ52</f>
        <v>0</v>
      </c>
      <c r="CC52" s="22">
        <f t="shared" si="25"/>
        <v>-787</v>
      </c>
      <c r="CE52" s="15">
        <v>45</v>
      </c>
      <c r="CF52" s="15">
        <f t="shared" si="26"/>
        <v>0</v>
      </c>
      <c r="CG52" s="15">
        <f t="shared" si="9"/>
        <v>45</v>
      </c>
    </row>
    <row r="53" spans="1:85" ht="13.5" thickBot="1">
      <c r="B53" s="15">
        <v>50</v>
      </c>
      <c r="C53" s="32" t="s">
        <v>171</v>
      </c>
      <c r="D53" s="59"/>
      <c r="E53" s="8">
        <f t="shared" si="39"/>
        <v>0</v>
      </c>
      <c r="F53" s="8">
        <f t="shared" si="39"/>
        <v>0</v>
      </c>
      <c r="G53" s="8">
        <f t="shared" si="39"/>
        <v>0</v>
      </c>
      <c r="H53" s="8">
        <f>IF(AND(BS53&gt;0,$A53&lt;VLOOKUP(BS$1,$C:$L,10,FALSE)),1,IF(AND(BS53&lt;0,$A53&gt;VLOOKUP(BS$1,$C:$L,10,FALSE)),1,0))</f>
        <v>0</v>
      </c>
      <c r="I53" s="8">
        <f>IF(AND(BT53&gt;0,$A53&lt;VLOOKUP(BT$1,$C:$L,10,FALSE)),1,IF(AND(BT53&lt;0,$A53&gt;VLOOKUP(BT$1,$C:$L,10,FALSE)),1,0))</f>
        <v>0</v>
      </c>
      <c r="J53" s="8" t="s">
        <v>162</v>
      </c>
      <c r="K53" s="108" t="s">
        <v>135</v>
      </c>
      <c r="L53" s="8">
        <f t="shared" ref="L53" si="43">A53</f>
        <v>0</v>
      </c>
      <c r="M53" s="2">
        <v>13</v>
      </c>
      <c r="N53" s="17">
        <f t="shared" si="32"/>
        <v>3</v>
      </c>
      <c r="O53" s="2">
        <f t="shared" si="33"/>
        <v>2</v>
      </c>
      <c r="P53" s="2">
        <f t="shared" si="34"/>
        <v>0</v>
      </c>
      <c r="Q53" s="18">
        <f>COUNTIF($BT53:$BV53,"&gt;0")</f>
        <v>2</v>
      </c>
      <c r="R53" s="19">
        <f>COUNTIF($BT53:$BV53,"&lt;0")</f>
        <v>0</v>
      </c>
      <c r="S53" s="20">
        <f>COUNTIF($BT53:$BV53,"=0")</f>
        <v>0</v>
      </c>
      <c r="T53" s="2">
        <f t="shared" ref="T53" si="44">COUNTIF(V53:BJ53,"NC")</f>
        <v>0</v>
      </c>
      <c r="U53" s="2"/>
      <c r="V53" s="13"/>
      <c r="W53" s="13"/>
      <c r="X53" s="13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 t="str">
        <f>IFERROR(IFERROR(VLOOKUP($C53&amp;" "&amp;AS$1,Results!$G:$I,3,FALSE),-VLOOKUP($C53&amp;" "&amp;AS$1,Results!$H:$I,2,FALSE)),"")</f>
        <v/>
      </c>
      <c r="AT53" s="14" t="str">
        <f>IFERROR(IFERROR(VLOOKUP($C53&amp;" "&amp;AT$1,Results!$G:$I,3,FALSE),-VLOOKUP($C53&amp;" "&amp;AT$1,Results!$H:$I,2,FALSE)),"")</f>
        <v/>
      </c>
      <c r="AU53" s="14" t="str">
        <f>IFERROR(IFERROR(VLOOKUP($C53&amp;" "&amp;AU$1,Results!$G:$I,3,FALSE),-VLOOKUP($C53&amp;" "&amp;AU$1,Results!$H:$I,2,FALSE)),"")</f>
        <v/>
      </c>
      <c r="AV53" s="14" t="str">
        <f>IFERROR(IFERROR(VLOOKUP($C53&amp;" "&amp;AV$1,Results!$G:$I,3,FALSE),-VLOOKUP($C53&amp;" "&amp;AV$1,Results!$H:$I,2,FALSE)),"")</f>
        <v/>
      </c>
      <c r="AW53" s="14" t="str">
        <f>IFERROR(IFERROR(VLOOKUP($C53&amp;" "&amp;AW$1,Results!$G:$I,3,FALSE),-VLOOKUP($C53&amp;" "&amp;AW$1,Results!$H:$I,2,FALSE)),"")</f>
        <v/>
      </c>
      <c r="AX53" s="14" t="str">
        <f>IFERROR(IFERROR(VLOOKUP($C53&amp;" "&amp;AX$1,Results!$G:$I,3,FALSE),-VLOOKUP($C53&amp;" "&amp;AX$1,Results!$H:$I,2,FALSE)),"")</f>
        <v/>
      </c>
      <c r="AY53" s="14" t="str">
        <f>IFERROR(IFERROR(VLOOKUP($C53&amp;" "&amp;AY$1,Results!$G:$I,3,FALSE),-VLOOKUP($C53&amp;" "&amp;AY$1,Results!$H:$I,2,FALSE)),"")</f>
        <v/>
      </c>
      <c r="AZ53" s="14" t="str">
        <f>IFERROR(IFERROR(VLOOKUP($C53&amp;" "&amp;AZ$1,Results!$G:$I,3,FALSE),-VLOOKUP($C53&amp;" "&amp;AZ$1,Results!$H:$I,2,FALSE)),"")</f>
        <v/>
      </c>
      <c r="BA53" s="14" t="str">
        <f>IFERROR(IFERROR(VLOOKUP($C53&amp;" "&amp;BA$1,Results!$G:$I,3,FALSE),-VLOOKUP($C53&amp;" "&amp;BA$1,Results!$H:$I,2,FALSE)),"")</f>
        <v/>
      </c>
      <c r="BB53" s="14" t="str">
        <f>IFERROR(IFERROR(VLOOKUP($C53&amp;" "&amp;BB$1,Results!$G:$I,3,FALSE),-VLOOKUP($C53&amp;" "&amp;BB$1,Results!$H:$I,2,FALSE)),"")</f>
        <v/>
      </c>
      <c r="BC53" s="14" t="str">
        <f>IFERROR(IFERROR(VLOOKUP($C53&amp;" "&amp;BC$1,Results!$G:$I,3,FALSE),-VLOOKUP($C53&amp;" "&amp;BC$1,Results!$H:$I,2,FALSE)),"")</f>
        <v/>
      </c>
      <c r="BD53" s="14" t="str">
        <f>IFERROR(IFERROR(VLOOKUP($C53&amp;" "&amp;BD$1,Results!$G:$I,3,FALSE),-VLOOKUP($C53&amp;" "&amp;BD$1,Results!$H:$I,2,FALSE)),"")</f>
        <v/>
      </c>
      <c r="BE53" s="14" t="str">
        <f>IFERROR(IFERROR(VLOOKUP($C53&amp;" "&amp;BE$1,Results!$G:$I,3,FALSE),-VLOOKUP($C53&amp;" "&amp;BE$1,Results!$H:$I,2,FALSE)),"")</f>
        <v/>
      </c>
      <c r="BF53" s="14" t="str">
        <f>IFERROR(IFERROR(VLOOKUP($C53&amp;" "&amp;BF$1,Results!$G:$I,3,FALSE),-VLOOKUP($C53&amp;" "&amp;BF$1,Results!$H:$I,2,FALSE)),"")</f>
        <v/>
      </c>
      <c r="BG53" s="14" t="str">
        <f>IFERROR(IFERROR(VLOOKUP($C53&amp;" "&amp;BG$1,Results!$G:$I,3,FALSE),-VLOOKUP($C53&amp;" "&amp;BG$1,Results!$H:$I,2,FALSE)),"")</f>
        <v/>
      </c>
      <c r="BH53" s="14" t="str">
        <f>IFERROR(IFERROR(VLOOKUP($C53&amp;" "&amp;BH$1,Results!$G:$I,3,FALSE),-VLOOKUP($C53&amp;" "&amp;BH$1,Results!$H:$I,2,FALSE)),"")</f>
        <v/>
      </c>
      <c r="BI53" s="30" t="str">
        <f>IFERROR(IFERROR(VLOOKUP($C53&amp;" "&amp;BI$1,Results!$G:$I,3,FALSE),-VLOOKUP($C53&amp;" "&amp;BI$1,Results!$H:$I,2,FALSE)),"")</f>
        <v/>
      </c>
      <c r="BJ53" s="14" t="str">
        <f>IFERROR(IFERROR(VLOOKUP($C53&amp;" "&amp;BJ$1,Results!$G:$I,3,FALSE),-VLOOKUP($C53&amp;" "&amp;BJ$1,Results!$H:$I,2,FALSE)),"")</f>
        <v/>
      </c>
      <c r="BK53" s="14" t="str">
        <f>IFERROR(IFERROR(VLOOKUP($C53&amp;" "&amp;BK$1,Results!$G:$I,3,FALSE),-VLOOKUP($C53&amp;" "&amp;BK$1,Results!$H:$I,2,FALSE)),"")</f>
        <v/>
      </c>
      <c r="BL53" s="14" t="str">
        <f>IFERROR(IFERROR(VLOOKUP($C53&amp;" "&amp;BL$1,Results!$G:$I,3,FALSE),-VLOOKUP($C53&amp;" "&amp;BL$1,Results!$H:$I,2,FALSE)),"")</f>
        <v/>
      </c>
      <c r="BM53" s="14" t="str">
        <f>IFERROR(IFERROR(VLOOKUP($C53&amp;" "&amp;BM$1,Results!$G:$I,3,FALSE),-VLOOKUP($C53&amp;" "&amp;BM$1,Results!$H:$I,2,FALSE)),"")</f>
        <v/>
      </c>
      <c r="BN53" s="14" t="str">
        <f>IFERROR(IFERROR(VLOOKUP($C53&amp;" "&amp;BN$1,Results!$G:$I,3,FALSE),-VLOOKUP($C53&amp;" "&amp;BN$1,Results!$H:$I,2,FALSE)),"")</f>
        <v/>
      </c>
      <c r="BO53" s="14" t="str">
        <f>IFERROR(IFERROR(VLOOKUP($C53&amp;" "&amp;BO$1,Results!$G:$I,3,FALSE),-VLOOKUP($C53&amp;" "&amp;BO$1,Results!$H:$I,2,FALSE)),"")</f>
        <v/>
      </c>
      <c r="BP53" s="14">
        <f>IFERROR(IFERROR(VLOOKUP($C53&amp;" "&amp;BP$1,Results!$G:$I,3,FALSE),-VLOOKUP($C53&amp;" "&amp;BP$1,Results!$H:$I,2,FALSE)),"")</f>
        <v>-124</v>
      </c>
      <c r="BQ53" s="14">
        <f>IFERROR(IFERROR(VLOOKUP($C53&amp;" "&amp;BQ$1,Results!$G:$I,3,FALSE),-VLOOKUP($C53&amp;" "&amp;BQ$1,Results!$H:$I,2,FALSE)),"")</f>
        <v>87</v>
      </c>
      <c r="BR53" s="14">
        <f>IFERROR(IFERROR(VLOOKUP($C53&amp;" "&amp;BR$1,Results!$G:$I,3,FALSE),-VLOOKUP($C53&amp;" "&amp;BR$1,Results!$H:$I,2,FALSE)),"")</f>
        <v>-6</v>
      </c>
      <c r="BS53" s="14" t="str">
        <f>IFERROR(IFERROR(VLOOKUP($C53&amp;" "&amp;BS$1,Results!$G:$I,3,FALSE),-VLOOKUP($C53&amp;" "&amp;BS$1,Results!$H:$I,2,FALSE)),"")</f>
        <v/>
      </c>
      <c r="BT53" s="75">
        <f>IFERROR(IFERROR(VLOOKUP($C53&amp;" "&amp;BT$1,Results!$G:$I,3,FALSE),-VLOOKUP($C53&amp;" "&amp;BT$1,Results!$H:$I,2,FALSE)),"")</f>
        <v>158</v>
      </c>
      <c r="BU53" s="80">
        <f>IFERROR(IFERROR(VLOOKUP($C53&amp;" "&amp;BU$1,Results!$G:$I,3,FALSE),-VLOOKUP($C53&amp;" "&amp;BU$1,Results!$H:$I,2,FALSE)),"")</f>
        <v>327</v>
      </c>
      <c r="BV53" s="81" t="str">
        <f>IFERROR(IFERROR(VLOOKUP($C53&amp;" "&amp;BV$1,Results!$G:$I,3,FALSE),-VLOOKUP($C53&amp;" "&amp;BV$1,Results!$H:$I,2,FALSE)),"")</f>
        <v/>
      </c>
      <c r="BW53" s="111">
        <f t="shared" ref="BW53" si="45">SUM(V53:BT53)</f>
        <v>115</v>
      </c>
      <c r="BY53" s="15">
        <f>COUNTIF(E53:H53,0)</f>
        <v>4</v>
      </c>
      <c r="BZ53" s="15">
        <f t="shared" ref="BZ53" si="46">COUNT(E53:J53)</f>
        <v>5</v>
      </c>
      <c r="CA53" s="90">
        <f t="shared" ref="CA53" si="47">+BX53/BZ53</f>
        <v>0</v>
      </c>
      <c r="CC53" s="22">
        <f t="shared" ref="CC53" si="48">SUM(V53:BU53)</f>
        <v>442</v>
      </c>
      <c r="CE53" s="15">
        <v>45</v>
      </c>
      <c r="CF53" s="15">
        <f t="shared" ref="CF53" si="49">A53</f>
        <v>0</v>
      </c>
      <c r="CG53" s="15">
        <f t="shared" ref="CG53" si="50">+CE53-CF53</f>
        <v>45</v>
      </c>
    </row>
    <row r="54" spans="1:85">
      <c r="T54" s="8"/>
      <c r="U54" s="8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29"/>
      <c r="AZ54" s="29"/>
      <c r="BA54" s="14"/>
      <c r="BB54" s="14"/>
      <c r="BC54" s="29"/>
      <c r="BD54" s="29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24"/>
      <c r="BT54" s="24"/>
      <c r="BU54" s="24"/>
      <c r="BV54" s="24"/>
      <c r="BW54" s="86"/>
      <c r="BX54" s="21">
        <f>SUM(BX4:BX52)</f>
        <v>0</v>
      </c>
      <c r="BY54" s="21">
        <f>SUM(BY4:BY52)</f>
        <v>235</v>
      </c>
      <c r="BZ54" s="21">
        <f>SUM(BZ4:BZ52)</f>
        <v>281</v>
      </c>
      <c r="CA54" s="21">
        <f>COUNTIF(CA4:CA52,1)</f>
        <v>0</v>
      </c>
    </row>
    <row r="55" spans="1:85">
      <c r="C55" s="184"/>
      <c r="T55" s="8"/>
      <c r="U55" s="8"/>
      <c r="V55" s="4"/>
      <c r="W55" s="4"/>
      <c r="X55" s="4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8"/>
      <c r="AZ55" s="8"/>
      <c r="BA55" s="2"/>
      <c r="BB55" s="2"/>
      <c r="BC55" s="8"/>
      <c r="BD55" s="8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1"/>
      <c r="BT55" s="21"/>
      <c r="BU55" s="21"/>
      <c r="BV55" s="21"/>
      <c r="BW55" s="86"/>
      <c r="BX55" s="91">
        <f>+BX54/BZ54</f>
        <v>0</v>
      </c>
      <c r="BY55" s="21"/>
      <c r="CA55" s="21">
        <f>COUNT(CA4:CA52)</f>
        <v>49</v>
      </c>
    </row>
    <row r="56" spans="1:85">
      <c r="T56" s="8"/>
      <c r="U56" s="8"/>
      <c r="V56" s="4"/>
      <c r="W56" s="4"/>
      <c r="X56" s="4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8"/>
      <c r="AZ56" s="8"/>
      <c r="BA56" s="2"/>
      <c r="BB56" s="2"/>
      <c r="BC56" s="8"/>
      <c r="BD56" s="8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1"/>
      <c r="BT56" s="21"/>
      <c r="BU56" s="21"/>
      <c r="BV56" s="21"/>
      <c r="BW56" s="86"/>
      <c r="BX56" s="21"/>
      <c r="BY56" s="21"/>
      <c r="CA56" s="91">
        <f>+CA54/CA55</f>
        <v>0</v>
      </c>
    </row>
    <row r="57" spans="1:85">
      <c r="T57" s="8"/>
      <c r="U57" s="8"/>
      <c r="V57" s="4"/>
      <c r="W57" s="4"/>
      <c r="X57" s="4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8"/>
      <c r="AZ57" s="8"/>
      <c r="BA57" s="2"/>
      <c r="BB57" s="2"/>
      <c r="BC57" s="8"/>
      <c r="BD57" s="8"/>
      <c r="BE57" s="2"/>
      <c r="BF57" s="2"/>
      <c r="BG57" s="2"/>
      <c r="BH57" s="8"/>
      <c r="BI57" s="8"/>
      <c r="BJ57" s="11"/>
      <c r="BK57" s="11"/>
      <c r="BL57" s="11"/>
      <c r="BM57" s="11"/>
      <c r="BN57" s="11"/>
      <c r="BO57" s="11"/>
      <c r="BP57" s="11"/>
      <c r="BQ57" s="11"/>
      <c r="BR57" s="11"/>
      <c r="BX57" s="92" t="s">
        <v>122</v>
      </c>
    </row>
    <row r="58" spans="1:85">
      <c r="T58" s="8"/>
      <c r="U58" s="8"/>
      <c r="V58" s="4"/>
      <c r="W58" s="4"/>
      <c r="X58" s="4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8"/>
      <c r="AZ58" s="8"/>
      <c r="BA58" s="2"/>
      <c r="BB58" s="2"/>
      <c r="BC58" s="8"/>
      <c r="BD58" s="8"/>
      <c r="BE58" s="2"/>
      <c r="BF58" s="2"/>
      <c r="BG58" s="2"/>
      <c r="BH58" s="8"/>
      <c r="BI58" s="8"/>
      <c r="BJ58" s="11"/>
      <c r="BK58" s="11"/>
      <c r="BL58" s="11"/>
      <c r="BM58" s="11"/>
      <c r="BN58" s="11"/>
      <c r="BO58" s="11"/>
      <c r="BP58" s="11"/>
      <c r="BQ58" s="11"/>
      <c r="BR58" s="11"/>
    </row>
    <row r="59" spans="1:85">
      <c r="T59" s="8"/>
      <c r="U59" s="8"/>
      <c r="V59" s="4"/>
      <c r="W59" s="4"/>
      <c r="X59" s="4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8"/>
      <c r="AZ59" s="8"/>
      <c r="BA59" s="2"/>
      <c r="BB59" s="2"/>
      <c r="BC59" s="8"/>
      <c r="BD59" s="8"/>
      <c r="BE59" s="2"/>
      <c r="BF59" s="2"/>
      <c r="BG59" s="2"/>
      <c r="BH59" s="8"/>
      <c r="BI59" s="8"/>
      <c r="BJ59" s="11"/>
      <c r="BK59" s="11"/>
      <c r="BL59" s="11"/>
      <c r="BM59" s="11"/>
      <c r="BN59" s="11"/>
      <c r="BO59" s="11"/>
      <c r="BP59" s="11"/>
      <c r="BQ59" s="11"/>
      <c r="BR59" s="11"/>
      <c r="BX59" s="15">
        <f>BX54+North!BL43</f>
        <v>0</v>
      </c>
      <c r="BZ59" s="15">
        <f>BZ54+North!BN43</f>
        <v>433</v>
      </c>
    </row>
    <row r="60" spans="1:85">
      <c r="T60" s="8"/>
      <c r="U60" s="8"/>
      <c r="V60" s="4"/>
      <c r="W60" s="4"/>
      <c r="X60" s="4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8"/>
      <c r="AZ60" s="8"/>
      <c r="BA60" s="2"/>
      <c r="BB60" s="2"/>
      <c r="BC60" s="8"/>
      <c r="BD60" s="8"/>
      <c r="BE60" s="2"/>
      <c r="BF60" s="2"/>
      <c r="BG60" s="2"/>
      <c r="BH60" s="8"/>
      <c r="BI60" s="8"/>
      <c r="BJ60" s="11"/>
      <c r="BK60" s="11"/>
      <c r="BL60" s="11"/>
      <c r="BM60" s="11"/>
      <c r="BN60" s="11"/>
      <c r="BO60" s="11"/>
      <c r="BP60" s="11"/>
      <c r="BQ60" s="11"/>
      <c r="BR60" s="11"/>
      <c r="BX60" s="113">
        <f>BX59/BZ59</f>
        <v>0</v>
      </c>
    </row>
    <row r="61" spans="1:85">
      <c r="T61" s="8"/>
      <c r="U61" s="8"/>
      <c r="V61" s="4"/>
      <c r="W61" s="4"/>
      <c r="X61" s="4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8"/>
      <c r="AZ61" s="8"/>
      <c r="BA61" s="2"/>
      <c r="BB61" s="2"/>
      <c r="BC61" s="8"/>
      <c r="BD61" s="8"/>
      <c r="BE61" s="2"/>
      <c r="BF61" s="2"/>
      <c r="BG61" s="2"/>
      <c r="BH61" s="8"/>
      <c r="BI61" s="8"/>
      <c r="BJ61" s="11"/>
      <c r="BK61" s="11"/>
      <c r="BL61" s="11"/>
      <c r="BM61" s="11"/>
      <c r="BN61" s="11"/>
      <c r="BO61" s="11"/>
      <c r="BP61" s="11"/>
      <c r="BQ61" s="11"/>
      <c r="BR61" s="11"/>
    </row>
  </sheetData>
  <sortState xmlns:xlrd2="http://schemas.microsoft.com/office/spreadsheetml/2017/richdata2" ref="A4:C52">
    <sortCondition ref="A4:A52"/>
  </sortState>
  <customSheetViews>
    <customSheetView guid="{DE7C2479-4243-442D-8A3C-4D0E1EDB2109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1"/>
      <headerFooter alignWithMargins="0">
        <oddHeader xml:space="preserve">&amp;L2012 TSA Dual Meet Results&amp;CSouthern League&amp;ROfficial Results as of 7/25/2012   
</oddHeader>
      </headerFooter>
    </customSheetView>
    <customSheetView guid="{DEF8AD2E-C46F-4190-A88E-C6B69C1F99BB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2"/>
      <headerFooter alignWithMargins="0">
        <oddHeader xml:space="preserve">&amp;L2012 TSA Dual Meet Results&amp;CSouthern League&amp;ROfficial Results as of 7/25/2012   
</oddHeader>
      </headerFooter>
    </customSheetView>
    <customSheetView guid="{BDC744E3-8A98-4FFB-AA7D-7119F2F68EB6}" scale="110" showPageBreaks="1" fitToPage="1" printArea="1" hiddenColumns="1">
      <pane xSplit="3" ySplit="3" topLeftCell="AB20" activePane="bottomRight" state="frozen"/>
      <selection pane="bottomRight" activeCell="AN24" sqref="AN24:BK47"/>
      <pageMargins left="0.25" right="0.2" top="1" bottom="0.5" header="0.5" footer="0"/>
      <printOptions gridLines="1"/>
      <pageSetup paperSize="5" scale="85" pageOrder="overThenDown" orientation="landscape" horizontalDpi="300" verticalDpi="300" r:id="rId3"/>
      <headerFooter alignWithMargins="0">
        <oddHeader xml:space="preserve">&amp;L2014 TSA Dual Meet Results&amp;CSouthern League&amp;R&amp;D
</oddHeader>
      </headerFooter>
    </customSheetView>
    <customSheetView guid="{E7597357-F01A-4EC3-9284-2CC61D1CC724}" scale="110" showPageBreaks="1" fitToPage="1" printArea="1" hiddenColumns="1">
      <pane xSplit="3" ySplit="3" topLeftCell="J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4"/>
      <headerFooter alignWithMargins="0">
        <oddHeader xml:space="preserve">&amp;L2014 TSA Dual Meet Results&amp;CSouthern League&amp;R&amp;D 
</oddHeader>
      </headerFooter>
    </customSheetView>
  </customSheetViews>
  <mergeCells count="4">
    <mergeCell ref="N2:P2"/>
    <mergeCell ref="Q2:S2"/>
    <mergeCell ref="E2:J2"/>
    <mergeCell ref="N1:S1"/>
  </mergeCells>
  <conditionalFormatting sqref="C1">
    <cfRule type="cellIs" dxfId="820" priority="901" stopIfTrue="1" operator="equal">
      <formula>0</formula>
    </cfRule>
    <cfRule type="cellIs" dxfId="819" priority="902" stopIfTrue="1" operator="notEqual">
      <formula>0</formula>
    </cfRule>
  </conditionalFormatting>
  <conditionalFormatting sqref="N4:P53">
    <cfRule type="expression" dxfId="818" priority="914" stopIfTrue="1">
      <formula>SUM($N4:$P4)=6</formula>
    </cfRule>
  </conditionalFormatting>
  <conditionalFormatting sqref="Q4:S43">
    <cfRule type="expression" dxfId="817" priority="898">
      <formula>SUM($Q4:$S4)=3</formula>
    </cfRule>
  </conditionalFormatting>
  <conditionalFormatting sqref="BY4:BY52">
    <cfRule type="cellIs" dxfId="816" priority="883" operator="greaterThan">
      <formula>0</formula>
    </cfRule>
  </conditionalFormatting>
  <conditionalFormatting sqref="N52:P52">
    <cfRule type="expression" dxfId="815" priority="878" stopIfTrue="1">
      <formula>SUM($N52:$P52)=6</formula>
    </cfRule>
  </conditionalFormatting>
  <conditionalFormatting sqref="Q44:S44">
    <cfRule type="expression" dxfId="814" priority="871">
      <formula>SUM($Q36:$S36)=2</formula>
    </cfRule>
  </conditionalFormatting>
  <conditionalFormatting sqref="L4:M4 F6:F7 E50 G50:G51 A4:A52 K5:M52 H6:H7 I5:I6 F4 G5 J4 J6:J44 E8:F44 I45 E45 E46:F47 J47:J48 E48 C51 C52:D52 C8:D50 C4:E7">
    <cfRule type="expression" dxfId="813" priority="705">
      <formula>ISEVEN($M4)</formula>
    </cfRule>
    <cfRule type="expression" dxfId="812" priority="706">
      <formula>ISODD($M4)</formula>
    </cfRule>
  </conditionalFormatting>
  <conditionalFormatting sqref="V4:BV52">
    <cfRule type="expression" dxfId="811" priority="703">
      <formula>ISEVEN($M4)</formula>
    </cfRule>
    <cfRule type="expression" dxfId="810" priority="704">
      <formula>ISODD($M4)</formula>
    </cfRule>
  </conditionalFormatting>
  <conditionalFormatting sqref="CG4:CG52">
    <cfRule type="cellIs" dxfId="809" priority="702" operator="notEqual">
      <formula>0</formula>
    </cfRule>
  </conditionalFormatting>
  <conditionalFormatting sqref="F5">
    <cfRule type="expression" dxfId="808" priority="700">
      <formula>ISEVEN($M5)</formula>
    </cfRule>
    <cfRule type="expression" dxfId="807" priority="701">
      <formula>ISODD($M5)</formula>
    </cfRule>
  </conditionalFormatting>
  <conditionalFormatting sqref="H5">
    <cfRule type="expression" dxfId="806" priority="698">
      <formula>ISEVEN($M5)</formula>
    </cfRule>
    <cfRule type="expression" dxfId="805" priority="699">
      <formula>ISODD($M5)</formula>
    </cfRule>
  </conditionalFormatting>
  <conditionalFormatting sqref="G6">
    <cfRule type="expression" dxfId="804" priority="696">
      <formula>ISEVEN($M6)</formula>
    </cfRule>
    <cfRule type="expression" dxfId="803" priority="697">
      <formula>ISODD($M6)</formula>
    </cfRule>
  </conditionalFormatting>
  <conditionalFormatting sqref="F7">
    <cfRule type="expression" dxfId="802" priority="694">
      <formula>ISEVEN($M7)</formula>
    </cfRule>
    <cfRule type="expression" dxfId="801" priority="695">
      <formula>ISODD($M7)</formula>
    </cfRule>
  </conditionalFormatting>
  <conditionalFormatting sqref="I7">
    <cfRule type="expression" dxfId="800" priority="692">
      <formula>ISEVEN($M7)</formula>
    </cfRule>
    <cfRule type="expression" dxfId="799" priority="693">
      <formula>ISODD($M7)</formula>
    </cfRule>
  </conditionalFormatting>
  <conditionalFormatting sqref="G7">
    <cfRule type="expression" dxfId="798" priority="690">
      <formula>ISEVEN($M7)</formula>
    </cfRule>
    <cfRule type="expression" dxfId="797" priority="691">
      <formula>ISODD($M7)</formula>
    </cfRule>
  </conditionalFormatting>
  <conditionalFormatting sqref="G7">
    <cfRule type="expression" dxfId="796" priority="688">
      <formula>ISEVEN($M7)</formula>
    </cfRule>
    <cfRule type="expression" dxfId="795" priority="689">
      <formula>ISODD($M7)</formula>
    </cfRule>
  </conditionalFormatting>
  <conditionalFormatting sqref="E7">
    <cfRule type="expression" dxfId="794" priority="686">
      <formula>ISEVEN($M7)</formula>
    </cfRule>
    <cfRule type="expression" dxfId="793" priority="687">
      <formula>ISODD($M7)</formula>
    </cfRule>
  </conditionalFormatting>
  <conditionalFormatting sqref="K4">
    <cfRule type="expression" dxfId="792" priority="657">
      <formula>ISEVEN($N4)</formula>
    </cfRule>
    <cfRule type="expression" dxfId="791" priority="658">
      <formula>ISODD($N4)</formula>
    </cfRule>
  </conditionalFormatting>
  <conditionalFormatting sqref="H8">
    <cfRule type="expression" dxfId="790" priority="655">
      <formula>ISEVEN($M8)</formula>
    </cfRule>
    <cfRule type="expression" dxfId="789" priority="656">
      <formula>ISODD($M8)</formula>
    </cfRule>
  </conditionalFormatting>
  <conditionalFormatting sqref="F8">
    <cfRule type="expression" dxfId="788" priority="653">
      <formula>ISEVEN($M8)</formula>
    </cfRule>
    <cfRule type="expression" dxfId="787" priority="654">
      <formula>ISODD($M8)</formula>
    </cfRule>
  </conditionalFormatting>
  <conditionalFormatting sqref="I8">
    <cfRule type="expression" dxfId="786" priority="651">
      <formula>ISEVEN($M8)</formula>
    </cfRule>
    <cfRule type="expression" dxfId="785" priority="652">
      <formula>ISODD($M8)</formula>
    </cfRule>
  </conditionalFormatting>
  <conditionalFormatting sqref="G8">
    <cfRule type="expression" dxfId="784" priority="649">
      <formula>ISEVEN($M8)</formula>
    </cfRule>
    <cfRule type="expression" dxfId="783" priority="650">
      <formula>ISODD($M8)</formula>
    </cfRule>
  </conditionalFormatting>
  <conditionalFormatting sqref="G8">
    <cfRule type="expression" dxfId="782" priority="647">
      <formula>ISEVEN($M8)</formula>
    </cfRule>
    <cfRule type="expression" dxfId="781" priority="648">
      <formula>ISODD($M8)</formula>
    </cfRule>
  </conditionalFormatting>
  <conditionalFormatting sqref="E8">
    <cfRule type="expression" dxfId="780" priority="645">
      <formula>ISEVEN($M8)</formula>
    </cfRule>
    <cfRule type="expression" dxfId="779" priority="646">
      <formula>ISODD($M8)</formula>
    </cfRule>
  </conditionalFormatting>
  <conditionalFormatting sqref="H9">
    <cfRule type="expression" dxfId="778" priority="643">
      <formula>ISEVEN($M9)</formula>
    </cfRule>
    <cfRule type="expression" dxfId="777" priority="644">
      <formula>ISODD($M9)</formula>
    </cfRule>
  </conditionalFormatting>
  <conditionalFormatting sqref="F9">
    <cfRule type="expression" dxfId="776" priority="641">
      <formula>ISEVEN($M9)</formula>
    </cfRule>
    <cfRule type="expression" dxfId="775" priority="642">
      <formula>ISODD($M9)</formula>
    </cfRule>
  </conditionalFormatting>
  <conditionalFormatting sqref="I9">
    <cfRule type="expression" dxfId="774" priority="639">
      <formula>ISEVEN($M9)</formula>
    </cfRule>
    <cfRule type="expression" dxfId="773" priority="640">
      <formula>ISODD($M9)</formula>
    </cfRule>
  </conditionalFormatting>
  <conditionalFormatting sqref="G9">
    <cfRule type="expression" dxfId="772" priority="637">
      <formula>ISEVEN($M9)</formula>
    </cfRule>
    <cfRule type="expression" dxfId="771" priority="638">
      <formula>ISODD($M9)</formula>
    </cfRule>
  </conditionalFormatting>
  <conditionalFormatting sqref="G9">
    <cfRule type="expression" dxfId="770" priority="635">
      <formula>ISEVEN($M9)</formula>
    </cfRule>
    <cfRule type="expression" dxfId="769" priority="636">
      <formula>ISODD($M9)</formula>
    </cfRule>
  </conditionalFormatting>
  <conditionalFormatting sqref="E9">
    <cfRule type="expression" dxfId="768" priority="633">
      <formula>ISEVEN($M9)</formula>
    </cfRule>
    <cfRule type="expression" dxfId="767" priority="634">
      <formula>ISODD($M9)</formula>
    </cfRule>
  </conditionalFormatting>
  <conditionalFormatting sqref="H10">
    <cfRule type="expression" dxfId="766" priority="631">
      <formula>ISEVEN($M10)</formula>
    </cfRule>
    <cfRule type="expression" dxfId="765" priority="632">
      <formula>ISODD($M10)</formula>
    </cfRule>
  </conditionalFormatting>
  <conditionalFormatting sqref="F10">
    <cfRule type="expression" dxfId="764" priority="629">
      <formula>ISEVEN($M10)</formula>
    </cfRule>
    <cfRule type="expression" dxfId="763" priority="630">
      <formula>ISODD($M10)</formula>
    </cfRule>
  </conditionalFormatting>
  <conditionalFormatting sqref="I10">
    <cfRule type="expression" dxfId="762" priority="627">
      <formula>ISEVEN($M10)</formula>
    </cfRule>
    <cfRule type="expression" dxfId="761" priority="628">
      <formula>ISODD($M10)</formula>
    </cfRule>
  </conditionalFormatting>
  <conditionalFormatting sqref="G10">
    <cfRule type="expression" dxfId="760" priority="625">
      <formula>ISEVEN($M10)</formula>
    </cfRule>
    <cfRule type="expression" dxfId="759" priority="626">
      <formula>ISODD($M10)</formula>
    </cfRule>
  </conditionalFormatting>
  <conditionalFormatting sqref="G10">
    <cfRule type="expression" dxfId="758" priority="623">
      <formula>ISEVEN($M10)</formula>
    </cfRule>
    <cfRule type="expression" dxfId="757" priority="624">
      <formula>ISODD($M10)</formula>
    </cfRule>
  </conditionalFormatting>
  <conditionalFormatting sqref="E10">
    <cfRule type="expression" dxfId="756" priority="621">
      <formula>ISEVEN($M10)</formula>
    </cfRule>
    <cfRule type="expression" dxfId="755" priority="622">
      <formula>ISODD($M10)</formula>
    </cfRule>
  </conditionalFormatting>
  <conditionalFormatting sqref="H11">
    <cfRule type="expression" dxfId="754" priority="619">
      <formula>ISEVEN($M11)</formula>
    </cfRule>
    <cfRule type="expression" dxfId="753" priority="620">
      <formula>ISODD($M11)</formula>
    </cfRule>
  </conditionalFormatting>
  <conditionalFormatting sqref="F11">
    <cfRule type="expression" dxfId="752" priority="617">
      <formula>ISEVEN($M11)</formula>
    </cfRule>
    <cfRule type="expression" dxfId="751" priority="618">
      <formula>ISODD($M11)</formula>
    </cfRule>
  </conditionalFormatting>
  <conditionalFormatting sqref="I11">
    <cfRule type="expression" dxfId="750" priority="615">
      <formula>ISEVEN($M11)</formula>
    </cfRule>
    <cfRule type="expression" dxfId="749" priority="616">
      <formula>ISODD($M11)</formula>
    </cfRule>
  </conditionalFormatting>
  <conditionalFormatting sqref="G11">
    <cfRule type="expression" dxfId="748" priority="613">
      <formula>ISEVEN($M11)</formula>
    </cfRule>
    <cfRule type="expression" dxfId="747" priority="614">
      <formula>ISODD($M11)</formula>
    </cfRule>
  </conditionalFormatting>
  <conditionalFormatting sqref="G11">
    <cfRule type="expression" dxfId="746" priority="611">
      <formula>ISEVEN($M11)</formula>
    </cfRule>
    <cfRule type="expression" dxfId="745" priority="612">
      <formula>ISODD($M11)</formula>
    </cfRule>
  </conditionalFormatting>
  <conditionalFormatting sqref="E11">
    <cfRule type="expression" dxfId="744" priority="609">
      <formula>ISEVEN($M11)</formula>
    </cfRule>
    <cfRule type="expression" dxfId="743" priority="610">
      <formula>ISODD($M11)</formula>
    </cfRule>
  </conditionalFormatting>
  <conditionalFormatting sqref="H12">
    <cfRule type="expression" dxfId="742" priority="607">
      <formula>ISEVEN($M12)</formula>
    </cfRule>
    <cfRule type="expression" dxfId="741" priority="608">
      <formula>ISODD($M12)</formula>
    </cfRule>
  </conditionalFormatting>
  <conditionalFormatting sqref="F12">
    <cfRule type="expression" dxfId="740" priority="605">
      <formula>ISEVEN($M12)</formula>
    </cfRule>
    <cfRule type="expression" dxfId="739" priority="606">
      <formula>ISODD($M12)</formula>
    </cfRule>
  </conditionalFormatting>
  <conditionalFormatting sqref="I12">
    <cfRule type="expression" dxfId="738" priority="603">
      <formula>ISEVEN($M12)</formula>
    </cfRule>
    <cfRule type="expression" dxfId="737" priority="604">
      <formula>ISODD($M12)</formula>
    </cfRule>
  </conditionalFormatting>
  <conditionalFormatting sqref="G12">
    <cfRule type="expression" dxfId="736" priority="601">
      <formula>ISEVEN($M12)</formula>
    </cfRule>
    <cfRule type="expression" dxfId="735" priority="602">
      <formula>ISODD($M12)</formula>
    </cfRule>
  </conditionalFormatting>
  <conditionalFormatting sqref="G12">
    <cfRule type="expression" dxfId="734" priority="599">
      <formula>ISEVEN($M12)</formula>
    </cfRule>
    <cfRule type="expression" dxfId="733" priority="600">
      <formula>ISODD($M12)</formula>
    </cfRule>
  </conditionalFormatting>
  <conditionalFormatting sqref="E12">
    <cfRule type="expression" dxfId="732" priority="597">
      <formula>ISEVEN($M12)</formula>
    </cfRule>
    <cfRule type="expression" dxfId="731" priority="598">
      <formula>ISODD($M12)</formula>
    </cfRule>
  </conditionalFormatting>
  <conditionalFormatting sqref="H13">
    <cfRule type="expression" dxfId="730" priority="595">
      <formula>ISEVEN($M13)</formula>
    </cfRule>
    <cfRule type="expression" dxfId="729" priority="596">
      <formula>ISODD($M13)</formula>
    </cfRule>
  </conditionalFormatting>
  <conditionalFormatting sqref="F13">
    <cfRule type="expression" dxfId="728" priority="593">
      <formula>ISEVEN($M13)</formula>
    </cfRule>
    <cfRule type="expression" dxfId="727" priority="594">
      <formula>ISODD($M13)</formula>
    </cfRule>
  </conditionalFormatting>
  <conditionalFormatting sqref="I13">
    <cfRule type="expression" dxfId="726" priority="591">
      <formula>ISEVEN($M13)</formula>
    </cfRule>
    <cfRule type="expression" dxfId="725" priority="592">
      <formula>ISODD($M13)</formula>
    </cfRule>
  </conditionalFormatting>
  <conditionalFormatting sqref="G13">
    <cfRule type="expression" dxfId="724" priority="589">
      <formula>ISEVEN($M13)</formula>
    </cfRule>
    <cfRule type="expression" dxfId="723" priority="590">
      <formula>ISODD($M13)</formula>
    </cfRule>
  </conditionalFormatting>
  <conditionalFormatting sqref="G13">
    <cfRule type="expression" dxfId="722" priority="587">
      <formula>ISEVEN($M13)</formula>
    </cfRule>
    <cfRule type="expression" dxfId="721" priority="588">
      <formula>ISODD($M13)</formula>
    </cfRule>
  </conditionalFormatting>
  <conditionalFormatting sqref="E13">
    <cfRule type="expression" dxfId="720" priority="585">
      <formula>ISEVEN($M13)</formula>
    </cfRule>
    <cfRule type="expression" dxfId="719" priority="586">
      <formula>ISODD($M13)</formula>
    </cfRule>
  </conditionalFormatting>
  <conditionalFormatting sqref="E14">
    <cfRule type="expression" dxfId="718" priority="573">
      <formula>ISEVEN($M14)</formula>
    </cfRule>
    <cfRule type="expression" dxfId="717" priority="574">
      <formula>ISODD($M14)</formula>
    </cfRule>
  </conditionalFormatting>
  <conditionalFormatting sqref="E15">
    <cfRule type="expression" dxfId="716" priority="561">
      <formula>ISEVEN($M15)</formula>
    </cfRule>
    <cfRule type="expression" dxfId="715" priority="562">
      <formula>ISODD($M15)</formula>
    </cfRule>
  </conditionalFormatting>
  <conditionalFormatting sqref="E16">
    <cfRule type="expression" dxfId="714" priority="549">
      <formula>ISEVEN($M16)</formula>
    </cfRule>
    <cfRule type="expression" dxfId="713" priority="550">
      <formula>ISODD($M16)</formula>
    </cfRule>
  </conditionalFormatting>
  <conditionalFormatting sqref="E17">
    <cfRule type="expression" dxfId="712" priority="537">
      <formula>ISEVEN($M17)</formula>
    </cfRule>
    <cfRule type="expression" dxfId="711" priority="538">
      <formula>ISODD($M17)</formula>
    </cfRule>
  </conditionalFormatting>
  <conditionalFormatting sqref="E18">
    <cfRule type="expression" dxfId="710" priority="525">
      <formula>ISEVEN($M18)</formula>
    </cfRule>
    <cfRule type="expression" dxfId="709" priority="526">
      <formula>ISODD($M18)</formula>
    </cfRule>
  </conditionalFormatting>
  <conditionalFormatting sqref="H14">
    <cfRule type="expression" dxfId="708" priority="583">
      <formula>ISEVEN($M14)</formula>
    </cfRule>
    <cfRule type="expression" dxfId="707" priority="584">
      <formula>ISODD($M14)</formula>
    </cfRule>
  </conditionalFormatting>
  <conditionalFormatting sqref="F14">
    <cfRule type="expression" dxfId="706" priority="581">
      <formula>ISEVEN($M14)</formula>
    </cfRule>
    <cfRule type="expression" dxfId="705" priority="582">
      <formula>ISODD($M14)</formula>
    </cfRule>
  </conditionalFormatting>
  <conditionalFormatting sqref="I14">
    <cfRule type="expression" dxfId="704" priority="579">
      <formula>ISEVEN($M14)</formula>
    </cfRule>
    <cfRule type="expression" dxfId="703" priority="580">
      <formula>ISODD($M14)</formula>
    </cfRule>
  </conditionalFormatting>
  <conditionalFormatting sqref="G14">
    <cfRule type="expression" dxfId="702" priority="577">
      <formula>ISEVEN($M14)</formula>
    </cfRule>
    <cfRule type="expression" dxfId="701" priority="578">
      <formula>ISODD($M14)</formula>
    </cfRule>
  </conditionalFormatting>
  <conditionalFormatting sqref="G14">
    <cfRule type="expression" dxfId="700" priority="575">
      <formula>ISEVEN($M14)</formula>
    </cfRule>
    <cfRule type="expression" dxfId="699" priority="576">
      <formula>ISODD($M14)</formula>
    </cfRule>
  </conditionalFormatting>
  <conditionalFormatting sqref="E19">
    <cfRule type="expression" dxfId="698" priority="513">
      <formula>ISEVEN($M19)</formula>
    </cfRule>
    <cfRule type="expression" dxfId="697" priority="514">
      <formula>ISODD($M19)</formula>
    </cfRule>
  </conditionalFormatting>
  <conditionalFormatting sqref="E20">
    <cfRule type="expression" dxfId="696" priority="501">
      <formula>ISEVEN($M20)</formula>
    </cfRule>
    <cfRule type="expression" dxfId="695" priority="502">
      <formula>ISODD($M20)</formula>
    </cfRule>
  </conditionalFormatting>
  <conditionalFormatting sqref="H15">
    <cfRule type="expression" dxfId="694" priority="571">
      <formula>ISEVEN($M15)</formula>
    </cfRule>
    <cfRule type="expression" dxfId="693" priority="572">
      <formula>ISODD($M15)</formula>
    </cfRule>
  </conditionalFormatting>
  <conditionalFormatting sqref="F15">
    <cfRule type="expression" dxfId="692" priority="569">
      <formula>ISEVEN($M15)</formula>
    </cfRule>
    <cfRule type="expression" dxfId="691" priority="570">
      <formula>ISODD($M15)</formula>
    </cfRule>
  </conditionalFormatting>
  <conditionalFormatting sqref="I15">
    <cfRule type="expression" dxfId="690" priority="567">
      <formula>ISEVEN($M15)</formula>
    </cfRule>
    <cfRule type="expression" dxfId="689" priority="568">
      <formula>ISODD($M15)</formula>
    </cfRule>
  </conditionalFormatting>
  <conditionalFormatting sqref="G15">
    <cfRule type="expression" dxfId="688" priority="565">
      <formula>ISEVEN($M15)</formula>
    </cfRule>
    <cfRule type="expression" dxfId="687" priority="566">
      <formula>ISODD($M15)</formula>
    </cfRule>
  </conditionalFormatting>
  <conditionalFormatting sqref="G15">
    <cfRule type="expression" dxfId="686" priority="563">
      <formula>ISEVEN($M15)</formula>
    </cfRule>
    <cfRule type="expression" dxfId="685" priority="564">
      <formula>ISODD($M15)</formula>
    </cfRule>
  </conditionalFormatting>
  <conditionalFormatting sqref="E21">
    <cfRule type="expression" dxfId="684" priority="489">
      <formula>ISEVEN($M21)</formula>
    </cfRule>
    <cfRule type="expression" dxfId="683" priority="490">
      <formula>ISODD($M21)</formula>
    </cfRule>
  </conditionalFormatting>
  <conditionalFormatting sqref="E22">
    <cfRule type="expression" dxfId="682" priority="477">
      <formula>ISEVEN($M22)</formula>
    </cfRule>
    <cfRule type="expression" dxfId="681" priority="478">
      <formula>ISODD($M22)</formula>
    </cfRule>
  </conditionalFormatting>
  <conditionalFormatting sqref="E23">
    <cfRule type="expression" dxfId="680" priority="465">
      <formula>ISEVEN($M23)</formula>
    </cfRule>
    <cfRule type="expression" dxfId="679" priority="466">
      <formula>ISODD($M23)</formula>
    </cfRule>
  </conditionalFormatting>
  <conditionalFormatting sqref="E24">
    <cfRule type="expression" dxfId="678" priority="453">
      <formula>ISEVEN($M24)</formula>
    </cfRule>
    <cfRule type="expression" dxfId="677" priority="454">
      <formula>ISODD($M24)</formula>
    </cfRule>
  </conditionalFormatting>
  <conditionalFormatting sqref="E25">
    <cfRule type="expression" dxfId="676" priority="441">
      <formula>ISEVEN($M25)</formula>
    </cfRule>
    <cfRule type="expression" dxfId="675" priority="442">
      <formula>ISODD($M25)</formula>
    </cfRule>
  </conditionalFormatting>
  <conditionalFormatting sqref="E26">
    <cfRule type="expression" dxfId="674" priority="429">
      <formula>ISEVEN($M26)</formula>
    </cfRule>
    <cfRule type="expression" dxfId="673" priority="430">
      <formula>ISODD($M26)</formula>
    </cfRule>
  </conditionalFormatting>
  <conditionalFormatting sqref="E27">
    <cfRule type="expression" dxfId="672" priority="417">
      <formula>ISEVEN($M27)</formula>
    </cfRule>
    <cfRule type="expression" dxfId="671" priority="418">
      <formula>ISODD($M27)</formula>
    </cfRule>
  </conditionalFormatting>
  <conditionalFormatting sqref="H16">
    <cfRule type="expression" dxfId="670" priority="559">
      <formula>ISEVEN($M16)</formula>
    </cfRule>
    <cfRule type="expression" dxfId="669" priority="560">
      <formula>ISODD($M16)</formula>
    </cfRule>
  </conditionalFormatting>
  <conditionalFormatting sqref="F16">
    <cfRule type="expression" dxfId="668" priority="557">
      <formula>ISEVEN($M16)</formula>
    </cfRule>
    <cfRule type="expression" dxfId="667" priority="558">
      <formula>ISODD($M16)</formula>
    </cfRule>
  </conditionalFormatting>
  <conditionalFormatting sqref="I16">
    <cfRule type="expression" dxfId="666" priority="555">
      <formula>ISEVEN($M16)</formula>
    </cfRule>
    <cfRule type="expression" dxfId="665" priority="556">
      <formula>ISODD($M16)</formula>
    </cfRule>
  </conditionalFormatting>
  <conditionalFormatting sqref="G16">
    <cfRule type="expression" dxfId="664" priority="553">
      <formula>ISEVEN($M16)</formula>
    </cfRule>
    <cfRule type="expression" dxfId="663" priority="554">
      <formula>ISODD($M16)</formula>
    </cfRule>
  </conditionalFormatting>
  <conditionalFormatting sqref="G16">
    <cfRule type="expression" dxfId="662" priority="551">
      <formula>ISEVEN($M16)</formula>
    </cfRule>
    <cfRule type="expression" dxfId="661" priority="552">
      <formula>ISODD($M16)</formula>
    </cfRule>
  </conditionalFormatting>
  <conditionalFormatting sqref="E28">
    <cfRule type="expression" dxfId="660" priority="405">
      <formula>ISEVEN($M28)</formula>
    </cfRule>
    <cfRule type="expression" dxfId="659" priority="406">
      <formula>ISODD($M28)</formula>
    </cfRule>
  </conditionalFormatting>
  <conditionalFormatting sqref="H17">
    <cfRule type="expression" dxfId="658" priority="547">
      <formula>ISEVEN($M17)</formula>
    </cfRule>
    <cfRule type="expression" dxfId="657" priority="548">
      <formula>ISODD($M17)</formula>
    </cfRule>
  </conditionalFormatting>
  <conditionalFormatting sqref="F17">
    <cfRule type="expression" dxfId="656" priority="545">
      <formula>ISEVEN($M17)</formula>
    </cfRule>
    <cfRule type="expression" dxfId="655" priority="546">
      <formula>ISODD($M17)</formula>
    </cfRule>
  </conditionalFormatting>
  <conditionalFormatting sqref="I17">
    <cfRule type="expression" dxfId="654" priority="543">
      <formula>ISEVEN($M17)</formula>
    </cfRule>
    <cfRule type="expression" dxfId="653" priority="544">
      <formula>ISODD($M17)</formula>
    </cfRule>
  </conditionalFormatting>
  <conditionalFormatting sqref="G17">
    <cfRule type="expression" dxfId="652" priority="541">
      <formula>ISEVEN($M17)</formula>
    </cfRule>
    <cfRule type="expression" dxfId="651" priority="542">
      <formula>ISODD($M17)</formula>
    </cfRule>
  </conditionalFormatting>
  <conditionalFormatting sqref="G17">
    <cfRule type="expression" dxfId="650" priority="539">
      <formula>ISEVEN($M17)</formula>
    </cfRule>
    <cfRule type="expression" dxfId="649" priority="540">
      <formula>ISODD($M17)</formula>
    </cfRule>
  </conditionalFormatting>
  <conditionalFormatting sqref="E29">
    <cfRule type="expression" dxfId="648" priority="393">
      <formula>ISEVEN($M29)</formula>
    </cfRule>
    <cfRule type="expression" dxfId="647" priority="394">
      <formula>ISODD($M29)</formula>
    </cfRule>
  </conditionalFormatting>
  <conditionalFormatting sqref="H18">
    <cfRule type="expression" dxfId="646" priority="535">
      <formula>ISEVEN($M18)</formula>
    </cfRule>
    <cfRule type="expression" dxfId="645" priority="536">
      <formula>ISODD($M18)</formula>
    </cfRule>
  </conditionalFormatting>
  <conditionalFormatting sqref="F18">
    <cfRule type="expression" dxfId="644" priority="533">
      <formula>ISEVEN($M18)</formula>
    </cfRule>
    <cfRule type="expression" dxfId="643" priority="534">
      <formula>ISODD($M18)</formula>
    </cfRule>
  </conditionalFormatting>
  <conditionalFormatting sqref="I18">
    <cfRule type="expression" dxfId="642" priority="531">
      <formula>ISEVEN($M18)</formula>
    </cfRule>
    <cfRule type="expression" dxfId="641" priority="532">
      <formula>ISODD($M18)</formula>
    </cfRule>
  </conditionalFormatting>
  <conditionalFormatting sqref="G18">
    <cfRule type="expression" dxfId="640" priority="529">
      <formula>ISEVEN($M18)</formula>
    </cfRule>
    <cfRule type="expression" dxfId="639" priority="530">
      <formula>ISODD($M18)</formula>
    </cfRule>
  </conditionalFormatting>
  <conditionalFormatting sqref="G18">
    <cfRule type="expression" dxfId="638" priority="527">
      <formula>ISEVEN($M18)</formula>
    </cfRule>
    <cfRule type="expression" dxfId="637" priority="528">
      <formula>ISODD($M18)</formula>
    </cfRule>
  </conditionalFormatting>
  <conditionalFormatting sqref="E30">
    <cfRule type="expression" dxfId="636" priority="381">
      <formula>ISEVEN($M30)</formula>
    </cfRule>
    <cfRule type="expression" dxfId="635" priority="382">
      <formula>ISODD($M30)</formula>
    </cfRule>
  </conditionalFormatting>
  <conditionalFormatting sqref="H19">
    <cfRule type="expression" dxfId="634" priority="523">
      <formula>ISEVEN($M19)</formula>
    </cfRule>
    <cfRule type="expression" dxfId="633" priority="524">
      <formula>ISODD($M19)</formula>
    </cfRule>
  </conditionalFormatting>
  <conditionalFormatting sqref="F19">
    <cfRule type="expression" dxfId="632" priority="521">
      <formula>ISEVEN($M19)</formula>
    </cfRule>
    <cfRule type="expression" dxfId="631" priority="522">
      <formula>ISODD($M19)</formula>
    </cfRule>
  </conditionalFormatting>
  <conditionalFormatting sqref="I19">
    <cfRule type="expression" dxfId="630" priority="519">
      <formula>ISEVEN($M19)</formula>
    </cfRule>
    <cfRule type="expression" dxfId="629" priority="520">
      <formula>ISODD($M19)</formula>
    </cfRule>
  </conditionalFormatting>
  <conditionalFormatting sqref="G19">
    <cfRule type="expression" dxfId="628" priority="517">
      <formula>ISEVEN($M19)</formula>
    </cfRule>
    <cfRule type="expression" dxfId="627" priority="518">
      <formula>ISODD($M19)</formula>
    </cfRule>
  </conditionalFormatting>
  <conditionalFormatting sqref="G19">
    <cfRule type="expression" dxfId="626" priority="515">
      <formula>ISEVEN($M19)</formula>
    </cfRule>
    <cfRule type="expression" dxfId="625" priority="516">
      <formula>ISODD($M19)</formula>
    </cfRule>
  </conditionalFormatting>
  <conditionalFormatting sqref="E31">
    <cfRule type="expression" dxfId="624" priority="369">
      <formula>ISEVEN($M31)</formula>
    </cfRule>
    <cfRule type="expression" dxfId="623" priority="370">
      <formula>ISODD($M31)</formula>
    </cfRule>
  </conditionalFormatting>
  <conditionalFormatting sqref="H20">
    <cfRule type="expression" dxfId="622" priority="511">
      <formula>ISEVEN($M20)</formula>
    </cfRule>
    <cfRule type="expression" dxfId="621" priority="512">
      <formula>ISODD($M20)</formula>
    </cfRule>
  </conditionalFormatting>
  <conditionalFormatting sqref="F20">
    <cfRule type="expression" dxfId="620" priority="509">
      <formula>ISEVEN($M20)</formula>
    </cfRule>
    <cfRule type="expression" dxfId="619" priority="510">
      <formula>ISODD($M20)</formula>
    </cfRule>
  </conditionalFormatting>
  <conditionalFormatting sqref="I20">
    <cfRule type="expression" dxfId="618" priority="507">
      <formula>ISEVEN($M20)</formula>
    </cfRule>
    <cfRule type="expression" dxfId="617" priority="508">
      <formula>ISODD($M20)</formula>
    </cfRule>
  </conditionalFormatting>
  <conditionalFormatting sqref="G20">
    <cfRule type="expression" dxfId="616" priority="505">
      <formula>ISEVEN($M20)</formula>
    </cfRule>
    <cfRule type="expression" dxfId="615" priority="506">
      <formula>ISODD($M20)</formula>
    </cfRule>
  </conditionalFormatting>
  <conditionalFormatting sqref="G20">
    <cfRule type="expression" dxfId="614" priority="503">
      <formula>ISEVEN($M20)</formula>
    </cfRule>
    <cfRule type="expression" dxfId="613" priority="504">
      <formula>ISODD($M20)</formula>
    </cfRule>
  </conditionalFormatting>
  <conditionalFormatting sqref="E32">
    <cfRule type="expression" dxfId="612" priority="357">
      <formula>ISEVEN($M32)</formula>
    </cfRule>
    <cfRule type="expression" dxfId="611" priority="358">
      <formula>ISODD($M32)</formula>
    </cfRule>
  </conditionalFormatting>
  <conditionalFormatting sqref="H21">
    <cfRule type="expression" dxfId="610" priority="499">
      <formula>ISEVEN($M21)</formula>
    </cfRule>
    <cfRule type="expression" dxfId="609" priority="500">
      <formula>ISODD($M21)</formula>
    </cfRule>
  </conditionalFormatting>
  <conditionalFormatting sqref="F21">
    <cfRule type="expression" dxfId="608" priority="497">
      <formula>ISEVEN($M21)</formula>
    </cfRule>
    <cfRule type="expression" dxfId="607" priority="498">
      <formula>ISODD($M21)</formula>
    </cfRule>
  </conditionalFormatting>
  <conditionalFormatting sqref="I21">
    <cfRule type="expression" dxfId="606" priority="495">
      <formula>ISEVEN($M21)</formula>
    </cfRule>
    <cfRule type="expression" dxfId="605" priority="496">
      <formula>ISODD($M21)</formula>
    </cfRule>
  </conditionalFormatting>
  <conditionalFormatting sqref="G21">
    <cfRule type="expression" dxfId="604" priority="493">
      <formula>ISEVEN($M21)</formula>
    </cfRule>
    <cfRule type="expression" dxfId="603" priority="494">
      <formula>ISODD($M21)</formula>
    </cfRule>
  </conditionalFormatting>
  <conditionalFormatting sqref="G21">
    <cfRule type="expression" dxfId="602" priority="491">
      <formula>ISEVEN($M21)</formula>
    </cfRule>
    <cfRule type="expression" dxfId="601" priority="492">
      <formula>ISODD($M21)</formula>
    </cfRule>
  </conditionalFormatting>
  <conditionalFormatting sqref="E33">
    <cfRule type="expression" dxfId="600" priority="345">
      <formula>ISEVEN($M33)</formula>
    </cfRule>
    <cfRule type="expression" dxfId="599" priority="346">
      <formula>ISODD($M33)</formula>
    </cfRule>
  </conditionalFormatting>
  <conditionalFormatting sqref="H22">
    <cfRule type="expression" dxfId="598" priority="487">
      <formula>ISEVEN($M22)</formula>
    </cfRule>
    <cfRule type="expression" dxfId="597" priority="488">
      <formula>ISODD($M22)</formula>
    </cfRule>
  </conditionalFormatting>
  <conditionalFormatting sqref="F22">
    <cfRule type="expression" dxfId="596" priority="485">
      <formula>ISEVEN($M22)</formula>
    </cfRule>
    <cfRule type="expression" dxfId="595" priority="486">
      <formula>ISODD($M22)</formula>
    </cfRule>
  </conditionalFormatting>
  <conditionalFormatting sqref="I22">
    <cfRule type="expression" dxfId="594" priority="483">
      <formula>ISEVEN($M22)</formula>
    </cfRule>
    <cfRule type="expression" dxfId="593" priority="484">
      <formula>ISODD($M22)</formula>
    </cfRule>
  </conditionalFormatting>
  <conditionalFormatting sqref="G22">
    <cfRule type="expression" dxfId="592" priority="481">
      <formula>ISEVEN($M22)</formula>
    </cfRule>
    <cfRule type="expression" dxfId="591" priority="482">
      <formula>ISODD($M22)</formula>
    </cfRule>
  </conditionalFormatting>
  <conditionalFormatting sqref="G22">
    <cfRule type="expression" dxfId="590" priority="479">
      <formula>ISEVEN($M22)</formula>
    </cfRule>
    <cfRule type="expression" dxfId="589" priority="480">
      <formula>ISODD($M22)</formula>
    </cfRule>
  </conditionalFormatting>
  <conditionalFormatting sqref="E34">
    <cfRule type="expression" dxfId="588" priority="333">
      <formula>ISEVEN($M34)</formula>
    </cfRule>
    <cfRule type="expression" dxfId="587" priority="334">
      <formula>ISODD($M34)</formula>
    </cfRule>
  </conditionalFormatting>
  <conditionalFormatting sqref="H23">
    <cfRule type="expression" dxfId="586" priority="475">
      <formula>ISEVEN($M23)</formula>
    </cfRule>
    <cfRule type="expression" dxfId="585" priority="476">
      <formula>ISODD($M23)</formula>
    </cfRule>
  </conditionalFormatting>
  <conditionalFormatting sqref="F23">
    <cfRule type="expression" dxfId="584" priority="473">
      <formula>ISEVEN($M23)</formula>
    </cfRule>
    <cfRule type="expression" dxfId="583" priority="474">
      <formula>ISODD($M23)</formula>
    </cfRule>
  </conditionalFormatting>
  <conditionalFormatting sqref="I23">
    <cfRule type="expression" dxfId="582" priority="471">
      <formula>ISEVEN($M23)</formula>
    </cfRule>
    <cfRule type="expression" dxfId="581" priority="472">
      <formula>ISODD($M23)</formula>
    </cfRule>
  </conditionalFormatting>
  <conditionalFormatting sqref="G23">
    <cfRule type="expression" dxfId="580" priority="469">
      <formula>ISEVEN($M23)</formula>
    </cfRule>
    <cfRule type="expression" dxfId="579" priority="470">
      <formula>ISODD($M23)</formula>
    </cfRule>
  </conditionalFormatting>
  <conditionalFormatting sqref="G23">
    <cfRule type="expression" dxfId="578" priority="467">
      <formula>ISEVEN($M23)</formula>
    </cfRule>
    <cfRule type="expression" dxfId="577" priority="468">
      <formula>ISODD($M23)</formula>
    </cfRule>
  </conditionalFormatting>
  <conditionalFormatting sqref="E35">
    <cfRule type="expression" dxfId="576" priority="321">
      <formula>ISEVEN($M35)</formula>
    </cfRule>
    <cfRule type="expression" dxfId="575" priority="322">
      <formula>ISODD($M35)</formula>
    </cfRule>
  </conditionalFormatting>
  <conditionalFormatting sqref="H24">
    <cfRule type="expression" dxfId="574" priority="463">
      <formula>ISEVEN($M24)</formula>
    </cfRule>
    <cfRule type="expression" dxfId="573" priority="464">
      <formula>ISODD($M24)</formula>
    </cfRule>
  </conditionalFormatting>
  <conditionalFormatting sqref="F24">
    <cfRule type="expression" dxfId="572" priority="461">
      <formula>ISEVEN($M24)</formula>
    </cfRule>
    <cfRule type="expression" dxfId="571" priority="462">
      <formula>ISODD($M24)</formula>
    </cfRule>
  </conditionalFormatting>
  <conditionalFormatting sqref="I24">
    <cfRule type="expression" dxfId="570" priority="459">
      <formula>ISEVEN($M24)</formula>
    </cfRule>
    <cfRule type="expression" dxfId="569" priority="460">
      <formula>ISODD($M24)</formula>
    </cfRule>
  </conditionalFormatting>
  <conditionalFormatting sqref="G24">
    <cfRule type="expression" dxfId="568" priority="457">
      <formula>ISEVEN($M24)</formula>
    </cfRule>
    <cfRule type="expression" dxfId="567" priority="458">
      <formula>ISODD($M24)</formula>
    </cfRule>
  </conditionalFormatting>
  <conditionalFormatting sqref="G24">
    <cfRule type="expression" dxfId="566" priority="455">
      <formula>ISEVEN($M24)</formula>
    </cfRule>
    <cfRule type="expression" dxfId="565" priority="456">
      <formula>ISODD($M24)</formula>
    </cfRule>
  </conditionalFormatting>
  <conditionalFormatting sqref="E36">
    <cfRule type="expression" dxfId="564" priority="309">
      <formula>ISEVEN($M36)</formula>
    </cfRule>
    <cfRule type="expression" dxfId="563" priority="310">
      <formula>ISODD($M36)</formula>
    </cfRule>
  </conditionalFormatting>
  <conditionalFormatting sqref="H25">
    <cfRule type="expression" dxfId="562" priority="451">
      <formula>ISEVEN($M25)</formula>
    </cfRule>
    <cfRule type="expression" dxfId="561" priority="452">
      <formula>ISODD($M25)</formula>
    </cfRule>
  </conditionalFormatting>
  <conditionalFormatting sqref="F25">
    <cfRule type="expression" dxfId="560" priority="449">
      <formula>ISEVEN($M25)</formula>
    </cfRule>
    <cfRule type="expression" dxfId="559" priority="450">
      <formula>ISODD($M25)</formula>
    </cfRule>
  </conditionalFormatting>
  <conditionalFormatting sqref="I25">
    <cfRule type="expression" dxfId="558" priority="447">
      <formula>ISEVEN($M25)</formula>
    </cfRule>
    <cfRule type="expression" dxfId="557" priority="448">
      <formula>ISODD($M25)</formula>
    </cfRule>
  </conditionalFormatting>
  <conditionalFormatting sqref="G25">
    <cfRule type="expression" dxfId="556" priority="445">
      <formula>ISEVEN($M25)</formula>
    </cfRule>
    <cfRule type="expression" dxfId="555" priority="446">
      <formula>ISODD($M25)</formula>
    </cfRule>
  </conditionalFormatting>
  <conditionalFormatting sqref="G25">
    <cfRule type="expression" dxfId="554" priority="443">
      <formula>ISEVEN($M25)</formula>
    </cfRule>
    <cfRule type="expression" dxfId="553" priority="444">
      <formula>ISODD($M25)</formula>
    </cfRule>
  </conditionalFormatting>
  <conditionalFormatting sqref="E37">
    <cfRule type="expression" dxfId="552" priority="297">
      <formula>ISEVEN($M37)</formula>
    </cfRule>
    <cfRule type="expression" dxfId="551" priority="298">
      <formula>ISODD($M37)</formula>
    </cfRule>
  </conditionalFormatting>
  <conditionalFormatting sqref="H26">
    <cfRule type="expression" dxfId="550" priority="439">
      <formula>ISEVEN($M26)</formula>
    </cfRule>
    <cfRule type="expression" dxfId="549" priority="440">
      <formula>ISODD($M26)</formula>
    </cfRule>
  </conditionalFormatting>
  <conditionalFormatting sqref="F26">
    <cfRule type="expression" dxfId="548" priority="437">
      <formula>ISEVEN($M26)</formula>
    </cfRule>
    <cfRule type="expression" dxfId="547" priority="438">
      <formula>ISODD($M26)</formula>
    </cfRule>
  </conditionalFormatting>
  <conditionalFormatting sqref="I26">
    <cfRule type="expression" dxfId="546" priority="435">
      <formula>ISEVEN($M26)</formula>
    </cfRule>
    <cfRule type="expression" dxfId="545" priority="436">
      <formula>ISODD($M26)</formula>
    </cfRule>
  </conditionalFormatting>
  <conditionalFormatting sqref="G26">
    <cfRule type="expression" dxfId="544" priority="433">
      <formula>ISEVEN($M26)</formula>
    </cfRule>
    <cfRule type="expression" dxfId="543" priority="434">
      <formula>ISODD($M26)</formula>
    </cfRule>
  </conditionalFormatting>
  <conditionalFormatting sqref="G26">
    <cfRule type="expression" dxfId="542" priority="431">
      <formula>ISEVEN($M26)</formula>
    </cfRule>
    <cfRule type="expression" dxfId="541" priority="432">
      <formula>ISODD($M26)</formula>
    </cfRule>
  </conditionalFormatting>
  <conditionalFormatting sqref="E38">
    <cfRule type="expression" dxfId="540" priority="285">
      <formula>ISEVEN($M38)</formula>
    </cfRule>
    <cfRule type="expression" dxfId="539" priority="286">
      <formula>ISODD($M38)</formula>
    </cfRule>
  </conditionalFormatting>
  <conditionalFormatting sqref="H27">
    <cfRule type="expression" dxfId="538" priority="427">
      <formula>ISEVEN($M27)</formula>
    </cfRule>
    <cfRule type="expression" dxfId="537" priority="428">
      <formula>ISODD($M27)</formula>
    </cfRule>
  </conditionalFormatting>
  <conditionalFormatting sqref="F27">
    <cfRule type="expression" dxfId="536" priority="425">
      <formula>ISEVEN($M27)</formula>
    </cfRule>
    <cfRule type="expression" dxfId="535" priority="426">
      <formula>ISODD($M27)</formula>
    </cfRule>
  </conditionalFormatting>
  <conditionalFormatting sqref="I27">
    <cfRule type="expression" dxfId="534" priority="423">
      <formula>ISEVEN($M27)</formula>
    </cfRule>
    <cfRule type="expression" dxfId="533" priority="424">
      <formula>ISODD($M27)</formula>
    </cfRule>
  </conditionalFormatting>
  <conditionalFormatting sqref="G27">
    <cfRule type="expression" dxfId="532" priority="421">
      <formula>ISEVEN($M27)</formula>
    </cfRule>
    <cfRule type="expression" dxfId="531" priority="422">
      <formula>ISODD($M27)</formula>
    </cfRule>
  </conditionalFormatting>
  <conditionalFormatting sqref="G27">
    <cfRule type="expression" dxfId="530" priority="419">
      <formula>ISEVEN($M27)</formula>
    </cfRule>
    <cfRule type="expression" dxfId="529" priority="420">
      <formula>ISODD($M27)</formula>
    </cfRule>
  </conditionalFormatting>
  <conditionalFormatting sqref="E39">
    <cfRule type="expression" dxfId="528" priority="273">
      <formula>ISEVEN($M39)</formula>
    </cfRule>
    <cfRule type="expression" dxfId="527" priority="274">
      <formula>ISODD($M39)</formula>
    </cfRule>
  </conditionalFormatting>
  <conditionalFormatting sqref="H28">
    <cfRule type="expression" dxfId="526" priority="415">
      <formula>ISEVEN($M28)</formula>
    </cfRule>
    <cfRule type="expression" dxfId="525" priority="416">
      <formula>ISODD($M28)</formula>
    </cfRule>
  </conditionalFormatting>
  <conditionalFormatting sqref="F28">
    <cfRule type="expression" dxfId="524" priority="413">
      <formula>ISEVEN($M28)</formula>
    </cfRule>
    <cfRule type="expression" dxfId="523" priority="414">
      <formula>ISODD($M28)</formula>
    </cfRule>
  </conditionalFormatting>
  <conditionalFormatting sqref="I28">
    <cfRule type="expression" dxfId="522" priority="411">
      <formula>ISEVEN($M28)</formula>
    </cfRule>
    <cfRule type="expression" dxfId="521" priority="412">
      <formula>ISODD($M28)</formula>
    </cfRule>
  </conditionalFormatting>
  <conditionalFormatting sqref="G28">
    <cfRule type="expression" dxfId="520" priority="409">
      <formula>ISEVEN($M28)</formula>
    </cfRule>
    <cfRule type="expression" dxfId="519" priority="410">
      <formula>ISODD($M28)</formula>
    </cfRule>
  </conditionalFormatting>
  <conditionalFormatting sqref="G28">
    <cfRule type="expression" dxfId="518" priority="407">
      <formula>ISEVEN($M28)</formula>
    </cfRule>
    <cfRule type="expression" dxfId="517" priority="408">
      <formula>ISODD($M28)</formula>
    </cfRule>
  </conditionalFormatting>
  <conditionalFormatting sqref="E40">
    <cfRule type="expression" dxfId="516" priority="261">
      <formula>ISEVEN($M40)</formula>
    </cfRule>
    <cfRule type="expression" dxfId="515" priority="262">
      <formula>ISODD($M40)</formula>
    </cfRule>
  </conditionalFormatting>
  <conditionalFormatting sqref="H29">
    <cfRule type="expression" dxfId="514" priority="403">
      <formula>ISEVEN($M29)</formula>
    </cfRule>
    <cfRule type="expression" dxfId="513" priority="404">
      <formula>ISODD($M29)</formula>
    </cfRule>
  </conditionalFormatting>
  <conditionalFormatting sqref="F29">
    <cfRule type="expression" dxfId="512" priority="401">
      <formula>ISEVEN($M29)</formula>
    </cfRule>
    <cfRule type="expression" dxfId="511" priority="402">
      <formula>ISODD($M29)</formula>
    </cfRule>
  </conditionalFormatting>
  <conditionalFormatting sqref="I29">
    <cfRule type="expression" dxfId="510" priority="399">
      <formula>ISEVEN($M29)</formula>
    </cfRule>
    <cfRule type="expression" dxfId="509" priority="400">
      <formula>ISODD($M29)</formula>
    </cfRule>
  </conditionalFormatting>
  <conditionalFormatting sqref="G29">
    <cfRule type="expression" dxfId="508" priority="397">
      <formula>ISEVEN($M29)</formula>
    </cfRule>
    <cfRule type="expression" dxfId="507" priority="398">
      <formula>ISODD($M29)</formula>
    </cfRule>
  </conditionalFormatting>
  <conditionalFormatting sqref="G29">
    <cfRule type="expression" dxfId="506" priority="395">
      <formula>ISEVEN($M29)</formula>
    </cfRule>
    <cfRule type="expression" dxfId="505" priority="396">
      <formula>ISODD($M29)</formula>
    </cfRule>
  </conditionalFormatting>
  <conditionalFormatting sqref="E41">
    <cfRule type="expression" dxfId="504" priority="249">
      <formula>ISEVEN($M41)</formula>
    </cfRule>
    <cfRule type="expression" dxfId="503" priority="250">
      <formula>ISODD($M41)</formula>
    </cfRule>
  </conditionalFormatting>
  <conditionalFormatting sqref="H30">
    <cfRule type="expression" dxfId="502" priority="391">
      <formula>ISEVEN($M30)</formula>
    </cfRule>
    <cfRule type="expression" dxfId="501" priority="392">
      <formula>ISODD($M30)</formula>
    </cfRule>
  </conditionalFormatting>
  <conditionalFormatting sqref="F30">
    <cfRule type="expression" dxfId="500" priority="389">
      <formula>ISEVEN($M30)</formula>
    </cfRule>
    <cfRule type="expression" dxfId="499" priority="390">
      <formula>ISODD($M30)</formula>
    </cfRule>
  </conditionalFormatting>
  <conditionalFormatting sqref="I30">
    <cfRule type="expression" dxfId="498" priority="387">
      <formula>ISEVEN($M30)</formula>
    </cfRule>
    <cfRule type="expression" dxfId="497" priority="388">
      <formula>ISODD($M30)</formula>
    </cfRule>
  </conditionalFormatting>
  <conditionalFormatting sqref="G30">
    <cfRule type="expression" dxfId="496" priority="385">
      <formula>ISEVEN($M30)</formula>
    </cfRule>
    <cfRule type="expression" dxfId="495" priority="386">
      <formula>ISODD($M30)</formula>
    </cfRule>
  </conditionalFormatting>
  <conditionalFormatting sqref="G30">
    <cfRule type="expression" dxfId="494" priority="383">
      <formula>ISEVEN($M30)</formula>
    </cfRule>
    <cfRule type="expression" dxfId="493" priority="384">
      <formula>ISODD($M30)</formula>
    </cfRule>
  </conditionalFormatting>
  <conditionalFormatting sqref="E42">
    <cfRule type="expression" dxfId="492" priority="237">
      <formula>ISEVEN($M42)</formula>
    </cfRule>
    <cfRule type="expression" dxfId="491" priority="238">
      <formula>ISODD($M42)</formula>
    </cfRule>
  </conditionalFormatting>
  <conditionalFormatting sqref="H31">
    <cfRule type="expression" dxfId="490" priority="379">
      <formula>ISEVEN($M31)</formula>
    </cfRule>
    <cfRule type="expression" dxfId="489" priority="380">
      <formula>ISODD($M31)</formula>
    </cfRule>
  </conditionalFormatting>
  <conditionalFormatting sqref="F31">
    <cfRule type="expression" dxfId="488" priority="377">
      <formula>ISEVEN($M31)</formula>
    </cfRule>
    <cfRule type="expression" dxfId="487" priority="378">
      <formula>ISODD($M31)</formula>
    </cfRule>
  </conditionalFormatting>
  <conditionalFormatting sqref="I31">
    <cfRule type="expression" dxfId="486" priority="375">
      <formula>ISEVEN($M31)</formula>
    </cfRule>
    <cfRule type="expression" dxfId="485" priority="376">
      <formula>ISODD($M31)</formula>
    </cfRule>
  </conditionalFormatting>
  <conditionalFormatting sqref="G31">
    <cfRule type="expression" dxfId="484" priority="373">
      <formula>ISEVEN($M31)</formula>
    </cfRule>
    <cfRule type="expression" dxfId="483" priority="374">
      <formula>ISODD($M31)</formula>
    </cfRule>
  </conditionalFormatting>
  <conditionalFormatting sqref="G31">
    <cfRule type="expression" dxfId="482" priority="371">
      <formula>ISEVEN($M31)</formula>
    </cfRule>
    <cfRule type="expression" dxfId="481" priority="372">
      <formula>ISODD($M31)</formula>
    </cfRule>
  </conditionalFormatting>
  <conditionalFormatting sqref="E43">
    <cfRule type="expression" dxfId="480" priority="225">
      <formula>ISEVEN($M43)</formula>
    </cfRule>
    <cfRule type="expression" dxfId="479" priority="226">
      <formula>ISODD($M43)</formula>
    </cfRule>
  </conditionalFormatting>
  <conditionalFormatting sqref="H32">
    <cfRule type="expression" dxfId="478" priority="367">
      <formula>ISEVEN($M32)</formula>
    </cfRule>
    <cfRule type="expression" dxfId="477" priority="368">
      <formula>ISODD($M32)</formula>
    </cfRule>
  </conditionalFormatting>
  <conditionalFormatting sqref="F32">
    <cfRule type="expression" dxfId="476" priority="365">
      <formula>ISEVEN($M32)</formula>
    </cfRule>
    <cfRule type="expression" dxfId="475" priority="366">
      <formula>ISODD($M32)</formula>
    </cfRule>
  </conditionalFormatting>
  <conditionalFormatting sqref="I32">
    <cfRule type="expression" dxfId="474" priority="363">
      <formula>ISEVEN($M32)</formula>
    </cfRule>
    <cfRule type="expression" dxfId="473" priority="364">
      <formula>ISODD($M32)</formula>
    </cfRule>
  </conditionalFormatting>
  <conditionalFormatting sqref="G32">
    <cfRule type="expression" dxfId="472" priority="361">
      <formula>ISEVEN($M32)</formula>
    </cfRule>
    <cfRule type="expression" dxfId="471" priority="362">
      <formula>ISODD($M32)</formula>
    </cfRule>
  </conditionalFormatting>
  <conditionalFormatting sqref="G32">
    <cfRule type="expression" dxfId="470" priority="359">
      <formula>ISEVEN($M32)</formula>
    </cfRule>
    <cfRule type="expression" dxfId="469" priority="360">
      <formula>ISODD($M32)</formula>
    </cfRule>
  </conditionalFormatting>
  <conditionalFormatting sqref="E44">
    <cfRule type="expression" dxfId="468" priority="213">
      <formula>ISEVEN($M44)</formula>
    </cfRule>
    <cfRule type="expression" dxfId="467" priority="214">
      <formula>ISODD($M44)</formula>
    </cfRule>
  </conditionalFormatting>
  <conditionalFormatting sqref="H33">
    <cfRule type="expression" dxfId="466" priority="355">
      <formula>ISEVEN($M33)</formula>
    </cfRule>
    <cfRule type="expression" dxfId="465" priority="356">
      <formula>ISODD($M33)</formula>
    </cfRule>
  </conditionalFormatting>
  <conditionalFormatting sqref="F33">
    <cfRule type="expression" dxfId="464" priority="353">
      <formula>ISEVEN($M33)</formula>
    </cfRule>
    <cfRule type="expression" dxfId="463" priority="354">
      <formula>ISODD($M33)</formula>
    </cfRule>
  </conditionalFormatting>
  <conditionalFormatting sqref="I33">
    <cfRule type="expression" dxfId="462" priority="351">
      <formula>ISEVEN($M33)</formula>
    </cfRule>
    <cfRule type="expression" dxfId="461" priority="352">
      <formula>ISODD($M33)</formula>
    </cfRule>
  </conditionalFormatting>
  <conditionalFormatting sqref="G33">
    <cfRule type="expression" dxfId="460" priority="349">
      <formula>ISEVEN($M33)</formula>
    </cfRule>
    <cfRule type="expression" dxfId="459" priority="350">
      <formula>ISODD($M33)</formula>
    </cfRule>
  </conditionalFormatting>
  <conditionalFormatting sqref="G33">
    <cfRule type="expression" dxfId="458" priority="347">
      <formula>ISEVEN($M33)</formula>
    </cfRule>
    <cfRule type="expression" dxfId="457" priority="348">
      <formula>ISODD($M33)</formula>
    </cfRule>
  </conditionalFormatting>
  <conditionalFormatting sqref="H46">
    <cfRule type="expression" dxfId="456" priority="199">
      <formula>ISEVEN($M46)</formula>
    </cfRule>
    <cfRule type="expression" dxfId="455" priority="200">
      <formula>ISODD($M46)</formula>
    </cfRule>
  </conditionalFormatting>
  <conditionalFormatting sqref="H34">
    <cfRule type="expression" dxfId="454" priority="343">
      <formula>ISEVEN($M34)</formula>
    </cfRule>
    <cfRule type="expression" dxfId="453" priority="344">
      <formula>ISODD($M34)</formula>
    </cfRule>
  </conditionalFormatting>
  <conditionalFormatting sqref="F34">
    <cfRule type="expression" dxfId="452" priority="341">
      <formula>ISEVEN($M34)</formula>
    </cfRule>
    <cfRule type="expression" dxfId="451" priority="342">
      <formula>ISODD($M34)</formula>
    </cfRule>
  </conditionalFormatting>
  <conditionalFormatting sqref="I34">
    <cfRule type="expression" dxfId="450" priority="339">
      <formula>ISEVEN($M34)</formula>
    </cfRule>
    <cfRule type="expression" dxfId="449" priority="340">
      <formula>ISODD($M34)</formula>
    </cfRule>
  </conditionalFormatting>
  <conditionalFormatting sqref="G34">
    <cfRule type="expression" dxfId="448" priority="337">
      <formula>ISEVEN($M34)</formula>
    </cfRule>
    <cfRule type="expression" dxfId="447" priority="338">
      <formula>ISODD($M34)</formula>
    </cfRule>
  </conditionalFormatting>
  <conditionalFormatting sqref="G34">
    <cfRule type="expression" dxfId="446" priority="335">
      <formula>ISEVEN($M34)</formula>
    </cfRule>
    <cfRule type="expression" dxfId="445" priority="336">
      <formula>ISODD($M34)</formula>
    </cfRule>
  </conditionalFormatting>
  <conditionalFormatting sqref="E46">
    <cfRule type="expression" dxfId="444" priority="189">
      <formula>ISEVEN($M46)</formula>
    </cfRule>
    <cfRule type="expression" dxfId="443" priority="190">
      <formula>ISODD($M46)</formula>
    </cfRule>
  </conditionalFormatting>
  <conditionalFormatting sqref="H35">
    <cfRule type="expression" dxfId="442" priority="331">
      <formula>ISEVEN($M35)</formula>
    </cfRule>
    <cfRule type="expression" dxfId="441" priority="332">
      <formula>ISODD($M35)</formula>
    </cfRule>
  </conditionalFormatting>
  <conditionalFormatting sqref="F35">
    <cfRule type="expression" dxfId="440" priority="329">
      <formula>ISEVEN($M35)</formula>
    </cfRule>
    <cfRule type="expression" dxfId="439" priority="330">
      <formula>ISODD($M35)</formula>
    </cfRule>
  </conditionalFormatting>
  <conditionalFormatting sqref="I35">
    <cfRule type="expression" dxfId="438" priority="327">
      <formula>ISEVEN($M35)</formula>
    </cfRule>
    <cfRule type="expression" dxfId="437" priority="328">
      <formula>ISODD($M35)</formula>
    </cfRule>
  </conditionalFormatting>
  <conditionalFormatting sqref="G35">
    <cfRule type="expression" dxfId="436" priority="325">
      <formula>ISEVEN($M35)</formula>
    </cfRule>
    <cfRule type="expression" dxfId="435" priority="326">
      <formula>ISODD($M35)</formula>
    </cfRule>
  </conditionalFormatting>
  <conditionalFormatting sqref="G35">
    <cfRule type="expression" dxfId="434" priority="323">
      <formula>ISEVEN($M35)</formula>
    </cfRule>
    <cfRule type="expression" dxfId="433" priority="324">
      <formula>ISODD($M35)</formula>
    </cfRule>
  </conditionalFormatting>
  <conditionalFormatting sqref="E47">
    <cfRule type="expression" dxfId="432" priority="177">
      <formula>ISEVEN($M47)</formula>
    </cfRule>
    <cfRule type="expression" dxfId="431" priority="178">
      <formula>ISODD($M47)</formula>
    </cfRule>
  </conditionalFormatting>
  <conditionalFormatting sqref="H36">
    <cfRule type="expression" dxfId="430" priority="319">
      <formula>ISEVEN($M36)</formula>
    </cfRule>
    <cfRule type="expression" dxfId="429" priority="320">
      <formula>ISODD($M36)</formula>
    </cfRule>
  </conditionalFormatting>
  <conditionalFormatting sqref="F36">
    <cfRule type="expression" dxfId="428" priority="317">
      <formula>ISEVEN($M36)</formula>
    </cfRule>
    <cfRule type="expression" dxfId="427" priority="318">
      <formula>ISODD($M36)</formula>
    </cfRule>
  </conditionalFormatting>
  <conditionalFormatting sqref="I36">
    <cfRule type="expression" dxfId="426" priority="315">
      <formula>ISEVEN($M36)</formula>
    </cfRule>
    <cfRule type="expression" dxfId="425" priority="316">
      <formula>ISODD($M36)</formula>
    </cfRule>
  </conditionalFormatting>
  <conditionalFormatting sqref="G36">
    <cfRule type="expression" dxfId="424" priority="313">
      <formula>ISEVEN($M36)</formula>
    </cfRule>
    <cfRule type="expression" dxfId="423" priority="314">
      <formula>ISODD($M36)</formula>
    </cfRule>
  </conditionalFormatting>
  <conditionalFormatting sqref="G36">
    <cfRule type="expression" dxfId="422" priority="311">
      <formula>ISEVEN($M36)</formula>
    </cfRule>
    <cfRule type="expression" dxfId="421" priority="312">
      <formula>ISODD($M36)</formula>
    </cfRule>
  </conditionalFormatting>
  <conditionalFormatting sqref="E48">
    <cfRule type="expression" dxfId="420" priority="165">
      <formula>ISEVEN($M48)</formula>
    </cfRule>
    <cfRule type="expression" dxfId="419" priority="166">
      <formula>ISODD($M48)</formula>
    </cfRule>
  </conditionalFormatting>
  <conditionalFormatting sqref="H37">
    <cfRule type="expression" dxfId="418" priority="307">
      <formula>ISEVEN($M37)</formula>
    </cfRule>
    <cfRule type="expression" dxfId="417" priority="308">
      <formula>ISODD($M37)</formula>
    </cfRule>
  </conditionalFormatting>
  <conditionalFormatting sqref="F37">
    <cfRule type="expression" dxfId="416" priority="305">
      <formula>ISEVEN($M37)</formula>
    </cfRule>
    <cfRule type="expression" dxfId="415" priority="306">
      <formula>ISODD($M37)</formula>
    </cfRule>
  </conditionalFormatting>
  <conditionalFormatting sqref="I37">
    <cfRule type="expression" dxfId="414" priority="303">
      <formula>ISEVEN($M37)</formula>
    </cfRule>
    <cfRule type="expression" dxfId="413" priority="304">
      <formula>ISODD($M37)</formula>
    </cfRule>
  </conditionalFormatting>
  <conditionalFormatting sqref="G37">
    <cfRule type="expression" dxfId="412" priority="301">
      <formula>ISEVEN($M37)</formula>
    </cfRule>
    <cfRule type="expression" dxfId="411" priority="302">
      <formula>ISODD($M37)</formula>
    </cfRule>
  </conditionalFormatting>
  <conditionalFormatting sqref="G37">
    <cfRule type="expression" dxfId="410" priority="299">
      <formula>ISEVEN($M37)</formula>
    </cfRule>
    <cfRule type="expression" dxfId="409" priority="300">
      <formula>ISODD($M37)</formula>
    </cfRule>
  </conditionalFormatting>
  <conditionalFormatting sqref="F49">
    <cfRule type="expression" dxfId="408" priority="153">
      <formula>ISEVEN($M49)</formula>
    </cfRule>
    <cfRule type="expression" dxfId="407" priority="154">
      <formula>ISODD($M49)</formula>
    </cfRule>
  </conditionalFormatting>
  <conditionalFormatting sqref="H38">
    <cfRule type="expression" dxfId="406" priority="295">
      <formula>ISEVEN($M38)</formula>
    </cfRule>
    <cfRule type="expression" dxfId="405" priority="296">
      <formula>ISODD($M38)</formula>
    </cfRule>
  </conditionalFormatting>
  <conditionalFormatting sqref="F38">
    <cfRule type="expression" dxfId="404" priority="293">
      <formula>ISEVEN($M38)</formula>
    </cfRule>
    <cfRule type="expression" dxfId="403" priority="294">
      <formula>ISODD($M38)</formula>
    </cfRule>
  </conditionalFormatting>
  <conditionalFormatting sqref="I38">
    <cfRule type="expression" dxfId="402" priority="291">
      <formula>ISEVEN($M38)</formula>
    </cfRule>
    <cfRule type="expression" dxfId="401" priority="292">
      <formula>ISODD($M38)</formula>
    </cfRule>
  </conditionalFormatting>
  <conditionalFormatting sqref="G38">
    <cfRule type="expression" dxfId="400" priority="289">
      <formula>ISEVEN($M38)</formula>
    </cfRule>
    <cfRule type="expression" dxfId="399" priority="290">
      <formula>ISODD($M38)</formula>
    </cfRule>
  </conditionalFormatting>
  <conditionalFormatting sqref="G38">
    <cfRule type="expression" dxfId="398" priority="287">
      <formula>ISEVEN($M38)</formula>
    </cfRule>
    <cfRule type="expression" dxfId="397" priority="288">
      <formula>ISODD($M38)</formula>
    </cfRule>
  </conditionalFormatting>
  <conditionalFormatting sqref="E50">
    <cfRule type="expression" dxfId="396" priority="141">
      <formula>ISEVEN($M50)</formula>
    </cfRule>
    <cfRule type="expression" dxfId="395" priority="142">
      <formula>ISODD($M50)</formula>
    </cfRule>
  </conditionalFormatting>
  <conditionalFormatting sqref="H39">
    <cfRule type="expression" dxfId="394" priority="283">
      <formula>ISEVEN($M39)</formula>
    </cfRule>
    <cfRule type="expression" dxfId="393" priority="284">
      <formula>ISODD($M39)</formula>
    </cfRule>
  </conditionalFormatting>
  <conditionalFormatting sqref="F39">
    <cfRule type="expression" dxfId="392" priority="281">
      <formula>ISEVEN($M39)</formula>
    </cfRule>
    <cfRule type="expression" dxfId="391" priority="282">
      <formula>ISODD($M39)</formula>
    </cfRule>
  </conditionalFormatting>
  <conditionalFormatting sqref="I39">
    <cfRule type="expression" dxfId="390" priority="279">
      <formula>ISEVEN($M39)</formula>
    </cfRule>
    <cfRule type="expression" dxfId="389" priority="280">
      <formula>ISODD($M39)</formula>
    </cfRule>
  </conditionalFormatting>
  <conditionalFormatting sqref="G39">
    <cfRule type="expression" dxfId="388" priority="277">
      <formula>ISEVEN($M39)</formula>
    </cfRule>
    <cfRule type="expression" dxfId="387" priority="278">
      <formula>ISODD($M39)</formula>
    </cfRule>
  </conditionalFormatting>
  <conditionalFormatting sqref="G39">
    <cfRule type="expression" dxfId="386" priority="275">
      <formula>ISEVEN($M39)</formula>
    </cfRule>
    <cfRule type="expression" dxfId="385" priority="276">
      <formula>ISODD($M39)</formula>
    </cfRule>
  </conditionalFormatting>
  <conditionalFormatting sqref="J46">
    <cfRule type="expression" dxfId="384" priority="111">
      <formula>ISEVEN($M46)</formula>
    </cfRule>
    <cfRule type="expression" dxfId="383" priority="112">
      <formula>ISODD($M46)</formula>
    </cfRule>
  </conditionalFormatting>
  <conditionalFormatting sqref="H40">
    <cfRule type="expression" dxfId="382" priority="271">
      <formula>ISEVEN($M40)</formula>
    </cfRule>
    <cfRule type="expression" dxfId="381" priority="272">
      <formula>ISODD($M40)</formula>
    </cfRule>
  </conditionalFormatting>
  <conditionalFormatting sqref="F40">
    <cfRule type="expression" dxfId="380" priority="269">
      <formula>ISEVEN($M40)</formula>
    </cfRule>
    <cfRule type="expression" dxfId="379" priority="270">
      <formula>ISODD($M40)</formula>
    </cfRule>
  </conditionalFormatting>
  <conditionalFormatting sqref="I40">
    <cfRule type="expression" dxfId="378" priority="267">
      <formula>ISEVEN($M40)</formula>
    </cfRule>
    <cfRule type="expression" dxfId="377" priority="268">
      <formula>ISODD($M40)</formula>
    </cfRule>
  </conditionalFormatting>
  <conditionalFormatting sqref="G40">
    <cfRule type="expression" dxfId="376" priority="265">
      <formula>ISEVEN($M40)</formula>
    </cfRule>
    <cfRule type="expression" dxfId="375" priority="266">
      <formula>ISODD($M40)</formula>
    </cfRule>
  </conditionalFormatting>
  <conditionalFormatting sqref="G40">
    <cfRule type="expression" dxfId="374" priority="263">
      <formula>ISEVEN($M40)</formula>
    </cfRule>
    <cfRule type="expression" dxfId="373" priority="264">
      <formula>ISODD($M40)</formula>
    </cfRule>
  </conditionalFormatting>
  <conditionalFormatting sqref="E52:G52">
    <cfRule type="expression" dxfId="372" priority="117">
      <formula>ISEVEN($M52)</formula>
    </cfRule>
    <cfRule type="expression" dxfId="371" priority="118">
      <formula>ISODD($M52)</formula>
    </cfRule>
  </conditionalFormatting>
  <conditionalFormatting sqref="H41">
    <cfRule type="expression" dxfId="370" priority="259">
      <formula>ISEVEN($M41)</formula>
    </cfRule>
    <cfRule type="expression" dxfId="369" priority="260">
      <formula>ISODD($M41)</formula>
    </cfRule>
  </conditionalFormatting>
  <conditionalFormatting sqref="F41">
    <cfRule type="expression" dxfId="368" priority="257">
      <formula>ISEVEN($M41)</formula>
    </cfRule>
    <cfRule type="expression" dxfId="367" priority="258">
      <formula>ISODD($M41)</formula>
    </cfRule>
  </conditionalFormatting>
  <conditionalFormatting sqref="I41">
    <cfRule type="expression" dxfId="366" priority="255">
      <formula>ISEVEN($M41)</formula>
    </cfRule>
    <cfRule type="expression" dxfId="365" priority="256">
      <formula>ISODD($M41)</formula>
    </cfRule>
  </conditionalFormatting>
  <conditionalFormatting sqref="G41">
    <cfRule type="expression" dxfId="364" priority="253">
      <formula>ISEVEN($M41)</formula>
    </cfRule>
    <cfRule type="expression" dxfId="363" priority="254">
      <formula>ISODD($M41)</formula>
    </cfRule>
  </conditionalFormatting>
  <conditionalFormatting sqref="G41">
    <cfRule type="expression" dxfId="362" priority="251">
      <formula>ISEVEN($M41)</formula>
    </cfRule>
    <cfRule type="expression" dxfId="361" priority="252">
      <formula>ISODD($M41)</formula>
    </cfRule>
  </conditionalFormatting>
  <conditionalFormatting sqref="J45">
    <cfRule type="expression" dxfId="360" priority="115">
      <formula>ISEVEN($M45)</formula>
    </cfRule>
    <cfRule type="expression" dxfId="359" priority="116">
      <formula>ISODD($M45)</formula>
    </cfRule>
  </conditionalFormatting>
  <conditionalFormatting sqref="H42">
    <cfRule type="expression" dxfId="358" priority="247">
      <formula>ISEVEN($M42)</formula>
    </cfRule>
    <cfRule type="expression" dxfId="357" priority="248">
      <formula>ISODD($M42)</formula>
    </cfRule>
  </conditionalFormatting>
  <conditionalFormatting sqref="F42">
    <cfRule type="expression" dxfId="356" priority="245">
      <formula>ISEVEN($M42)</formula>
    </cfRule>
    <cfRule type="expression" dxfId="355" priority="246">
      <formula>ISODD($M42)</formula>
    </cfRule>
  </conditionalFormatting>
  <conditionalFormatting sqref="I42">
    <cfRule type="expression" dxfId="354" priority="243">
      <formula>ISEVEN($M42)</formula>
    </cfRule>
    <cfRule type="expression" dxfId="353" priority="244">
      <formula>ISODD($M42)</formula>
    </cfRule>
  </conditionalFormatting>
  <conditionalFormatting sqref="G42">
    <cfRule type="expression" dxfId="352" priority="241">
      <formula>ISEVEN($M42)</formula>
    </cfRule>
    <cfRule type="expression" dxfId="351" priority="242">
      <formula>ISODD($M42)</formula>
    </cfRule>
  </conditionalFormatting>
  <conditionalFormatting sqref="G42">
    <cfRule type="expression" dxfId="350" priority="239">
      <formula>ISEVEN($M42)</formula>
    </cfRule>
    <cfRule type="expression" dxfId="349" priority="240">
      <formula>ISODD($M42)</formula>
    </cfRule>
  </conditionalFormatting>
  <conditionalFormatting sqref="I46">
    <cfRule type="expression" dxfId="348" priority="113">
      <formula>ISEVEN($M46)</formula>
    </cfRule>
    <cfRule type="expression" dxfId="347" priority="114">
      <formula>ISODD($M46)</formula>
    </cfRule>
  </conditionalFormatting>
  <conditionalFormatting sqref="H43">
    <cfRule type="expression" dxfId="346" priority="235">
      <formula>ISEVEN($M43)</formula>
    </cfRule>
    <cfRule type="expression" dxfId="345" priority="236">
      <formula>ISODD($M43)</formula>
    </cfRule>
  </conditionalFormatting>
  <conditionalFormatting sqref="F43">
    <cfRule type="expression" dxfId="344" priority="233">
      <formula>ISEVEN($M43)</formula>
    </cfRule>
    <cfRule type="expression" dxfId="343" priority="234">
      <formula>ISODD($M43)</formula>
    </cfRule>
  </conditionalFormatting>
  <conditionalFormatting sqref="I43">
    <cfRule type="expression" dxfId="342" priority="231">
      <formula>ISEVEN($M43)</formula>
    </cfRule>
    <cfRule type="expression" dxfId="341" priority="232">
      <formula>ISODD($M43)</formula>
    </cfRule>
  </conditionalFormatting>
  <conditionalFormatting sqref="G43">
    <cfRule type="expression" dxfId="340" priority="229">
      <formula>ISEVEN($M43)</formula>
    </cfRule>
    <cfRule type="expression" dxfId="339" priority="230">
      <formula>ISODD($M43)</formula>
    </cfRule>
  </conditionalFormatting>
  <conditionalFormatting sqref="G43">
    <cfRule type="expression" dxfId="338" priority="227">
      <formula>ISEVEN($M43)</formula>
    </cfRule>
    <cfRule type="expression" dxfId="337" priority="228">
      <formula>ISODD($M43)</formula>
    </cfRule>
  </conditionalFormatting>
  <conditionalFormatting sqref="F48">
    <cfRule type="expression" dxfId="336" priority="107">
      <formula>ISEVEN($M48)</formula>
    </cfRule>
    <cfRule type="expression" dxfId="335" priority="108">
      <formula>ISODD($M48)</formula>
    </cfRule>
  </conditionalFormatting>
  <conditionalFormatting sqref="H44">
    <cfRule type="expression" dxfId="334" priority="223">
      <formula>ISEVEN($M44)</formula>
    </cfRule>
    <cfRule type="expression" dxfId="333" priority="224">
      <formula>ISODD($M44)</formula>
    </cfRule>
  </conditionalFormatting>
  <conditionalFormatting sqref="F44">
    <cfRule type="expression" dxfId="332" priority="221">
      <formula>ISEVEN($M44)</formula>
    </cfRule>
    <cfRule type="expression" dxfId="331" priority="222">
      <formula>ISODD($M44)</formula>
    </cfRule>
  </conditionalFormatting>
  <conditionalFormatting sqref="I44">
    <cfRule type="expression" dxfId="330" priority="219">
      <formula>ISEVEN($M44)</formula>
    </cfRule>
    <cfRule type="expression" dxfId="329" priority="220">
      <formula>ISODD($M44)</formula>
    </cfRule>
  </conditionalFormatting>
  <conditionalFormatting sqref="G44">
    <cfRule type="expression" dxfId="328" priority="217">
      <formula>ISEVEN($M44)</formula>
    </cfRule>
    <cfRule type="expression" dxfId="327" priority="218">
      <formula>ISODD($M44)</formula>
    </cfRule>
  </conditionalFormatting>
  <conditionalFormatting sqref="G44">
    <cfRule type="expression" dxfId="326" priority="215">
      <formula>ISEVEN($M44)</formula>
    </cfRule>
    <cfRule type="expression" dxfId="325" priority="216">
      <formula>ISODD($M44)</formula>
    </cfRule>
  </conditionalFormatting>
  <conditionalFormatting sqref="J49">
    <cfRule type="expression" dxfId="324" priority="99">
      <formula>ISEVEN($M49)</formula>
    </cfRule>
    <cfRule type="expression" dxfId="323" priority="100">
      <formula>ISODD($M49)</formula>
    </cfRule>
  </conditionalFormatting>
  <conditionalFormatting sqref="G45">
    <cfRule type="expression" dxfId="322" priority="211">
      <formula>ISEVEN($M45)</formula>
    </cfRule>
    <cfRule type="expression" dxfId="321" priority="212">
      <formula>ISODD($M45)</formula>
    </cfRule>
  </conditionalFormatting>
  <conditionalFormatting sqref="E45">
    <cfRule type="expression" dxfId="320" priority="209">
      <formula>ISEVEN($M45)</formula>
    </cfRule>
    <cfRule type="expression" dxfId="319" priority="210">
      <formula>ISODD($M45)</formula>
    </cfRule>
  </conditionalFormatting>
  <conditionalFormatting sqref="H45">
    <cfRule type="expression" dxfId="318" priority="207">
      <formula>ISEVEN($M45)</formula>
    </cfRule>
    <cfRule type="expression" dxfId="317" priority="208">
      <formula>ISODD($M45)</formula>
    </cfRule>
  </conditionalFormatting>
  <conditionalFormatting sqref="F45">
    <cfRule type="expression" dxfId="316" priority="205">
      <formula>ISEVEN($M45)</formula>
    </cfRule>
    <cfRule type="expression" dxfId="315" priority="206">
      <formula>ISODD($M45)</formula>
    </cfRule>
  </conditionalFormatting>
  <conditionalFormatting sqref="F45">
    <cfRule type="expression" dxfId="314" priority="203">
      <formula>ISEVEN($M45)</formula>
    </cfRule>
    <cfRule type="expression" dxfId="313" priority="204">
      <formula>ISODD($M45)</formula>
    </cfRule>
  </conditionalFormatting>
  <conditionalFormatting sqref="F46">
    <cfRule type="expression" dxfId="312" priority="197">
      <formula>ISEVEN($M46)</formula>
    </cfRule>
    <cfRule type="expression" dxfId="311" priority="198">
      <formula>ISODD($M46)</formula>
    </cfRule>
  </conditionalFormatting>
  <conditionalFormatting sqref="G46">
    <cfRule type="expression" dxfId="310" priority="191">
      <formula>ISEVEN($M46)</formula>
    </cfRule>
    <cfRule type="expression" dxfId="309" priority="192">
      <formula>ISODD($M46)</formula>
    </cfRule>
  </conditionalFormatting>
  <conditionalFormatting sqref="G47">
    <cfRule type="expression" dxfId="308" priority="181">
      <formula>ISEVEN($M47)</formula>
    </cfRule>
    <cfRule type="expression" dxfId="307" priority="182">
      <formula>ISODD($M47)</formula>
    </cfRule>
  </conditionalFormatting>
  <conditionalFormatting sqref="G46">
    <cfRule type="expression" dxfId="306" priority="193">
      <formula>ISEVEN($M46)</formula>
    </cfRule>
    <cfRule type="expression" dxfId="305" priority="194">
      <formula>ISODD($M46)</formula>
    </cfRule>
  </conditionalFormatting>
  <conditionalFormatting sqref="I47">
    <cfRule type="expression" dxfId="304" priority="183">
      <formula>ISEVEN($M47)</formula>
    </cfRule>
    <cfRule type="expression" dxfId="303" priority="184">
      <formula>ISODD($M47)</formula>
    </cfRule>
  </conditionalFormatting>
  <conditionalFormatting sqref="H47">
    <cfRule type="expression" dxfId="302" priority="187">
      <formula>ISEVEN($M47)</formula>
    </cfRule>
    <cfRule type="expression" dxfId="301" priority="188">
      <formula>ISODD($M47)</formula>
    </cfRule>
  </conditionalFormatting>
  <conditionalFormatting sqref="F47">
    <cfRule type="expression" dxfId="300" priority="185">
      <formula>ISEVEN($M47)</formula>
    </cfRule>
    <cfRule type="expression" dxfId="299" priority="186">
      <formula>ISODD($M47)</formula>
    </cfRule>
  </conditionalFormatting>
  <conditionalFormatting sqref="G47">
    <cfRule type="expression" dxfId="298" priority="179">
      <formula>ISEVEN($M47)</formula>
    </cfRule>
    <cfRule type="expression" dxfId="297" priority="180">
      <formula>ISODD($M47)</formula>
    </cfRule>
  </conditionalFormatting>
  <conditionalFormatting sqref="H48">
    <cfRule type="expression" dxfId="296" priority="175">
      <formula>ISEVEN($M48)</formula>
    </cfRule>
    <cfRule type="expression" dxfId="295" priority="176">
      <formula>ISODD($M48)</formula>
    </cfRule>
  </conditionalFormatting>
  <conditionalFormatting sqref="G48">
    <cfRule type="expression" dxfId="294" priority="169">
      <formula>ISEVEN($M48)</formula>
    </cfRule>
    <cfRule type="expression" dxfId="293" priority="170">
      <formula>ISODD($M48)</formula>
    </cfRule>
  </conditionalFormatting>
  <conditionalFormatting sqref="I48">
    <cfRule type="expression" dxfId="292" priority="171">
      <formula>ISEVEN($M48)</formula>
    </cfRule>
    <cfRule type="expression" dxfId="291" priority="172">
      <formula>ISODD($M48)</formula>
    </cfRule>
  </conditionalFormatting>
  <conditionalFormatting sqref="G49">
    <cfRule type="expression" dxfId="290" priority="161">
      <formula>ISEVEN($M49)</formula>
    </cfRule>
    <cfRule type="expression" dxfId="289" priority="162">
      <formula>ISODD($M49)</formula>
    </cfRule>
  </conditionalFormatting>
  <conditionalFormatting sqref="G48">
    <cfRule type="expression" dxfId="288" priority="167">
      <formula>ISEVEN($M48)</formula>
    </cfRule>
    <cfRule type="expression" dxfId="287" priority="168">
      <formula>ISODD($M48)</formula>
    </cfRule>
  </conditionalFormatting>
  <conditionalFormatting sqref="F49:G49">
    <cfRule type="expression" dxfId="286" priority="163">
      <formula>ISEVEN($M49)</formula>
    </cfRule>
    <cfRule type="expression" dxfId="285" priority="164">
      <formula>ISODD($M49)</formula>
    </cfRule>
  </conditionalFormatting>
  <conditionalFormatting sqref="I49">
    <cfRule type="expression" dxfId="284" priority="159">
      <formula>ISEVEN($M49)</formula>
    </cfRule>
    <cfRule type="expression" dxfId="283" priority="160">
      <formula>ISODD($M49)</formula>
    </cfRule>
  </conditionalFormatting>
  <conditionalFormatting sqref="H49">
    <cfRule type="expression" dxfId="282" priority="157">
      <formula>ISEVEN($M49)</formula>
    </cfRule>
    <cfRule type="expression" dxfId="281" priority="158">
      <formula>ISODD($M49)</formula>
    </cfRule>
  </conditionalFormatting>
  <conditionalFormatting sqref="H49">
    <cfRule type="expression" dxfId="280" priority="155">
      <formula>ISEVEN($M49)</formula>
    </cfRule>
    <cfRule type="expression" dxfId="279" priority="156">
      <formula>ISODD($M49)</formula>
    </cfRule>
  </conditionalFormatting>
  <conditionalFormatting sqref="I50">
    <cfRule type="expression" dxfId="278" priority="151">
      <formula>ISEVEN($M50)</formula>
    </cfRule>
    <cfRule type="expression" dxfId="277" priority="152">
      <formula>ISODD($M50)</formula>
    </cfRule>
  </conditionalFormatting>
  <conditionalFormatting sqref="G50">
    <cfRule type="expression" dxfId="276" priority="149">
      <formula>ISEVEN($M50)</formula>
    </cfRule>
    <cfRule type="expression" dxfId="275" priority="150">
      <formula>ISODD($M50)</formula>
    </cfRule>
  </conditionalFormatting>
  <conditionalFormatting sqref="J50">
    <cfRule type="expression" dxfId="274" priority="147">
      <formula>ISEVEN($M50)</formula>
    </cfRule>
    <cfRule type="expression" dxfId="273" priority="148">
      <formula>ISODD($M50)</formula>
    </cfRule>
  </conditionalFormatting>
  <conditionalFormatting sqref="G51">
    <cfRule type="expression" dxfId="272" priority="137">
      <formula>ISEVEN($M51)</formula>
    </cfRule>
    <cfRule type="expression" dxfId="271" priority="138">
      <formula>ISODD($M51)</formula>
    </cfRule>
  </conditionalFormatting>
  <conditionalFormatting sqref="E49">
    <cfRule type="expression" dxfId="270" priority="105">
      <formula>ISEVEN($M49)</formula>
    </cfRule>
    <cfRule type="expression" dxfId="269" priority="106">
      <formula>ISODD($M49)</formula>
    </cfRule>
  </conditionalFormatting>
  <conditionalFormatting sqref="H51">
    <cfRule type="expression" dxfId="268" priority="133">
      <formula>ISEVEN($M51)</formula>
    </cfRule>
    <cfRule type="expression" dxfId="267" priority="134">
      <formula>ISODD($M51)</formula>
    </cfRule>
  </conditionalFormatting>
  <conditionalFormatting sqref="H51">
    <cfRule type="expression" dxfId="266" priority="131">
      <formula>ISEVEN($M51)</formula>
    </cfRule>
    <cfRule type="expression" dxfId="265" priority="132">
      <formula>ISODD($M51)</formula>
    </cfRule>
  </conditionalFormatting>
  <conditionalFormatting sqref="E52:G52">
    <cfRule type="expression" dxfId="264" priority="127">
      <formula>ISEVEN($M52)</formula>
    </cfRule>
    <cfRule type="expression" dxfId="263" priority="128">
      <formula>ISODD($M52)</formula>
    </cfRule>
  </conditionalFormatting>
  <conditionalFormatting sqref="F52">
    <cfRule type="expression" dxfId="262" priority="125">
      <formula>ISEVEN($M52)</formula>
    </cfRule>
    <cfRule type="expression" dxfId="261" priority="126">
      <formula>ISODD($M52)</formula>
    </cfRule>
  </conditionalFormatting>
  <conditionalFormatting sqref="H50">
    <cfRule type="expression" dxfId="260" priority="97">
      <formula>ISEVEN($M50)</formula>
    </cfRule>
    <cfRule type="expression" dxfId="259" priority="98">
      <formula>ISODD($M50)</formula>
    </cfRule>
  </conditionalFormatting>
  <conditionalFormatting sqref="G52">
    <cfRule type="expression" dxfId="258" priority="121">
      <formula>ISEVEN($M52)</formula>
    </cfRule>
    <cfRule type="expression" dxfId="257" priority="122">
      <formula>ISODD($M52)</formula>
    </cfRule>
  </conditionalFormatting>
  <conditionalFormatting sqref="G52">
    <cfRule type="expression" dxfId="256" priority="119">
      <formula>ISEVEN($M52)</formula>
    </cfRule>
    <cfRule type="expression" dxfId="255" priority="120">
      <formula>ISODD($M52)</formula>
    </cfRule>
  </conditionalFormatting>
  <conditionalFormatting sqref="E49">
    <cfRule type="expression" dxfId="254" priority="103">
      <formula>ISEVEN($M49)</formula>
    </cfRule>
    <cfRule type="expression" dxfId="253" priority="104">
      <formula>ISODD($M49)</formula>
    </cfRule>
  </conditionalFormatting>
  <conditionalFormatting sqref="F48">
    <cfRule type="expression" dxfId="252" priority="109">
      <formula>ISEVEN($M48)</formula>
    </cfRule>
    <cfRule type="expression" dxfId="251" priority="110">
      <formula>ISODD($M48)</formula>
    </cfRule>
  </conditionalFormatting>
  <conditionalFormatting sqref="J49">
    <cfRule type="expression" dxfId="250" priority="101">
      <formula>ISEVEN($M49)</formula>
    </cfRule>
    <cfRule type="expression" dxfId="249" priority="102">
      <formula>ISODD($M49)</formula>
    </cfRule>
  </conditionalFormatting>
  <conditionalFormatting sqref="H50">
    <cfRule type="expression" dxfId="248" priority="95">
      <formula>ISEVEN($M50)</formula>
    </cfRule>
    <cfRule type="expression" dxfId="247" priority="96">
      <formula>ISODD($M50)</formula>
    </cfRule>
  </conditionalFormatting>
  <conditionalFormatting sqref="F50">
    <cfRule type="expression" dxfId="246" priority="93">
      <formula>ISEVEN($M50)</formula>
    </cfRule>
    <cfRule type="expression" dxfId="245" priority="94">
      <formula>ISODD($M50)</formula>
    </cfRule>
  </conditionalFormatting>
  <conditionalFormatting sqref="F50">
    <cfRule type="expression" dxfId="244" priority="91">
      <formula>ISEVEN($M50)</formula>
    </cfRule>
    <cfRule type="expression" dxfId="243" priority="92">
      <formula>ISODD($M50)</formula>
    </cfRule>
  </conditionalFormatting>
  <conditionalFormatting sqref="J51">
    <cfRule type="expression" dxfId="242" priority="89">
      <formula>ISEVEN($M51)</formula>
    </cfRule>
    <cfRule type="expression" dxfId="241" priority="90">
      <formula>ISODD($M51)</formula>
    </cfRule>
  </conditionalFormatting>
  <conditionalFormatting sqref="J51">
    <cfRule type="expression" dxfId="240" priority="87">
      <formula>ISEVEN($M51)</formula>
    </cfRule>
    <cfRule type="expression" dxfId="239" priority="88">
      <formula>ISODD($M51)</formula>
    </cfRule>
  </conditionalFormatting>
  <conditionalFormatting sqref="I51">
    <cfRule type="expression" dxfId="238" priority="83">
      <formula>ISEVEN($M51)</formula>
    </cfRule>
    <cfRule type="expression" dxfId="237" priority="84">
      <formula>ISODD($M51)</formula>
    </cfRule>
  </conditionalFormatting>
  <conditionalFormatting sqref="I51">
    <cfRule type="expression" dxfId="236" priority="85">
      <formula>ISEVEN($M51)</formula>
    </cfRule>
    <cfRule type="expression" dxfId="235" priority="86">
      <formula>ISODD($M51)</formula>
    </cfRule>
  </conditionalFormatting>
  <conditionalFormatting sqref="H52">
    <cfRule type="expression" dxfId="234" priority="63">
      <formula>ISEVEN($M52)</formula>
    </cfRule>
    <cfRule type="expression" dxfId="233" priority="64">
      <formula>ISODD($M52)</formula>
    </cfRule>
  </conditionalFormatting>
  <conditionalFormatting sqref="H52">
    <cfRule type="expression" dxfId="232" priority="61">
      <formula>ISEVEN($M52)</formula>
    </cfRule>
    <cfRule type="expression" dxfId="231" priority="62">
      <formula>ISODD($M52)</formula>
    </cfRule>
  </conditionalFormatting>
  <conditionalFormatting sqref="F51">
    <cfRule type="expression" dxfId="230" priority="77">
      <formula>ISEVEN($M51)</formula>
    </cfRule>
    <cfRule type="expression" dxfId="229" priority="78">
      <formula>ISODD($M51)</formula>
    </cfRule>
  </conditionalFormatting>
  <conditionalFormatting sqref="F51">
    <cfRule type="expression" dxfId="228" priority="75">
      <formula>ISEVEN($M51)</formula>
    </cfRule>
    <cfRule type="expression" dxfId="227" priority="76">
      <formula>ISODD($M51)</formula>
    </cfRule>
  </conditionalFormatting>
  <conditionalFormatting sqref="E51">
    <cfRule type="expression" dxfId="226" priority="73">
      <formula>ISEVEN($M51)</formula>
    </cfRule>
    <cfRule type="expression" dxfId="225" priority="74">
      <formula>ISODD($M51)</formula>
    </cfRule>
  </conditionalFormatting>
  <conditionalFormatting sqref="E51">
    <cfRule type="expression" dxfId="224" priority="71">
      <formula>ISEVEN($M51)</formula>
    </cfRule>
    <cfRule type="expression" dxfId="223" priority="72">
      <formula>ISODD($M51)</formula>
    </cfRule>
  </conditionalFormatting>
  <conditionalFormatting sqref="D51">
    <cfRule type="expression" dxfId="222" priority="69">
      <formula>ISEVEN($M51)</formula>
    </cfRule>
    <cfRule type="expression" dxfId="221" priority="70">
      <formula>ISODD($M51)</formula>
    </cfRule>
  </conditionalFormatting>
  <conditionalFormatting sqref="J52">
    <cfRule type="expression" dxfId="220" priority="65">
      <formula>ISEVEN($M52)</formula>
    </cfRule>
    <cfRule type="expression" dxfId="219" priority="66">
      <formula>ISODD($M52)</formula>
    </cfRule>
  </conditionalFormatting>
  <conditionalFormatting sqref="J52">
    <cfRule type="expression" dxfId="218" priority="67">
      <formula>ISEVEN($M52)</formula>
    </cfRule>
    <cfRule type="expression" dxfId="217" priority="68">
      <formula>ISODD($M52)</formula>
    </cfRule>
  </conditionalFormatting>
  <conditionalFormatting sqref="H52">
    <cfRule type="expression" dxfId="216" priority="57">
      <formula>ISEVEN($M52)</formula>
    </cfRule>
    <cfRule type="expression" dxfId="215" priority="58">
      <formula>ISODD($M52)</formula>
    </cfRule>
  </conditionalFormatting>
  <conditionalFormatting sqref="I52">
    <cfRule type="expression" dxfId="214" priority="55">
      <formula>ISEVEN($M52)</formula>
    </cfRule>
    <cfRule type="expression" dxfId="213" priority="56">
      <formula>ISODD($M52)</formula>
    </cfRule>
  </conditionalFormatting>
  <conditionalFormatting sqref="I52">
    <cfRule type="expression" dxfId="212" priority="53">
      <formula>ISEVEN($M52)</formula>
    </cfRule>
    <cfRule type="expression" dxfId="211" priority="54">
      <formula>ISODD($M52)</formula>
    </cfRule>
  </conditionalFormatting>
  <conditionalFormatting sqref="H52">
    <cfRule type="expression" dxfId="210" priority="59">
      <formula>ISEVEN($M52)</formula>
    </cfRule>
    <cfRule type="expression" dxfId="209" priority="60">
      <formula>ISODD($M52)</formula>
    </cfRule>
  </conditionalFormatting>
  <conditionalFormatting sqref="I52">
    <cfRule type="expression" dxfId="208" priority="49">
      <formula>ISEVEN($M52)</formula>
    </cfRule>
    <cfRule type="expression" dxfId="207" priority="50">
      <formula>ISODD($M52)</formula>
    </cfRule>
  </conditionalFormatting>
  <conditionalFormatting sqref="I52">
    <cfRule type="expression" dxfId="206" priority="51">
      <formula>ISEVEN($M52)</formula>
    </cfRule>
    <cfRule type="expression" dxfId="205" priority="52">
      <formula>ISODD($M52)</formula>
    </cfRule>
  </conditionalFormatting>
  <conditionalFormatting sqref="J5">
    <cfRule type="expression" dxfId="204" priority="47">
      <formula>ISEVEN($M5)</formula>
    </cfRule>
    <cfRule type="expression" dxfId="203" priority="48">
      <formula>ISODD($M5)</formula>
    </cfRule>
  </conditionalFormatting>
  <conditionalFormatting sqref="G4:I4">
    <cfRule type="expression" dxfId="202" priority="45">
      <formula>ISEVEN($M4)</formula>
    </cfRule>
    <cfRule type="expression" dxfId="201" priority="46">
      <formula>ISODD($M4)</formula>
    </cfRule>
  </conditionalFormatting>
  <conditionalFormatting sqref="BY53">
    <cfRule type="cellIs" dxfId="200" priority="44" operator="greaterThan">
      <formula>0</formula>
    </cfRule>
  </conditionalFormatting>
  <conditionalFormatting sqref="N53:P53">
    <cfRule type="expression" dxfId="199" priority="43" stopIfTrue="1">
      <formula>SUM($N53:$P53)=6</formula>
    </cfRule>
  </conditionalFormatting>
  <conditionalFormatting sqref="A53 K53:M53 C53:D53">
    <cfRule type="expression" dxfId="198" priority="41">
      <formula>ISEVEN($M53)</formula>
    </cfRule>
    <cfRule type="expression" dxfId="197" priority="42">
      <formula>ISODD($M53)</formula>
    </cfRule>
  </conditionalFormatting>
  <conditionalFormatting sqref="V53:BV53">
    <cfRule type="expression" dxfId="196" priority="39">
      <formula>ISEVEN($M53)</formula>
    </cfRule>
    <cfRule type="expression" dxfId="195" priority="40">
      <formula>ISODD($M53)</formula>
    </cfRule>
  </conditionalFormatting>
  <conditionalFormatting sqref="CG53">
    <cfRule type="cellIs" dxfId="194" priority="38" operator="notEqual">
      <formula>0</formula>
    </cfRule>
  </conditionalFormatting>
  <conditionalFormatting sqref="E53:G53">
    <cfRule type="expression" dxfId="193" priority="28">
      <formula>ISEVEN($M53)</formula>
    </cfRule>
    <cfRule type="expression" dxfId="192" priority="29">
      <formula>ISODD($M53)</formula>
    </cfRule>
  </conditionalFormatting>
  <conditionalFormatting sqref="E53:G53">
    <cfRule type="expression" dxfId="191" priority="36">
      <formula>ISEVEN($M53)</formula>
    </cfRule>
    <cfRule type="expression" dxfId="190" priority="37">
      <formula>ISODD($M53)</formula>
    </cfRule>
  </conditionalFormatting>
  <conditionalFormatting sqref="F53">
    <cfRule type="expression" dxfId="189" priority="34">
      <formula>ISEVEN($M53)</formula>
    </cfRule>
    <cfRule type="expression" dxfId="188" priority="35">
      <formula>ISODD($M53)</formula>
    </cfRule>
  </conditionalFormatting>
  <conditionalFormatting sqref="G53">
    <cfRule type="expression" dxfId="187" priority="32">
      <formula>ISEVEN($M53)</formula>
    </cfRule>
    <cfRule type="expression" dxfId="186" priority="33">
      <formula>ISODD($M53)</formula>
    </cfRule>
  </conditionalFormatting>
  <conditionalFormatting sqref="G53">
    <cfRule type="expression" dxfId="185" priority="30">
      <formula>ISEVEN($M53)</formula>
    </cfRule>
    <cfRule type="expression" dxfId="184" priority="31">
      <formula>ISODD($M53)</formula>
    </cfRule>
  </conditionalFormatting>
  <conditionalFormatting sqref="H53">
    <cfRule type="expression" dxfId="183" priority="22">
      <formula>ISEVEN($M53)</formula>
    </cfRule>
    <cfRule type="expression" dxfId="182" priority="23">
      <formula>ISODD($M53)</formula>
    </cfRule>
  </conditionalFormatting>
  <conditionalFormatting sqref="H53">
    <cfRule type="expression" dxfId="181" priority="20">
      <formula>ISEVEN($M53)</formula>
    </cfRule>
    <cfRule type="expression" dxfId="180" priority="21">
      <formula>ISODD($M53)</formula>
    </cfRule>
  </conditionalFormatting>
  <conditionalFormatting sqref="J53">
    <cfRule type="expression" dxfId="179" priority="24">
      <formula>ISEVEN($M53)</formula>
    </cfRule>
    <cfRule type="expression" dxfId="178" priority="25">
      <formula>ISODD($M53)</formula>
    </cfRule>
  </conditionalFormatting>
  <conditionalFormatting sqref="J53">
    <cfRule type="expression" dxfId="177" priority="26">
      <formula>ISEVEN($M53)</formula>
    </cfRule>
    <cfRule type="expression" dxfId="176" priority="27">
      <formula>ISODD($M53)</formula>
    </cfRule>
  </conditionalFormatting>
  <conditionalFormatting sqref="H53">
    <cfRule type="expression" dxfId="175" priority="16">
      <formula>ISEVEN($M53)</formula>
    </cfRule>
    <cfRule type="expression" dxfId="174" priority="17">
      <formula>ISODD($M53)</formula>
    </cfRule>
  </conditionalFormatting>
  <conditionalFormatting sqref="I53">
    <cfRule type="expression" dxfId="173" priority="14">
      <formula>ISEVEN($M53)</formula>
    </cfRule>
    <cfRule type="expression" dxfId="172" priority="15">
      <formula>ISODD($M53)</formula>
    </cfRule>
  </conditionalFormatting>
  <conditionalFormatting sqref="I53">
    <cfRule type="expression" dxfId="171" priority="12">
      <formula>ISEVEN($M53)</formula>
    </cfRule>
    <cfRule type="expression" dxfId="170" priority="13">
      <formula>ISODD($M53)</formula>
    </cfRule>
  </conditionalFormatting>
  <conditionalFormatting sqref="H53">
    <cfRule type="expression" dxfId="169" priority="18">
      <formula>ISEVEN($M53)</formula>
    </cfRule>
    <cfRule type="expression" dxfId="168" priority="19">
      <formula>ISODD($M53)</formula>
    </cfRule>
  </conditionalFormatting>
  <conditionalFormatting sqref="I53">
    <cfRule type="expression" dxfId="167" priority="8">
      <formula>ISEVEN($M53)</formula>
    </cfRule>
    <cfRule type="expression" dxfId="166" priority="9">
      <formula>ISODD($M53)</formula>
    </cfRule>
  </conditionalFormatting>
  <conditionalFormatting sqref="I53">
    <cfRule type="expression" dxfId="165" priority="10">
      <formula>ISEVEN($M53)</formula>
    </cfRule>
    <cfRule type="expression" dxfId="164" priority="11">
      <formula>ISODD($M53)</formula>
    </cfRule>
  </conditionalFormatting>
  <conditionalFormatting sqref="Q45:S45">
    <cfRule type="expression" dxfId="163" priority="7">
      <formula>SUM($Q37:$S37)=2</formula>
    </cfRule>
  </conditionalFormatting>
  <conditionalFormatting sqref="Q46:S46">
    <cfRule type="expression" dxfId="162" priority="6">
      <formula>SUM($Q38:$S38)=2</formula>
    </cfRule>
  </conditionalFormatting>
  <conditionalFormatting sqref="Q47:S47">
    <cfRule type="expression" dxfId="161" priority="5">
      <formula>SUM($Q39:$S39)=2</formula>
    </cfRule>
  </conditionalFormatting>
  <conditionalFormatting sqref="B4:B52">
    <cfRule type="expression" dxfId="160" priority="3">
      <formula>ISEVEN($M4)</formula>
    </cfRule>
    <cfRule type="expression" dxfId="159" priority="4">
      <formula>ISODD($M4)</formula>
    </cfRule>
  </conditionalFormatting>
  <conditionalFormatting sqref="B53">
    <cfRule type="expression" dxfId="158" priority="1">
      <formula>ISEVEN($M53)</formula>
    </cfRule>
    <cfRule type="expression" dxfId="157" priority="2">
      <formula>ISODD($M53)</formula>
    </cfRule>
  </conditionalFormatting>
  <printOptions gridLines="1"/>
  <pageMargins left="0.2" right="0.2" top="0.75" bottom="0.5" header="0.5" footer="0"/>
  <pageSetup paperSize="17" scale="80" pageOrder="overThenDown" orientation="landscape" r:id="rId5"/>
  <headerFooter alignWithMargins="0">
    <oddHeader xml:space="preserve">&amp;L2018 TSA Dual Meet Results&amp;CSouthern League&amp;R&amp;D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V424"/>
  <sheetViews>
    <sheetView tabSelected="1" zoomScale="85" zoomScaleNormal="85" zoomScaleSheetLayoutView="50" workbookViewId="0">
      <pane xSplit="21" ySplit="3" topLeftCell="V4" activePane="bottomRight" state="frozen"/>
      <selection activeCell="X14" sqref="X14"/>
      <selection pane="topRight" activeCell="X14" sqref="X14"/>
      <selection pane="bottomLeft" activeCell="X14" sqref="X14"/>
      <selection pane="bottomRight" activeCell="BJ41" sqref="A1:BJ41"/>
    </sheetView>
  </sheetViews>
  <sheetFormatPr defaultColWidth="9.140625" defaultRowHeight="12.75"/>
  <cols>
    <col min="1" max="2" width="5.5703125" style="15" customWidth="1"/>
    <col min="3" max="3" width="19" style="28" customWidth="1"/>
    <col min="4" max="4" width="1.28515625" style="28" hidden="1" customWidth="1"/>
    <col min="5" max="10" width="4.5703125" style="28" hidden="1" customWidth="1"/>
    <col min="11" max="11" width="7.7109375" style="28" hidden="1" customWidth="1"/>
    <col min="12" max="12" width="4.42578125" style="28" hidden="1" customWidth="1"/>
    <col min="13" max="13" width="1.7109375" style="21" hidden="1" customWidth="1"/>
    <col min="14" max="14" width="3.28515625" style="21" customWidth="1"/>
    <col min="15" max="17" width="3.28515625" style="2" customWidth="1"/>
    <col min="18" max="19" width="3.28515625" style="21" customWidth="1"/>
    <col min="20" max="20" width="3" style="21" customWidth="1"/>
    <col min="21" max="21" width="3.7109375" style="21" hidden="1" customWidth="1"/>
    <col min="22" max="57" width="4.5703125" style="21" customWidth="1"/>
    <col min="58" max="58" width="4.5703125" style="28" customWidth="1"/>
    <col min="59" max="62" width="4.5703125" style="21" customWidth="1"/>
    <col min="63" max="63" width="0" style="83" hidden="1" customWidth="1"/>
    <col min="64" max="69" width="0" style="22" hidden="1" customWidth="1"/>
    <col min="70" max="70" width="0" style="83" hidden="1" customWidth="1"/>
    <col min="71" max="71" width="0" style="22" hidden="1" customWidth="1"/>
    <col min="72" max="74" width="0" style="15" hidden="1" customWidth="1"/>
    <col min="75" max="16384" width="9.140625" style="22"/>
  </cols>
  <sheetData>
    <row r="1" spans="1:74" s="3" customFormat="1" ht="70.349999999999994" customHeight="1">
      <c r="A1" s="160">
        <f>BL44</f>
        <v>0</v>
      </c>
      <c r="C1" s="21">
        <f>SUM(V4:BJ41)+SUM(South!V4:BU52)</f>
        <v>0</v>
      </c>
      <c r="D1" s="21"/>
      <c r="E1" s="21"/>
      <c r="F1" s="171"/>
      <c r="G1" s="21"/>
      <c r="H1" s="21"/>
      <c r="I1" s="21"/>
      <c r="J1" s="21"/>
      <c r="K1" s="21"/>
      <c r="L1" s="21"/>
      <c r="N1" s="97">
        <v>6</v>
      </c>
      <c r="O1" s="192" t="s">
        <v>112</v>
      </c>
      <c r="P1" s="193"/>
      <c r="Q1" s="193"/>
      <c r="R1" s="193"/>
      <c r="S1" s="193"/>
      <c r="T1" s="193"/>
      <c r="U1" s="26"/>
      <c r="V1" s="5" t="s">
        <v>21</v>
      </c>
      <c r="W1" s="5" t="s">
        <v>96</v>
      </c>
      <c r="X1" s="5" t="s">
        <v>15</v>
      </c>
      <c r="Y1" s="5" t="s">
        <v>8</v>
      </c>
      <c r="Z1" s="5" t="s">
        <v>4</v>
      </c>
      <c r="AA1" s="5" t="s">
        <v>62</v>
      </c>
      <c r="AB1" s="5" t="s">
        <v>63</v>
      </c>
      <c r="AC1" s="5" t="s">
        <v>6</v>
      </c>
      <c r="AD1" s="5" t="s">
        <v>84</v>
      </c>
      <c r="AE1" s="5" t="s">
        <v>48</v>
      </c>
      <c r="AF1" s="5" t="s">
        <v>54</v>
      </c>
      <c r="AG1" s="5" t="s">
        <v>129</v>
      </c>
      <c r="AH1" s="5" t="s">
        <v>55</v>
      </c>
      <c r="AI1" s="5" t="s">
        <v>7</v>
      </c>
      <c r="AJ1" s="5" t="s">
        <v>49</v>
      </c>
      <c r="AK1" s="5" t="s">
        <v>9</v>
      </c>
      <c r="AL1" s="5" t="s">
        <v>50</v>
      </c>
      <c r="AM1" s="5" t="s">
        <v>57</v>
      </c>
      <c r="AN1" s="5" t="s">
        <v>53</v>
      </c>
      <c r="AO1" s="5" t="s">
        <v>5</v>
      </c>
      <c r="AP1" s="7" t="s">
        <v>56</v>
      </c>
      <c r="AQ1" s="5" t="s">
        <v>161</v>
      </c>
      <c r="AR1" s="5" t="s">
        <v>61</v>
      </c>
      <c r="AS1" s="5" t="s">
        <v>52</v>
      </c>
      <c r="AT1" s="5" t="s">
        <v>59</v>
      </c>
      <c r="AU1" s="5" t="s">
        <v>51</v>
      </c>
      <c r="AV1" s="5" t="s">
        <v>58</v>
      </c>
      <c r="AW1" s="5" t="s">
        <v>70</v>
      </c>
      <c r="AX1" s="5" t="s">
        <v>65</v>
      </c>
      <c r="AY1" s="5" t="s">
        <v>0</v>
      </c>
      <c r="AZ1" s="5" t="s">
        <v>86</v>
      </c>
      <c r="BA1" s="5" t="s">
        <v>64</v>
      </c>
      <c r="BB1" s="5" t="s">
        <v>67</v>
      </c>
      <c r="BC1" s="5" t="s">
        <v>1</v>
      </c>
      <c r="BD1" s="5" t="s">
        <v>66</v>
      </c>
      <c r="BE1" s="5" t="s">
        <v>85</v>
      </c>
      <c r="BF1" s="5" t="s">
        <v>60</v>
      </c>
      <c r="BG1" s="5" t="s">
        <v>106</v>
      </c>
      <c r="BH1" s="5" t="s">
        <v>128</v>
      </c>
      <c r="BI1" s="5" t="s">
        <v>118</v>
      </c>
      <c r="BJ1" s="5" t="s">
        <v>130</v>
      </c>
      <c r="BK1" s="82"/>
      <c r="BR1" s="82"/>
    </row>
    <row r="2" spans="1:74" ht="13.5" customHeight="1">
      <c r="A2" s="25">
        <v>2020</v>
      </c>
      <c r="B2" s="25">
        <v>2019</v>
      </c>
      <c r="C2" s="21"/>
      <c r="D2" s="21"/>
      <c r="E2" s="189" t="s">
        <v>131</v>
      </c>
      <c r="F2" s="190"/>
      <c r="G2" s="190"/>
      <c r="H2" s="190"/>
      <c r="I2" s="190"/>
      <c r="J2" s="191"/>
      <c r="K2" s="9"/>
      <c r="L2" s="2">
        <v>2020</v>
      </c>
      <c r="O2" s="186" t="s">
        <v>75</v>
      </c>
      <c r="P2" s="187"/>
      <c r="Q2" s="187"/>
      <c r="R2" s="186" t="s">
        <v>41</v>
      </c>
      <c r="S2" s="187"/>
      <c r="T2" s="188"/>
      <c r="V2" s="21" t="s">
        <v>68</v>
      </c>
      <c r="W2" s="21" t="s">
        <v>68</v>
      </c>
      <c r="X2" s="21" t="s">
        <v>68</v>
      </c>
      <c r="Y2" s="21">
        <v>1</v>
      </c>
      <c r="Z2" s="21">
        <v>1</v>
      </c>
      <c r="AA2" s="21">
        <v>1</v>
      </c>
      <c r="AB2" s="21">
        <v>1</v>
      </c>
      <c r="AC2" s="21">
        <v>2</v>
      </c>
      <c r="AD2" s="21">
        <v>2</v>
      </c>
      <c r="AE2" s="21">
        <v>2</v>
      </c>
      <c r="AF2" s="21">
        <v>2</v>
      </c>
      <c r="AG2" s="21">
        <v>3</v>
      </c>
      <c r="AH2" s="21">
        <v>3</v>
      </c>
      <c r="AI2" s="21">
        <v>3</v>
      </c>
      <c r="AJ2" s="21">
        <v>3</v>
      </c>
      <c r="AK2" s="21">
        <v>4</v>
      </c>
      <c r="AL2" s="21">
        <v>4</v>
      </c>
      <c r="AM2" s="21">
        <v>4</v>
      </c>
      <c r="AN2" s="21">
        <v>4</v>
      </c>
      <c r="AO2" s="21">
        <v>5</v>
      </c>
      <c r="AP2" s="21">
        <v>5</v>
      </c>
      <c r="AQ2" s="21">
        <v>5</v>
      </c>
      <c r="AR2" s="21">
        <v>5</v>
      </c>
      <c r="AS2" s="21">
        <v>6</v>
      </c>
      <c r="AT2" s="21">
        <v>6</v>
      </c>
      <c r="AU2" s="21">
        <v>6</v>
      </c>
      <c r="AV2" s="21">
        <v>6</v>
      </c>
      <c r="AW2" s="21">
        <v>7</v>
      </c>
      <c r="AX2" s="21">
        <v>7</v>
      </c>
      <c r="AY2" s="21">
        <v>7</v>
      </c>
      <c r="AZ2" s="21">
        <v>7</v>
      </c>
      <c r="BA2" s="21">
        <v>8</v>
      </c>
      <c r="BB2" s="21">
        <v>8</v>
      </c>
      <c r="BC2" s="21">
        <v>8</v>
      </c>
      <c r="BD2" s="21">
        <v>8</v>
      </c>
      <c r="BE2" s="21">
        <v>9</v>
      </c>
      <c r="BF2" s="21">
        <v>9</v>
      </c>
      <c r="BG2" s="21">
        <v>9</v>
      </c>
      <c r="BH2" s="21">
        <v>10</v>
      </c>
      <c r="BI2" s="21">
        <v>10</v>
      </c>
      <c r="BJ2" s="21">
        <v>10</v>
      </c>
      <c r="BL2" s="8" t="s">
        <v>107</v>
      </c>
      <c r="BM2" s="8" t="s">
        <v>107</v>
      </c>
      <c r="BN2" s="8" t="s">
        <v>107</v>
      </c>
      <c r="BO2" s="88"/>
    </row>
    <row r="3" spans="1:74" ht="13.5" customHeight="1" thickBot="1">
      <c r="A3" s="25" t="s">
        <v>43</v>
      </c>
      <c r="B3" s="25" t="s">
        <v>43</v>
      </c>
      <c r="C3" s="21"/>
      <c r="D3" s="21"/>
      <c r="E3" s="93" t="s">
        <v>119</v>
      </c>
      <c r="F3" s="93" t="s">
        <v>120</v>
      </c>
      <c r="G3" s="93" t="s">
        <v>121</v>
      </c>
      <c r="H3" s="93" t="s">
        <v>132</v>
      </c>
      <c r="I3" s="93" t="s">
        <v>133</v>
      </c>
      <c r="J3" s="93" t="s">
        <v>134</v>
      </c>
      <c r="K3" s="2"/>
      <c r="L3" s="2" t="s">
        <v>43</v>
      </c>
      <c r="N3" s="27" t="s">
        <v>69</v>
      </c>
      <c r="O3" s="10" t="s">
        <v>44</v>
      </c>
      <c r="P3" s="10" t="s">
        <v>45</v>
      </c>
      <c r="Q3" s="27" t="s">
        <v>46</v>
      </c>
      <c r="R3" s="27" t="s">
        <v>44</v>
      </c>
      <c r="S3" s="27" t="s">
        <v>45</v>
      </c>
      <c r="T3" s="27" t="s">
        <v>46</v>
      </c>
      <c r="U3" s="27" t="s">
        <v>47</v>
      </c>
      <c r="Y3" s="24"/>
      <c r="Z3" s="24"/>
      <c r="AA3" s="24"/>
      <c r="AB3" s="24"/>
      <c r="BL3" s="8" t="s">
        <v>108</v>
      </c>
      <c r="BM3" s="8" t="s">
        <v>109</v>
      </c>
      <c r="BN3" s="8" t="s">
        <v>110</v>
      </c>
      <c r="BO3" s="8" t="s">
        <v>111</v>
      </c>
      <c r="BT3" s="12" t="s">
        <v>124</v>
      </c>
      <c r="BU3" s="12" t="s">
        <v>125</v>
      </c>
      <c r="BV3" s="12" t="s">
        <v>126</v>
      </c>
    </row>
    <row r="4" spans="1:74" ht="13.5" customHeight="1">
      <c r="B4" s="15">
        <v>1</v>
      </c>
      <c r="C4" s="62" t="s">
        <v>8</v>
      </c>
      <c r="D4" s="62"/>
      <c r="E4" s="62"/>
      <c r="F4" s="8"/>
      <c r="G4" s="8"/>
      <c r="H4" s="8">
        <f>IF(AND(Z4&gt;0,$A4&lt;VLOOKUP(Z$1,$C:$L,10,FALSE)),1,IF(AND(Z4&lt;0,$A4&gt;VLOOKUP(Z$1,$C:$L,10,FALSE)),1,0))</f>
        <v>0</v>
      </c>
      <c r="I4" s="8">
        <f>IF(AND(AA4&gt;0,$A4&lt;VLOOKUP(AA$1,$C:$L,10,FALSE)),1,IF(AND(AA4&lt;0,$A4&gt;VLOOKUP(AA$1,$C:$L,10,FALSE)),1,0))</f>
        <v>0</v>
      </c>
      <c r="J4" s="8">
        <f>IF(AND(AB4&gt;0,$A4&lt;VLOOKUP(AB$1,$C:$L,10,FALSE)),1,IF(AND(AB4&lt;0,$A4&gt;VLOOKUP(AB$1,$C:$L,10,FALSE)),1,0))</f>
        <v>0</v>
      </c>
      <c r="K4" s="108" t="s">
        <v>135</v>
      </c>
      <c r="L4" s="94">
        <f t="shared" ref="L4:L41" si="0">A4</f>
        <v>0</v>
      </c>
      <c r="M4" s="14"/>
      <c r="N4" s="2">
        <v>1</v>
      </c>
      <c r="O4" s="17">
        <f t="shared" ref="O4:O32" si="1">COUNTIF($V4:$BI4,"&gt;0")</f>
        <v>4</v>
      </c>
      <c r="P4" s="2">
        <f t="shared" ref="P4:P32" si="2">COUNTIF($V4:$BI4,"&lt;0")</f>
        <v>2</v>
      </c>
      <c r="Q4" s="2">
        <f t="shared" ref="Q4:Q32" si="3">COUNTIF($V4:$BI4,"=0")</f>
        <v>0</v>
      </c>
      <c r="R4" s="18">
        <f>COUNTIF($Y4:$AB4,"&gt;0")</f>
        <v>1</v>
      </c>
      <c r="S4" s="19">
        <f>COUNTIF($Y4:$AB4,"&lt;0")</f>
        <v>2</v>
      </c>
      <c r="T4" s="20">
        <f>COUNTIF($Y4:$AB4,"=0")</f>
        <v>0</v>
      </c>
      <c r="U4" s="2">
        <f t="shared" ref="U4:U32" si="4">COUNTIF(V4:BI4,"NC")</f>
        <v>0</v>
      </c>
      <c r="V4" s="14">
        <f>IFERROR(IFERROR(VLOOKUP($C4&amp;" "&amp;V$1,Results!$G:$I,3,FALSE),-VLOOKUP($C4&amp;" "&amp;V$1,Results!$H:$I,2,FALSE)),"")</f>
        <v>38</v>
      </c>
      <c r="W4" s="14">
        <f>IFERROR(IFERROR(VLOOKUP($C4&amp;" "&amp;W$1,Results!$G:$I,3,FALSE),-VLOOKUP($C4&amp;" "&amp;W$1,Results!$H:$I,2,FALSE)),"")</f>
        <v>200</v>
      </c>
      <c r="X4" s="14">
        <f>IFERROR(IFERROR(VLOOKUP($C4&amp;" "&amp;X$1,Results!$G:$I,3,FALSE),-VLOOKUP($C4&amp;" "&amp;X$1,Results!$H:$I,2,FALSE)),"")</f>
        <v>109</v>
      </c>
      <c r="Y4" s="33" t="str">
        <f>IFERROR(IFERROR(VLOOKUP($C4&amp;" "&amp;Y$1,Results!$G:$I,3,FALSE),-VLOOKUP($C4&amp;" "&amp;Y$1,Results!$H:$I,2,FALSE)),"")</f>
        <v/>
      </c>
      <c r="Z4" s="64">
        <f>IFERROR(IFERROR(VLOOKUP($C4&amp;" "&amp;Z$1,Results!$G:$I,3,FALSE),-VLOOKUP($C4&amp;" "&amp;Z$1,Results!$H:$I,2,FALSE)),"")</f>
        <v>-67</v>
      </c>
      <c r="AA4" s="64">
        <f>IFERROR(IFERROR(VLOOKUP($C4&amp;" "&amp;AA$1,Results!$G:$I,3,FALSE),-VLOOKUP($C4&amp;" "&amp;AA$1,Results!$H:$I,2,FALSE)),"")</f>
        <v>195</v>
      </c>
      <c r="AB4" s="65">
        <f>IFERROR(IFERROR(VLOOKUP($C4&amp;" "&amp;AB$1,Results!$G:$I,3,FALSE),-VLOOKUP($C4&amp;" "&amp;AB$1,Results!$H:$I,2,FALSE)),"")</f>
        <v>-5</v>
      </c>
      <c r="AC4" s="14" t="str">
        <f>IFERROR(IFERROR(VLOOKUP($C4&amp;" "&amp;AC$1,Results!$G:$I,3,FALSE),-VLOOKUP($C4&amp;" "&amp;AC$1,Results!$H:$I,2,FALSE)),"")</f>
        <v/>
      </c>
      <c r="AD4" s="14" t="str">
        <f>IFERROR(IFERROR(VLOOKUP($C4&amp;" "&amp;AD$1,Results!$G:$I,3,FALSE),-VLOOKUP($C4&amp;" "&amp;AD$1,Results!$H:$I,2,FALSE)),"")</f>
        <v/>
      </c>
      <c r="AE4" s="14" t="str">
        <f>IFERROR(IFERROR(VLOOKUP($C4&amp;" "&amp;AE$1,Results!$G:$I,3,FALSE),-VLOOKUP($C4&amp;" "&amp;AE$1,Results!$H:$I,2,FALSE)),"")</f>
        <v/>
      </c>
      <c r="AF4" s="14" t="str">
        <f>IFERROR(IFERROR(VLOOKUP($C4&amp;" "&amp;AF$1,Results!$G:$I,3,FALSE),-VLOOKUP($C4&amp;" "&amp;AF$1,Results!$H:$I,2,FALSE)),"")</f>
        <v/>
      </c>
      <c r="AG4" s="14" t="str">
        <f>IFERROR(IFERROR(VLOOKUP($C4&amp;" "&amp;AG$1,Results!$G:$I,3,FALSE),-VLOOKUP($C4&amp;" "&amp;AG$1,Results!$H:$I,2,FALSE)),"")</f>
        <v/>
      </c>
      <c r="AH4" s="14" t="str">
        <f>IFERROR(IFERROR(VLOOKUP($C4&amp;" "&amp;AH$1,Results!$G:$I,3,FALSE),-VLOOKUP($C4&amp;" "&amp;AH$1,Results!$H:$I,2,FALSE)),"")</f>
        <v/>
      </c>
      <c r="AI4" s="14" t="str">
        <f>IFERROR(IFERROR(VLOOKUP($C4&amp;" "&amp;AI$1,Results!$G:$I,3,FALSE),-VLOOKUP($C4&amp;" "&amp;AI$1,Results!$H:$I,2,FALSE)),"")</f>
        <v/>
      </c>
      <c r="AJ4" s="14" t="str">
        <f>IFERROR(IFERROR(VLOOKUP($C4&amp;" "&amp;AJ$1,Results!$G:$I,3,FALSE),-VLOOKUP($C4&amp;" "&amp;AJ$1,Results!$H:$I,2,FALSE)),"")</f>
        <v/>
      </c>
      <c r="AK4" s="14" t="str">
        <f>IFERROR(IFERROR(VLOOKUP($C4&amp;" "&amp;AK$1,Results!$G:$I,3,FALSE),-VLOOKUP($C4&amp;" "&amp;AK$1,Results!$H:$I,2,FALSE)),"")</f>
        <v/>
      </c>
      <c r="AL4" s="14" t="str">
        <f>IFERROR(IFERROR(VLOOKUP($C4&amp;" "&amp;AL$1,Results!$G:$I,3,FALSE),-VLOOKUP($C4&amp;" "&amp;AL$1,Results!$H:$I,2,FALSE)),"")</f>
        <v/>
      </c>
      <c r="AM4" s="14" t="str">
        <f>IFERROR(IFERROR(VLOOKUP($C4&amp;" "&amp;AM$1,Results!$G:$I,3,FALSE),-VLOOKUP($C4&amp;" "&amp;AM$1,Results!$H:$I,2,FALSE)),"")</f>
        <v/>
      </c>
      <c r="AN4" s="14" t="str">
        <f>IFERROR(IFERROR(VLOOKUP($C4&amp;" "&amp;AN$1,Results!$G:$I,3,FALSE),-VLOOKUP($C4&amp;" "&amp;AN$1,Results!$H:$I,2,FALSE)),"")</f>
        <v/>
      </c>
      <c r="AO4" s="14" t="str">
        <f>IFERROR(IFERROR(VLOOKUP($C4&amp;" "&amp;AO$1,Results!$G:$I,3,FALSE),-VLOOKUP($C4&amp;" "&amp;AO$1,Results!$H:$I,2,FALSE)),"")</f>
        <v/>
      </c>
      <c r="AP4" s="14" t="str">
        <f>IFERROR(IFERROR(VLOOKUP($C4&amp;" "&amp;AP$1,Results!$G:$I,3,FALSE),-VLOOKUP($C4&amp;" "&amp;AP$1,Results!$H:$I,2,FALSE)),"")</f>
        <v/>
      </c>
      <c r="AQ4" s="14" t="str">
        <f>IFERROR(IFERROR(VLOOKUP($C4&amp;" "&amp;AQ$1,Results!$G:$I,3,FALSE),-VLOOKUP($C4&amp;" "&amp;AQ$1,Results!$H:$I,2,FALSE)),"")</f>
        <v/>
      </c>
      <c r="AR4" s="14" t="str">
        <f>IFERROR(IFERROR(VLOOKUP($C4&amp;" "&amp;AR$1,Results!$G:$I,3,FALSE),-VLOOKUP($C4&amp;" "&amp;AR$1,Results!$G:$I,2,FALSE)),"")</f>
        <v/>
      </c>
      <c r="AS4" s="14"/>
      <c r="AT4" s="14"/>
      <c r="AU4" s="14"/>
      <c r="AV4" s="14"/>
      <c r="AW4" s="29"/>
      <c r="AX4" s="29"/>
      <c r="AY4" s="14"/>
      <c r="AZ4" s="14"/>
      <c r="BA4" s="29"/>
      <c r="BB4" s="29"/>
      <c r="BC4" s="14"/>
      <c r="BD4" s="14"/>
      <c r="BE4" s="14"/>
      <c r="BF4" s="29"/>
      <c r="BG4" s="29"/>
      <c r="BH4" s="2"/>
      <c r="BI4" s="11"/>
      <c r="BJ4" s="11"/>
      <c r="BK4" s="84">
        <f t="shared" ref="BK4:BK40" si="5">SUM(V4:BI4)</f>
        <v>470</v>
      </c>
      <c r="BL4" s="15">
        <f>COUNTIF(E4:J4,1)</f>
        <v>0</v>
      </c>
      <c r="BM4" s="15">
        <f>COUNTIF(E4:J4,0)</f>
        <v>3</v>
      </c>
      <c r="BN4" s="15">
        <f>COUNT(E4:J4)</f>
        <v>3</v>
      </c>
      <c r="BO4" s="90">
        <f>+BL4/BN4</f>
        <v>0</v>
      </c>
      <c r="BR4" s="83">
        <f t="shared" ref="BR4:BR40" si="6">SUM(V4:BJ4)</f>
        <v>470</v>
      </c>
      <c r="BT4" s="15">
        <v>2</v>
      </c>
      <c r="BU4" s="15">
        <f t="shared" ref="BU4:BU41" si="7">A4</f>
        <v>0</v>
      </c>
      <c r="BV4" s="15">
        <f>+BT4-BU4</f>
        <v>2</v>
      </c>
    </row>
    <row r="5" spans="1:74" ht="13.5" customHeight="1">
      <c r="B5" s="15">
        <v>2</v>
      </c>
      <c r="C5" s="16" t="s">
        <v>4</v>
      </c>
      <c r="D5" s="16"/>
      <c r="E5" s="8"/>
      <c r="F5" s="8"/>
      <c r="G5" s="8">
        <f>IF(AND(Y5&gt;0,$A5&lt;VLOOKUP(Y$1,$C:$L,10,FALSE)),1,IF(AND(Y5&lt;0,$A5&gt;VLOOKUP(Y$1,$C:$L,10,FALSE)),1,0))</f>
        <v>0</v>
      </c>
      <c r="H5" s="8">
        <f>IF(AND(AA5&gt;0,$A5&lt;VLOOKUP(AA$1,$C:$L,10,FALSE)),1,IF(AND(AA5&lt;0,$A5&gt;VLOOKUP(AA$1,$C:$L,10,FALSE)),1,0))</f>
        <v>0</v>
      </c>
      <c r="I5" s="8">
        <f>IF(AND(AB5&gt;0,$A5&lt;VLOOKUP(AB$1,$C:$L,10,FALSE)),1,IF(AND(AB5&lt;0,$A5&gt;VLOOKUP(AB$1,$C:$L,10,FALSE)),1,0))</f>
        <v>0</v>
      </c>
      <c r="J5" s="8">
        <f>IF(AND(AC5&gt;0,$A5&lt;VLOOKUP(AC$1,$C:$L,10,FALSE)),1,IF(AND(AC5&lt;0,$A5&gt;VLOOKUP(AC$1,$C:$L,10,FALSE)),1,0))</f>
        <v>0</v>
      </c>
      <c r="K5" s="108" t="s">
        <v>135</v>
      </c>
      <c r="L5" s="94">
        <f t="shared" si="0"/>
        <v>0</v>
      </c>
      <c r="M5" s="14"/>
      <c r="N5" s="2">
        <v>1</v>
      </c>
      <c r="O5" s="17">
        <f t="shared" si="1"/>
        <v>5</v>
      </c>
      <c r="P5" s="2">
        <f t="shared" si="2"/>
        <v>1</v>
      </c>
      <c r="Q5" s="2">
        <f t="shared" si="3"/>
        <v>0</v>
      </c>
      <c r="R5" s="18">
        <f>COUNTIF($Y5:$AB5,"&gt;0")</f>
        <v>2</v>
      </c>
      <c r="S5" s="19">
        <f>COUNTIF($Y5:$AB5,"&lt;0")</f>
        <v>1</v>
      </c>
      <c r="T5" s="20">
        <f>COUNTIF($Y5:$AB5,"=0")</f>
        <v>0</v>
      </c>
      <c r="U5" s="2">
        <f t="shared" si="4"/>
        <v>0</v>
      </c>
      <c r="V5" s="14">
        <f>IFERROR(IFERROR(VLOOKUP($C5&amp;" "&amp;V$1,Results!$G:$I,3,FALSE),-VLOOKUP($C5&amp;" "&amp;V$1,Results!$H:$I,2,FALSE)),"")</f>
        <v>100</v>
      </c>
      <c r="W5" s="14">
        <f>IFERROR(IFERROR(VLOOKUP($C5&amp;" "&amp;W$1,Results!$G:$I,3,FALSE),-VLOOKUP($C5&amp;" "&amp;W$1,Results!$H:$I,2,FALSE)),"")</f>
        <v>124</v>
      </c>
      <c r="X5" s="2" t="str">
        <f>IFERROR(IFERROR(VLOOKUP($C5&amp;" "&amp;X$1,Results!$G:$I,3,FALSE),-VLOOKUP($C5&amp;" "&amp;X$1,Results!$H:$I,2,FALSE)),"")</f>
        <v/>
      </c>
      <c r="Y5" s="66">
        <f>IFERROR(IFERROR(VLOOKUP($C5&amp;" "&amp;Y$1,Results!$G:$I,3,FALSE),-VLOOKUP($C5&amp;" "&amp;Y$1,Results!$H:$I,2,FALSE)),"")</f>
        <v>67</v>
      </c>
      <c r="Z5" s="34" t="str">
        <f>IFERROR(IFERROR(VLOOKUP($C5&amp;" "&amp;Z$1,Results!$G:$I,3,FALSE),-VLOOKUP($C5&amp;" "&amp;Z$1,Results!$H:$I,2,FALSE)),"")</f>
        <v/>
      </c>
      <c r="AA5" s="34">
        <f>IFERROR(IFERROR(VLOOKUP($C5&amp;" "&amp;AA$1,Results!$G:$I,3,FALSE),-VLOOKUP($C5&amp;" "&amp;AA$1,Results!$H:$I,2,FALSE)),"")</f>
        <v>107</v>
      </c>
      <c r="AB5" s="67">
        <f>IFERROR(IFERROR(VLOOKUP($C5&amp;" "&amp;AB$1,Results!$G:$I,3,FALSE),-VLOOKUP($C5&amp;" "&amp;AB$1,Results!$H:$I,2,FALSE)),"")</f>
        <v>-48</v>
      </c>
      <c r="AC5" s="14">
        <f>IFERROR(IFERROR(VLOOKUP($C5&amp;" "&amp;AC$1,Results!$G:$I,3,FALSE),-VLOOKUP($C5&amp;" "&amp;AC$1,Results!$H:$I,2,FALSE)),"")</f>
        <v>140</v>
      </c>
      <c r="AD5" s="14" t="str">
        <f>IFERROR(IFERROR(VLOOKUP($C5&amp;" "&amp;AD$1,Results!$G:$I,3,FALSE),-VLOOKUP($C5&amp;" "&amp;AD$1,Results!$H:$I,2,FALSE)),"")</f>
        <v/>
      </c>
      <c r="AE5" s="14" t="str">
        <f>IFERROR(IFERROR(VLOOKUP($C5&amp;" "&amp;AE$1,Results!$G:$I,3,FALSE),-VLOOKUP($C5&amp;" "&amp;AE$1,Results!$H:$I,2,FALSE)),"")</f>
        <v/>
      </c>
      <c r="AF5" s="14" t="str">
        <f>IFERROR(IFERROR(VLOOKUP($C5&amp;" "&amp;AF$1,Results!$G:$I,3,FALSE),-VLOOKUP($C5&amp;" "&amp;AF$1,Results!$H:$I,2,FALSE)),"")</f>
        <v/>
      </c>
      <c r="AG5" s="14" t="str">
        <f>IFERROR(IFERROR(VLOOKUP($C5&amp;" "&amp;AG$1,Results!$G:$I,3,FALSE),-VLOOKUP($C5&amp;" "&amp;AG$1,Results!$H:$I,2,FALSE)),"")</f>
        <v/>
      </c>
      <c r="AH5" s="14" t="str">
        <f>IFERROR(IFERROR(VLOOKUP($C5&amp;" "&amp;AH$1,Results!$G:$I,3,FALSE),-VLOOKUP($C5&amp;" "&amp;AH$1,Results!$H:$I,2,FALSE)),"")</f>
        <v/>
      </c>
      <c r="AI5" s="14" t="str">
        <f>IFERROR(IFERROR(VLOOKUP($C5&amp;" "&amp;AI$1,Results!$G:$I,3,FALSE),-VLOOKUP($C5&amp;" "&amp;AI$1,Results!$H:$I,2,FALSE)),"")</f>
        <v/>
      </c>
      <c r="AJ5" s="14" t="str">
        <f>IFERROR(IFERROR(VLOOKUP($C5&amp;" "&amp;AJ$1,Results!$G:$I,3,FALSE),-VLOOKUP($C5&amp;" "&amp;AJ$1,Results!$H:$I,2,FALSE)),"")</f>
        <v/>
      </c>
      <c r="AK5" s="14" t="str">
        <f>IFERROR(IFERROR(VLOOKUP($C5&amp;" "&amp;AK$1,Results!$G:$I,3,FALSE),-VLOOKUP($C5&amp;" "&amp;AK$1,Results!$H:$I,2,FALSE)),"")</f>
        <v/>
      </c>
      <c r="AL5" s="14" t="str">
        <f>IFERROR(IFERROR(VLOOKUP($C5&amp;" "&amp;AL$1,Results!$G:$I,3,FALSE),-VLOOKUP($C5&amp;" "&amp;AL$1,Results!$H:$I,2,FALSE)),"")</f>
        <v/>
      </c>
      <c r="AM5" s="14" t="str">
        <f>IFERROR(IFERROR(VLOOKUP($C5&amp;" "&amp;AM$1,Results!$G:$I,3,FALSE),-VLOOKUP($C5&amp;" "&amp;AM$1,Results!$H:$I,2,FALSE)),"")</f>
        <v/>
      </c>
      <c r="AN5" s="14" t="str">
        <f>IFERROR(IFERROR(VLOOKUP($C5&amp;" "&amp;AN$1,Results!$G:$I,3,FALSE),-VLOOKUP($C5&amp;" "&amp;AN$1,Results!$H:$I,2,FALSE)),"")</f>
        <v/>
      </c>
      <c r="AO5" s="14" t="str">
        <f>IFERROR(IFERROR(VLOOKUP($C5&amp;" "&amp;AO$1,Results!$G:$I,3,FALSE),-VLOOKUP($C5&amp;" "&amp;AO$1,Results!$H:$I,2,FALSE)),"")</f>
        <v/>
      </c>
      <c r="AP5" s="14" t="str">
        <f>IFERROR(IFERROR(VLOOKUP($C5&amp;" "&amp;AP$1,Results!$G:$I,3,FALSE),-VLOOKUP($C5&amp;" "&amp;AP$1,Results!$H:$I,2,FALSE)),"")</f>
        <v/>
      </c>
      <c r="AQ5" s="14" t="str">
        <f>IFERROR(IFERROR(VLOOKUP($C5&amp;" "&amp;AQ$1,Results!$G:$I,3,FALSE),-VLOOKUP($C5&amp;" "&amp;AQ$1,Results!$H:$I,2,FALSE)),"")</f>
        <v/>
      </c>
      <c r="AR5" s="14"/>
      <c r="AS5" s="14"/>
      <c r="AT5" s="14"/>
      <c r="AU5" s="14"/>
      <c r="AV5" s="14"/>
      <c r="AW5" s="29"/>
      <c r="AX5" s="29"/>
      <c r="AY5" s="14"/>
      <c r="AZ5" s="14"/>
      <c r="BA5" s="29"/>
      <c r="BB5" s="29"/>
      <c r="BC5" s="14"/>
      <c r="BD5" s="14"/>
      <c r="BE5" s="14"/>
      <c r="BF5" s="29"/>
      <c r="BG5" s="29"/>
      <c r="BH5" s="2"/>
      <c r="BI5" s="11"/>
      <c r="BJ5" s="11"/>
      <c r="BK5" s="84">
        <f t="shared" si="5"/>
        <v>490</v>
      </c>
      <c r="BL5" s="15">
        <f>COUNTIF(E5:J5,1)</f>
        <v>0</v>
      </c>
      <c r="BM5" s="15">
        <f>COUNTIF(E5:J5,0)</f>
        <v>4</v>
      </c>
      <c r="BN5" s="15">
        <f>COUNT(E5:J5)</f>
        <v>4</v>
      </c>
      <c r="BO5" s="90">
        <f t="shared" ref="BO5:BO40" si="8">+BL5/BN5</f>
        <v>0</v>
      </c>
      <c r="BR5" s="83">
        <f t="shared" si="6"/>
        <v>490</v>
      </c>
      <c r="BT5" s="15">
        <v>1</v>
      </c>
      <c r="BU5" s="15">
        <f t="shared" si="7"/>
        <v>0</v>
      </c>
      <c r="BV5" s="15">
        <f t="shared" ref="BV5:BV40" si="9">+BT5-BU5</f>
        <v>1</v>
      </c>
    </row>
    <row r="6" spans="1:74" ht="13.5" customHeight="1">
      <c r="B6" s="15">
        <v>3</v>
      </c>
      <c r="C6" s="16" t="s">
        <v>62</v>
      </c>
      <c r="D6" s="16"/>
      <c r="E6" s="8"/>
      <c r="F6" s="8">
        <f>IF(AND(Y6&gt;0,$A6&lt;VLOOKUP(Y$1,$C:$L,10,FALSE)),1,IF(AND(Y6&lt;0,$A6&gt;VLOOKUP(Y$1,$C:$L,10,FALSE)),1,0))</f>
        <v>0</v>
      </c>
      <c r="G6" s="8">
        <f>IF(AND(Z6&gt;0,$A6&lt;VLOOKUP(Z$1,$C:$L,10,FALSE)),1,IF(AND(Z6&lt;0,$A6&gt;VLOOKUP(Z$1,$C:$L,10,FALSE)),1,0))</f>
        <v>0</v>
      </c>
      <c r="H6" s="8">
        <f>IF(AND(AB6&gt;0,$A6&lt;VLOOKUP(AB$1,$C:$L,10,FALSE)),1,IF(AND(AB6&lt;0,$A6&gt;VLOOKUP(AB$1,$C:$L,10,FALSE)),1,0))</f>
        <v>0</v>
      </c>
      <c r="I6" s="8">
        <f>IF(AND(AC6&gt;0,$A6&lt;VLOOKUP(AC$1,$C:$L,10,FALSE)),1,IF(AND(AC6&lt;0,$A6&gt;VLOOKUP(AC$1,$C:$L,10,FALSE)),1,0))</f>
        <v>0</v>
      </c>
      <c r="J6" s="8">
        <f>IF(AND(AD6&gt;0,$A6&lt;VLOOKUP(AD$1,$C:$L,10,FALSE)),1,IF(AND(AD6&lt;0,$A6&gt;VLOOKUP(AD$1,$C:$L,10,FALSE)),1,0))</f>
        <v>0</v>
      </c>
      <c r="K6" s="108" t="s">
        <v>135</v>
      </c>
      <c r="L6" s="94">
        <f t="shared" si="0"/>
        <v>0</v>
      </c>
      <c r="M6" s="14"/>
      <c r="N6" s="2">
        <v>1</v>
      </c>
      <c r="O6" s="17">
        <f t="shared" si="1"/>
        <v>2</v>
      </c>
      <c r="P6" s="2">
        <f t="shared" si="2"/>
        <v>4</v>
      </c>
      <c r="Q6" s="2">
        <f t="shared" si="3"/>
        <v>0</v>
      </c>
      <c r="R6" s="18">
        <f>COUNTIF($Y6:$AB6,"&gt;0")</f>
        <v>0</v>
      </c>
      <c r="S6" s="19">
        <f>COUNTIF($Y6:$AB6,"&lt;0")</f>
        <v>3</v>
      </c>
      <c r="T6" s="20">
        <f>COUNTIF($Y6:$AB6,"=0")</f>
        <v>0</v>
      </c>
      <c r="U6" s="2">
        <f t="shared" si="4"/>
        <v>0</v>
      </c>
      <c r="V6" s="14">
        <f>IFERROR(IFERROR(VLOOKUP($C6&amp;" "&amp;V$1,Results!$G:$I,3,FALSE),-VLOOKUP($C6&amp;" "&amp;V$1,Results!$H:$I,2,FALSE)),"")</f>
        <v>-58</v>
      </c>
      <c r="W6" s="2" t="str">
        <f>IFERROR(IFERROR(VLOOKUP($C6&amp;" "&amp;W$1,Results!$G:$I,3,FALSE),-VLOOKUP($C6&amp;" "&amp;W$1,Results!$H:$I,2,FALSE)),"")</f>
        <v/>
      </c>
      <c r="X6" s="2" t="str">
        <f>IFERROR(IFERROR(VLOOKUP($C6&amp;" "&amp;X$1,Results!$G:$I,3,FALSE),-VLOOKUP($C6&amp;" "&amp;X$1,Results!$H:$I,2,FALSE)),"")</f>
        <v/>
      </c>
      <c r="Y6" s="66">
        <f>IFERROR(IFERROR(VLOOKUP($C6&amp;" "&amp;Y$1,Results!$G:$I,3,FALSE),-VLOOKUP($C6&amp;" "&amp;Y$1,Results!$H:$I,2,FALSE)),"")</f>
        <v>-195</v>
      </c>
      <c r="Z6" s="34">
        <f>IFERROR(IFERROR(VLOOKUP($C6&amp;" "&amp;Z$1,Results!$G:$I,3,FALSE),-VLOOKUP($C6&amp;" "&amp;Z$1,Results!$H:$I,2,FALSE)),"")</f>
        <v>-107</v>
      </c>
      <c r="AA6" s="34" t="str">
        <f>IFERROR(IFERROR(VLOOKUP($C6&amp;" "&amp;AA$1,Results!$G:$I,3,FALSE),-VLOOKUP($C6&amp;" "&amp;AA$1,Results!$H:$I,2,FALSE)),"")</f>
        <v/>
      </c>
      <c r="AB6" s="67">
        <f>IFERROR(IFERROR(VLOOKUP($C6&amp;" "&amp;AB$1,Results!$G:$I,3,FALSE),-VLOOKUP($C6&amp;" "&amp;AB$1,Results!$H:$I,2,FALSE)),"")</f>
        <v>-161</v>
      </c>
      <c r="AC6" s="14">
        <f>IFERROR(IFERROR(VLOOKUP($C6&amp;" "&amp;AC$1,Results!$G:$I,3,FALSE),-VLOOKUP($C6&amp;" "&amp;AC$1,Results!$H:$I,2,FALSE)),"")</f>
        <v>74</v>
      </c>
      <c r="AD6" s="14">
        <f>IFERROR(IFERROR(VLOOKUP($C6&amp;" "&amp;AD$1,Results!$G:$I,3,FALSE),-VLOOKUP($C6&amp;" "&amp;AD$1,Results!$H:$I,2,FALSE)),"")</f>
        <v>26</v>
      </c>
      <c r="AE6" s="14" t="str">
        <f>IFERROR(IFERROR(VLOOKUP($C6&amp;" "&amp;AE$1,Results!$G:$I,3,FALSE),-VLOOKUP($C6&amp;" "&amp;AE$1,Results!$H:$I,2,FALSE)),"")</f>
        <v/>
      </c>
      <c r="AF6" s="14" t="str">
        <f>IFERROR(IFERROR(VLOOKUP($C6&amp;" "&amp;AF$1,Results!$G:$I,3,FALSE),-VLOOKUP($C6&amp;" "&amp;AF$1,Results!$H:$I,2,FALSE)),"")</f>
        <v/>
      </c>
      <c r="AG6" s="14" t="str">
        <f>IFERROR(IFERROR(VLOOKUP($C6&amp;" "&amp;AG$1,Results!$G:$I,3,FALSE),-VLOOKUP($C6&amp;" "&amp;AG$1,Results!$H:$I,2,FALSE)),"")</f>
        <v/>
      </c>
      <c r="AH6" s="14" t="str">
        <f>IFERROR(IFERROR(VLOOKUP($C6&amp;" "&amp;AH$1,Results!$G:$I,3,FALSE),-VLOOKUP($C6&amp;" "&amp;AH$1,Results!$H:$I,2,FALSE)),"")</f>
        <v/>
      </c>
      <c r="AI6" s="14" t="str">
        <f>IFERROR(IFERROR(VLOOKUP($C6&amp;" "&amp;AI$1,Results!$G:$I,3,FALSE),-VLOOKUP($C6&amp;" "&amp;AI$1,Results!$H:$I,2,FALSE)),"")</f>
        <v/>
      </c>
      <c r="AJ6" s="14" t="str">
        <f>IFERROR(IFERROR(VLOOKUP($C6&amp;" "&amp;AJ$1,Results!$G:$I,3,FALSE),-VLOOKUP($C6&amp;" "&amp;AJ$1,Results!$H:$I,2,FALSE)),"")</f>
        <v/>
      </c>
      <c r="AK6" s="14" t="str">
        <f>IFERROR(IFERROR(VLOOKUP($C6&amp;" "&amp;AK$1,Results!$G:$I,3,FALSE),-VLOOKUP($C6&amp;" "&amp;AK$1,Results!$H:$I,2,FALSE)),"")</f>
        <v/>
      </c>
      <c r="AL6" s="14" t="str">
        <f>IFERROR(IFERROR(VLOOKUP($C6&amp;" "&amp;AL$1,Results!$G:$I,3,FALSE),-VLOOKUP($C6&amp;" "&amp;AL$1,Results!$H:$I,2,FALSE)),"")</f>
        <v/>
      </c>
      <c r="AM6" s="14" t="str">
        <f>IFERROR(IFERROR(VLOOKUP($C6&amp;" "&amp;AM$1,Results!$G:$I,3,FALSE),-VLOOKUP($C6&amp;" "&amp;AM$1,Results!$H:$I,2,FALSE)),"")</f>
        <v/>
      </c>
      <c r="AN6" s="14" t="str">
        <f>IFERROR(IFERROR(VLOOKUP($C6&amp;" "&amp;AN$1,Results!$G:$I,3,FALSE),-VLOOKUP($C6&amp;" "&amp;AN$1,Results!$H:$I,2,FALSE)),"")</f>
        <v/>
      </c>
      <c r="AO6" s="14" t="str">
        <f>IFERROR(IFERROR(VLOOKUP($C6&amp;" "&amp;AO$1,Results!$G:$I,3,FALSE),-VLOOKUP($C6&amp;" "&amp;AO$1,Results!$H:$I,2,FALSE)),"")</f>
        <v/>
      </c>
      <c r="AP6" s="14" t="str">
        <f>IFERROR(IFERROR(VLOOKUP($C6&amp;" "&amp;AP$1,Results!$G:$I,3,FALSE),-VLOOKUP($C6&amp;" "&amp;AP$1,Results!$H:$I,2,FALSE)),"")</f>
        <v/>
      </c>
      <c r="AQ6" s="14" t="str">
        <f>IFERROR(IFERROR(VLOOKUP($C6&amp;" "&amp;AQ$1,Results!$G:$I,3,FALSE),-VLOOKUP($C6&amp;" "&amp;AQ$1,Results!$H:$I,2,FALSE)),"")</f>
        <v/>
      </c>
      <c r="AR6" s="14"/>
      <c r="AS6" s="14"/>
      <c r="AT6" s="14"/>
      <c r="AU6" s="14"/>
      <c r="AV6" s="14"/>
      <c r="AW6" s="29"/>
      <c r="AX6" s="29"/>
      <c r="AY6" s="14"/>
      <c r="AZ6" s="14"/>
      <c r="BA6" s="29"/>
      <c r="BB6" s="29"/>
      <c r="BC6" s="14"/>
      <c r="BD6" s="14"/>
      <c r="BE6" s="14"/>
      <c r="BF6" s="29"/>
      <c r="BG6" s="29"/>
      <c r="BH6" s="2"/>
      <c r="BI6" s="11"/>
      <c r="BJ6" s="11"/>
      <c r="BK6" s="84">
        <f t="shared" si="5"/>
        <v>-421</v>
      </c>
      <c r="BL6" s="15">
        <f>COUNTIF(G6:J6,1)</f>
        <v>0</v>
      </c>
      <c r="BM6" s="15">
        <f>COUNTIF(G6:J6,0)</f>
        <v>4</v>
      </c>
      <c r="BN6" s="15">
        <f>COUNT(G6:J6)</f>
        <v>4</v>
      </c>
      <c r="BO6" s="90">
        <f t="shared" si="8"/>
        <v>0</v>
      </c>
      <c r="BR6" s="83">
        <f t="shared" si="6"/>
        <v>-421</v>
      </c>
      <c r="BT6" s="15">
        <v>8</v>
      </c>
      <c r="BU6" s="15">
        <f t="shared" si="7"/>
        <v>0</v>
      </c>
      <c r="BV6" s="15">
        <f t="shared" si="9"/>
        <v>8</v>
      </c>
    </row>
    <row r="7" spans="1:74" ht="13.5" customHeight="1" thickBot="1">
      <c r="B7" s="15">
        <v>4</v>
      </c>
      <c r="C7" s="16" t="s">
        <v>63</v>
      </c>
      <c r="D7" s="62"/>
      <c r="E7" s="8">
        <f>IF(AND(Y7&gt;0,$A7&lt;VLOOKUP(Y$1,$C:$L,10,FALSE)),1,IF(AND(Y7&lt;0,$A7&gt;VLOOKUP(Y$1,$C:$L,10,FALSE)),1,0))</f>
        <v>0</v>
      </c>
      <c r="F7" s="8">
        <f>IF(AND(Z7&gt;0,$A7&lt;VLOOKUP(Z$1,$C:$L,10,FALSE)),1,IF(AND(Z7&lt;0,$A7&gt;VLOOKUP(Z$1,$C:$L,10,FALSE)),1,0))</f>
        <v>0</v>
      </c>
      <c r="G7" s="8">
        <f>IF(AND(AA7&gt;0,$A7&lt;VLOOKUP(AA$1,$C:$L,10,FALSE)),1,IF(AND(AA7&lt;0,$A7&gt;VLOOKUP(AA$1,$C:$L,10,FALSE)),1,0))</f>
        <v>0</v>
      </c>
      <c r="H7" s="8">
        <f>IF(AND(AC7&gt;0,$A7&lt;VLOOKUP(AC$1,$C:$L,10,FALSE)),1,IF(AND(AC7&lt;0,$A7&gt;VLOOKUP(AC$1,$C:$L,10,FALSE)),1,0))</f>
        <v>0</v>
      </c>
      <c r="I7" s="8">
        <f>IF(AND(AD7&gt;0,$A7&lt;VLOOKUP(AD$1,$C:$L,10,FALSE)),1,IF(AND(AD7&lt;0,$A7&gt;VLOOKUP(AD$1,$C:$L,10,FALSE)),1,0))</f>
        <v>0</v>
      </c>
      <c r="J7" s="8">
        <f>IF(AND(AE7&gt;0,$A7&lt;VLOOKUP(AE$1,$C:$L,10,FALSE)),1,IF(AND(AE7&lt;0,$A7&gt;VLOOKUP(AE$1,$C:$L,10,FALSE)),1,0))</f>
        <v>0</v>
      </c>
      <c r="K7" s="108" t="s">
        <v>135</v>
      </c>
      <c r="L7" s="94">
        <f t="shared" si="0"/>
        <v>0</v>
      </c>
      <c r="M7" s="14"/>
      <c r="N7" s="2">
        <v>1</v>
      </c>
      <c r="O7" s="17">
        <f t="shared" si="1"/>
        <v>6</v>
      </c>
      <c r="P7" s="2">
        <f t="shared" si="2"/>
        <v>0</v>
      </c>
      <c r="Q7" s="2">
        <f t="shared" si="3"/>
        <v>0</v>
      </c>
      <c r="R7" s="18">
        <f>COUNTIF($Y7:$AB7,"&gt;0")</f>
        <v>3</v>
      </c>
      <c r="S7" s="19">
        <f>COUNTIF($Y7:$AB7,"&lt;0")</f>
        <v>0</v>
      </c>
      <c r="T7" s="20">
        <f>COUNTIF($Y7:$AB7,"=0")</f>
        <v>0</v>
      </c>
      <c r="U7" s="2">
        <f t="shared" si="4"/>
        <v>0</v>
      </c>
      <c r="V7" s="2" t="str">
        <f>IFERROR(IFERROR(VLOOKUP($C7&amp;" "&amp;V$1,Results!$G:$I,3,FALSE),-VLOOKUP($C7&amp;" "&amp;V$1,Results!$H:$I,2,FALSE)),"")</f>
        <v/>
      </c>
      <c r="W7" s="2" t="str">
        <f>IFERROR(IFERROR(VLOOKUP($C7&amp;" "&amp;W$1,Results!$G:$I,3,FALSE),-VLOOKUP($C7&amp;" "&amp;W$1,Results!$H:$I,2,FALSE)),"")</f>
        <v/>
      </c>
      <c r="X7" s="2" t="str">
        <f>IFERROR(IFERROR(VLOOKUP($C7&amp;" "&amp;X$1,Results!$G:$I,3,FALSE),-VLOOKUP($C7&amp;" "&amp;X$1,Results!$H:$I,2,FALSE)),"")</f>
        <v/>
      </c>
      <c r="Y7" s="68">
        <f>IFERROR(IFERROR(VLOOKUP($C7&amp;" "&amp;Y$1,Results!$G:$I,3,FALSE),-VLOOKUP($C7&amp;" "&amp;Y$1,Results!$H:$I,2,FALSE)),"")</f>
        <v>5</v>
      </c>
      <c r="Z7" s="69">
        <f>IFERROR(IFERROR(VLOOKUP($C7&amp;" "&amp;Z$1,Results!$G:$I,3,FALSE),-VLOOKUP($C7&amp;" "&amp;Z$1,Results!$H:$I,2,FALSE)),"")</f>
        <v>48</v>
      </c>
      <c r="AA7" s="69">
        <f>IFERROR(IFERROR(VLOOKUP($C7&amp;" "&amp;AA$1,Results!$G:$I,3,FALSE),-VLOOKUP($C7&amp;" "&amp;AA$1,Results!$H:$I,2,FALSE)),"")</f>
        <v>161</v>
      </c>
      <c r="AB7" s="35" t="str">
        <f>IFERROR(IFERROR(VLOOKUP($C7&amp;" "&amp;AB$1,Results!$G:$I,3,FALSE),-VLOOKUP($C7&amp;" "&amp;AB$1,Results!$H:$I,2,FALSE)),"")</f>
        <v/>
      </c>
      <c r="AC7" s="14">
        <f>IFERROR(IFERROR(VLOOKUP($C7&amp;" "&amp;AC$1,Results!$G:$I,3,FALSE),-VLOOKUP($C7&amp;" "&amp;AC$1,Results!$H:$I,2,FALSE)),"")</f>
        <v>204</v>
      </c>
      <c r="AD7" s="14">
        <f>IFERROR(IFERROR(VLOOKUP($C7&amp;" "&amp;AD$1,Results!$G:$I,3,FALSE),-VLOOKUP($C7&amp;" "&amp;AD$1,Results!$H:$I,2,FALSE)),"")</f>
        <v>200</v>
      </c>
      <c r="AE7" s="14">
        <f>IFERROR(IFERROR(VLOOKUP($C7&amp;" "&amp;AE$1,Results!$G:$I,3,FALSE),-VLOOKUP($C7&amp;" "&amp;AE$1,Results!$H:$I,2,FALSE)),"")</f>
        <v>230</v>
      </c>
      <c r="AF7" s="14" t="str">
        <f>IFERROR(IFERROR(VLOOKUP($C7&amp;" "&amp;AF$1,Results!$G:$I,3,FALSE),-VLOOKUP($C7&amp;" "&amp;AF$1,Results!$H:$I,2,FALSE)),"")</f>
        <v/>
      </c>
      <c r="AG7" s="14" t="str">
        <f>IFERROR(IFERROR(VLOOKUP($C7&amp;" "&amp;AG$1,Results!$G:$I,3,FALSE),-VLOOKUP($C7&amp;" "&amp;AG$1,Results!$H:$I,2,FALSE)),"")</f>
        <v/>
      </c>
      <c r="AH7" s="14" t="str">
        <f>IFERROR(IFERROR(VLOOKUP($C7&amp;" "&amp;AH$1,Results!$G:$I,3,FALSE),-VLOOKUP($C7&amp;" "&amp;AH$1,Results!$H:$I,2,FALSE)),"")</f>
        <v/>
      </c>
      <c r="AI7" s="14" t="str">
        <f>IFERROR(IFERROR(VLOOKUP($C7&amp;" "&amp;AI$1,Results!$G:$I,3,FALSE),-VLOOKUP($C7&amp;" "&amp;AI$1,Results!$H:$I,2,FALSE)),"")</f>
        <v/>
      </c>
      <c r="AJ7" s="14" t="str">
        <f>IFERROR(IFERROR(VLOOKUP($C7&amp;" "&amp;AJ$1,Results!$G:$I,3,FALSE),-VLOOKUP($C7&amp;" "&amp;AJ$1,Results!$H:$I,2,FALSE)),"")</f>
        <v/>
      </c>
      <c r="AK7" s="14" t="str">
        <f>IFERROR(IFERROR(VLOOKUP($C7&amp;" "&amp;AK$1,Results!$G:$I,3,FALSE),-VLOOKUP($C7&amp;" "&amp;AK$1,Results!$H:$I,2,FALSE)),"")</f>
        <v/>
      </c>
      <c r="AL7" s="14" t="str">
        <f>IFERROR(IFERROR(VLOOKUP($C7&amp;" "&amp;AL$1,Results!$G:$I,3,FALSE),-VLOOKUP($C7&amp;" "&amp;AL$1,Results!$H:$I,2,FALSE)),"")</f>
        <v/>
      </c>
      <c r="AM7" s="14" t="str">
        <f>IFERROR(IFERROR(VLOOKUP($C7&amp;" "&amp;AM$1,Results!$G:$I,3,FALSE),-VLOOKUP($C7&amp;" "&amp;AM$1,Results!$H:$I,2,FALSE)),"")</f>
        <v/>
      </c>
      <c r="AN7" s="14" t="str">
        <f>IFERROR(IFERROR(VLOOKUP($C7&amp;" "&amp;AN$1,Results!$G:$I,3,FALSE),-VLOOKUP($C7&amp;" "&amp;AN$1,Results!$H:$I,2,FALSE)),"")</f>
        <v/>
      </c>
      <c r="AO7" s="14" t="str">
        <f>IFERROR(IFERROR(VLOOKUP($C7&amp;" "&amp;AO$1,Results!$G:$I,3,FALSE),-VLOOKUP($C7&amp;" "&amp;AO$1,Results!$H:$I,2,FALSE)),"")</f>
        <v/>
      </c>
      <c r="AP7" s="14" t="str">
        <f>IFERROR(IFERROR(VLOOKUP($C7&amp;" "&amp;AP$1,Results!$G:$I,3,FALSE),-VLOOKUP($C7&amp;" "&amp;AP$1,Results!$H:$I,2,FALSE)),"")</f>
        <v/>
      </c>
      <c r="AQ7" s="14" t="str">
        <f>IFERROR(IFERROR(VLOOKUP($C7&amp;" "&amp;AQ$1,Results!$G:$I,3,FALSE),-VLOOKUP($C7&amp;" "&amp;AQ$1,Results!$H:$I,2,FALSE)),"")</f>
        <v/>
      </c>
      <c r="AR7" s="14"/>
      <c r="AS7" s="14"/>
      <c r="AT7" s="14"/>
      <c r="AU7" s="14"/>
      <c r="AV7" s="14"/>
      <c r="AW7" s="29"/>
      <c r="AX7" s="29"/>
      <c r="AY7" s="14"/>
      <c r="AZ7" s="14"/>
      <c r="BA7" s="29"/>
      <c r="BB7" s="29"/>
      <c r="BC7" s="14"/>
      <c r="BD7" s="14"/>
      <c r="BE7" s="14"/>
      <c r="BF7" s="29"/>
      <c r="BG7" s="29"/>
      <c r="BH7" s="2"/>
      <c r="BI7" s="11"/>
      <c r="BJ7" s="11"/>
      <c r="BK7" s="84">
        <f t="shared" si="5"/>
        <v>848</v>
      </c>
      <c r="BL7" s="15">
        <f>COUNTIF(E7:J7,1)</f>
        <v>0</v>
      </c>
      <c r="BM7" s="15">
        <f>COUNTIF(E7:J7,0)</f>
        <v>6</v>
      </c>
      <c r="BN7" s="15">
        <f>COUNT(E7:J7)</f>
        <v>6</v>
      </c>
      <c r="BO7" s="90">
        <f t="shared" si="8"/>
        <v>0</v>
      </c>
      <c r="BR7" s="83">
        <f t="shared" si="6"/>
        <v>848</v>
      </c>
      <c r="BT7" s="15">
        <v>3</v>
      </c>
      <c r="BU7" s="15">
        <f t="shared" si="7"/>
        <v>0</v>
      </c>
      <c r="BV7" s="15">
        <f t="shared" si="9"/>
        <v>3</v>
      </c>
    </row>
    <row r="8" spans="1:74" ht="13.5" customHeight="1">
      <c r="B8" s="15">
        <v>5</v>
      </c>
      <c r="C8" s="62" t="s">
        <v>6</v>
      </c>
      <c r="D8" s="62"/>
      <c r="E8" s="8">
        <f>IF(AND(Z8&gt;0,$A8&lt;VLOOKUP(Z$1,$C:$L,10,FALSE)),1,IF(AND(Z8&lt;0,$A8&gt;VLOOKUP(Z$1,$C:$L,10,FALSE)),1,0))</f>
        <v>0</v>
      </c>
      <c r="F8" s="8">
        <f>IF(AND(AA8&gt;0,$A8&lt;VLOOKUP(AA$1,$C:$L,10,FALSE)),1,IF(AND(AA8&lt;0,$A8&gt;VLOOKUP(AA$1,$C:$L,10,FALSE)),1,0))</f>
        <v>0</v>
      </c>
      <c r="G8" s="8">
        <f>IF(AND(AB8&gt;0,$A8&lt;VLOOKUP(AB$1,$C:$L,10,FALSE)),1,IF(AND(AB8&lt;0,$A8&gt;VLOOKUP(AB$1,$C:$L,10,FALSE)),1,0))</f>
        <v>0</v>
      </c>
      <c r="H8" s="8">
        <f>IF(AND(AD8&gt;0,$A8&lt;VLOOKUP(AD$1,$C:$L,10,FALSE)),1,IF(AND(AD8&lt;0,$A8&gt;VLOOKUP(AD$1,$C:$L,10,FALSE)),1,0))</f>
        <v>0</v>
      </c>
      <c r="I8" s="8">
        <f>IF(AND(AE8&gt;0,$A8&lt;VLOOKUP(AE$1,$C:$L,10,FALSE)),1,IF(AND(AE8&lt;0,$A8&gt;VLOOKUP(AE$1,$C:$L,10,FALSE)),1,0))</f>
        <v>0</v>
      </c>
      <c r="J8" s="8">
        <f>IF(AND(AF8&gt;0,$A8&lt;VLOOKUP(AF$1,$C:$L,10,FALSE)),1,IF(AND(AF8&lt;0,$A8&gt;VLOOKUP(AF$1,$C:$L,10,FALSE)),1,0))</f>
        <v>0</v>
      </c>
      <c r="K8" s="108" t="s">
        <v>135</v>
      </c>
      <c r="L8" s="94">
        <f t="shared" si="0"/>
        <v>0</v>
      </c>
      <c r="M8" s="14"/>
      <c r="N8" s="2">
        <v>2</v>
      </c>
      <c r="O8" s="17">
        <f t="shared" si="1"/>
        <v>2</v>
      </c>
      <c r="P8" s="2">
        <f t="shared" si="2"/>
        <v>4</v>
      </c>
      <c r="Q8" s="2">
        <f t="shared" si="3"/>
        <v>0</v>
      </c>
      <c r="R8" s="18">
        <f>COUNTIF($AC8:$AF8,"&gt;0")</f>
        <v>2</v>
      </c>
      <c r="S8" s="19">
        <f>COUNTIF($AC8:$AF8,"&lt;0")</f>
        <v>1</v>
      </c>
      <c r="T8" s="20">
        <f>COUNTIF($AC8:$AF8,"=0")</f>
        <v>0</v>
      </c>
      <c r="U8" s="2">
        <f t="shared" si="4"/>
        <v>0</v>
      </c>
      <c r="V8" s="2" t="str">
        <f>IFERROR(IFERROR(VLOOKUP($C8&amp;" "&amp;V$1,Results!$G:$I,3,FALSE),-VLOOKUP($C8&amp;" "&amp;V$1,Results!$H:$I,2,FALSE)),"")</f>
        <v/>
      </c>
      <c r="W8" s="2" t="str">
        <f>IFERROR(IFERROR(VLOOKUP($C8&amp;" "&amp;W$1,Results!$G:$I,3,FALSE),-VLOOKUP($C8&amp;" "&amp;W$1,Results!$H:$I,2,FALSE)),"")</f>
        <v/>
      </c>
      <c r="X8" s="2" t="str">
        <f>IFERROR(IFERROR(VLOOKUP($C8&amp;" "&amp;X$1,Results!$G:$I,3,FALSE),-VLOOKUP($C8&amp;" "&amp;X$1,Results!$H:$I,2,FALSE)),"")</f>
        <v/>
      </c>
      <c r="Y8" s="14" t="str">
        <f>IFERROR(IFERROR(VLOOKUP($C8&amp;" "&amp;Y$1,Results!$G:$I,3,FALSE),-VLOOKUP($C8&amp;" "&amp;Y$1,Results!$H:$I,2,FALSE)),"")</f>
        <v/>
      </c>
      <c r="Z8" s="14">
        <f>IFERROR(IFERROR(VLOOKUP($C8&amp;" "&amp;Z$1,Results!$G:$I,3,FALSE),-VLOOKUP($C8&amp;" "&amp;Z$1,Results!$H:$I,2,FALSE)),"")</f>
        <v>-140</v>
      </c>
      <c r="AA8" s="14">
        <f>IFERROR(IFERROR(VLOOKUP($C8&amp;" "&amp;AA$1,Results!$G:$I,3,FALSE),-VLOOKUP($C8&amp;" "&amp;AA$1,Results!$H:$I,2,FALSE)),"")</f>
        <v>-74</v>
      </c>
      <c r="AB8" s="14">
        <f>IFERROR(IFERROR(VLOOKUP($C8&amp;" "&amp;AB$1,Results!$G:$I,3,FALSE),-VLOOKUP($C8&amp;" "&amp;AB$1,Results!$H:$I,2,FALSE)),"")</f>
        <v>-204</v>
      </c>
      <c r="AC8" s="33" t="str">
        <f>IFERROR(IFERROR(VLOOKUP($C8&amp;" "&amp;AC$1,Results!$G:$I,3,FALSE),-VLOOKUP($C8&amp;" "&amp;AC$1,Results!$H:$I,2,FALSE)),"")</f>
        <v/>
      </c>
      <c r="AD8" s="64">
        <f>IFERROR(IFERROR(VLOOKUP($C8&amp;" "&amp;AD$1,Results!$G:$I,3,FALSE),-VLOOKUP($C8&amp;" "&amp;AD$1,Results!$H:$I,2,FALSE)),"")</f>
        <v>39</v>
      </c>
      <c r="AE8" s="64">
        <f>IFERROR(IFERROR(VLOOKUP($C8&amp;" "&amp;AE$1,Results!$G:$I,3,FALSE),-VLOOKUP($C8&amp;" "&amp;AE$1,Results!$H:$I,2,FALSE)),"")</f>
        <v>112</v>
      </c>
      <c r="AF8" s="65">
        <f>IFERROR(IFERROR(VLOOKUP($C8&amp;" "&amp;AF$1,Results!$G:$I,3,FALSE),-VLOOKUP($C8&amp;" "&amp;AF$1,Results!$H:$I,2,FALSE)),"")</f>
        <v>-11</v>
      </c>
      <c r="AG8" s="14" t="str">
        <f>IFERROR(IFERROR(VLOOKUP($C8&amp;" "&amp;AG$1,Results!$G:$I,3,FALSE),-VLOOKUP($C8&amp;" "&amp;AG$1,Results!$H:$I,2,FALSE)),"")</f>
        <v/>
      </c>
      <c r="AH8" s="14" t="str">
        <f>IFERROR(IFERROR(VLOOKUP($C8&amp;" "&amp;AH$1,Results!$G:$I,3,FALSE),-VLOOKUP($C8&amp;" "&amp;AH$1,Results!$H:$I,2,FALSE)),"")</f>
        <v/>
      </c>
      <c r="AI8" s="14" t="str">
        <f>IFERROR(IFERROR(VLOOKUP($C8&amp;" "&amp;AI$1,Results!$G:$I,3,FALSE),-VLOOKUP($C8&amp;" "&amp;AI$1,Results!$H:$I,2,FALSE)),"")</f>
        <v/>
      </c>
      <c r="AJ8" s="14" t="str">
        <f>IFERROR(IFERROR(VLOOKUP($C8&amp;" "&amp;AJ$1,Results!$G:$I,3,FALSE),-VLOOKUP($C8&amp;" "&amp;AJ$1,Results!$H:$I,2,FALSE)),"")</f>
        <v/>
      </c>
      <c r="AK8" s="14" t="str">
        <f>IFERROR(IFERROR(VLOOKUP($C8&amp;" "&amp;AK$1,Results!$G:$I,3,FALSE),-VLOOKUP($C8&amp;" "&amp;AK$1,Results!$H:$I,2,FALSE)),"")</f>
        <v/>
      </c>
      <c r="AL8" s="14" t="str">
        <f>IFERROR(IFERROR(VLOOKUP($C8&amp;" "&amp;AL$1,Results!$G:$I,3,FALSE),-VLOOKUP($C8&amp;" "&amp;AL$1,Results!$H:$I,2,FALSE)),"")</f>
        <v/>
      </c>
      <c r="AM8" s="14" t="str">
        <f>IFERROR(IFERROR(VLOOKUP($C8&amp;" "&amp;AM$1,Results!$G:$I,3,FALSE),-VLOOKUP($C8&amp;" "&amp;AM$1,Results!$H:$I,2,FALSE)),"")</f>
        <v/>
      </c>
      <c r="AN8" s="14" t="str">
        <f>IFERROR(IFERROR(VLOOKUP($C8&amp;" "&amp;AN$1,Results!$G:$I,3,FALSE),-VLOOKUP($C8&amp;" "&amp;AN$1,Results!$H:$I,2,FALSE)),"")</f>
        <v/>
      </c>
      <c r="AO8" s="14" t="str">
        <f>IFERROR(IFERROR(VLOOKUP($C8&amp;" "&amp;AO$1,Results!$G:$I,3,FALSE),-VLOOKUP($C8&amp;" "&amp;AO$1,Results!$H:$I,2,FALSE)),"")</f>
        <v/>
      </c>
      <c r="AP8" s="14" t="str">
        <f>IFERROR(IFERROR(VLOOKUP($C8&amp;" "&amp;AP$1,Results!$G:$I,3,FALSE),-VLOOKUP($C8&amp;" "&amp;AP$1,Results!$H:$I,2,FALSE)),"")</f>
        <v/>
      </c>
      <c r="AQ8" s="14" t="str">
        <f>IFERROR(IFERROR(VLOOKUP($C8&amp;" "&amp;AQ$1,Results!$G:$I,3,FALSE),-VLOOKUP($C8&amp;" "&amp;AQ$1,Results!$H:$I,2,FALSE)),"")</f>
        <v/>
      </c>
      <c r="AR8" s="14"/>
      <c r="AS8" s="14"/>
      <c r="AT8" s="14"/>
      <c r="AU8" s="14"/>
      <c r="AV8" s="14"/>
      <c r="AW8" s="29"/>
      <c r="AX8" s="29"/>
      <c r="AY8" s="14"/>
      <c r="AZ8" s="14"/>
      <c r="BA8" s="29"/>
      <c r="BB8" s="29"/>
      <c r="BC8" s="14"/>
      <c r="BD8" s="14"/>
      <c r="BE8" s="14"/>
      <c r="BF8" s="29"/>
      <c r="BG8" s="29"/>
      <c r="BH8" s="2"/>
      <c r="BI8" s="11"/>
      <c r="BJ8" s="11"/>
      <c r="BK8" s="84">
        <f t="shared" si="5"/>
        <v>-278</v>
      </c>
      <c r="BL8" s="15">
        <f>COUNTIF(E8:J8,1)</f>
        <v>0</v>
      </c>
      <c r="BM8" s="15">
        <f>COUNTIF(E8:J8,0)</f>
        <v>6</v>
      </c>
      <c r="BN8" s="15">
        <f>COUNT(E8:J8)</f>
        <v>6</v>
      </c>
      <c r="BO8" s="90">
        <f t="shared" si="8"/>
        <v>0</v>
      </c>
      <c r="BR8" s="83">
        <f t="shared" si="6"/>
        <v>-278</v>
      </c>
      <c r="BT8" s="15">
        <v>5</v>
      </c>
      <c r="BU8" s="15">
        <f t="shared" si="7"/>
        <v>0</v>
      </c>
      <c r="BV8" s="15">
        <f t="shared" si="9"/>
        <v>5</v>
      </c>
    </row>
    <row r="9" spans="1:74" ht="13.5" customHeight="1">
      <c r="B9" s="15">
        <v>6</v>
      </c>
      <c r="C9" s="62" t="s">
        <v>84</v>
      </c>
      <c r="D9" s="16"/>
      <c r="E9" s="8">
        <f>IF(AND(AA9&gt;0,$A9&lt;VLOOKUP(AA$1,$C:$L,10,FALSE)),1,IF(AND(AA9&lt;0,$A9&gt;VLOOKUP(AA$1,$C:$L,10,FALSE)),1,0))</f>
        <v>0</v>
      </c>
      <c r="F9" s="8">
        <f>IF(AND(AB9&gt;0,$A9&lt;VLOOKUP(AB$1,$C:$L,10,FALSE)),1,IF(AND(AB9&lt;0,$A9&gt;VLOOKUP(AB$1,$C:$L,10,FALSE)),1,0))</f>
        <v>0</v>
      </c>
      <c r="G9" s="8">
        <f>IF(AND(AC9&gt;0,$A9&lt;VLOOKUP(AC$1,$C:$L,10,FALSE)),1,IF(AND(AC9&lt;0,$A9&gt;VLOOKUP(AC$1,$C:$L,10,FALSE)),1,0))</f>
        <v>0</v>
      </c>
      <c r="H9" s="8">
        <f>IF(AND(AE9&gt;0,$A9&lt;VLOOKUP(AE$1,$C:$L,10,FALSE)),1,IF(AND(AE9&lt;0,$A9&gt;VLOOKUP(AE$1,$C:$L,10,FALSE)),1,0))</f>
        <v>0</v>
      </c>
      <c r="I9" s="8">
        <f>IF(AND(AF9&gt;0,$A9&lt;VLOOKUP(AF$1,$C:$L,10,FALSE)),1,IF(AND(AF9&lt;0,$A9&gt;VLOOKUP(AF$1,$C:$L,10,FALSE)),1,0))</f>
        <v>0</v>
      </c>
      <c r="J9" s="8">
        <f>IF(AND(AG9&gt;0,$A9&lt;VLOOKUP(AG$1,$C:$L,10,FALSE)),1,IF(AND(AG9&lt;0,$A9&gt;VLOOKUP(AG$1,$C:$L,10,FALSE)),1,0))</f>
        <v>0</v>
      </c>
      <c r="K9" s="108" t="s">
        <v>135</v>
      </c>
      <c r="L9" s="94">
        <f t="shared" si="0"/>
        <v>0</v>
      </c>
      <c r="M9" s="14"/>
      <c r="N9" s="2">
        <v>2</v>
      </c>
      <c r="O9" s="17">
        <f t="shared" si="1"/>
        <v>1</v>
      </c>
      <c r="P9" s="2">
        <f t="shared" si="2"/>
        <v>5</v>
      </c>
      <c r="Q9" s="2">
        <f t="shared" si="3"/>
        <v>0</v>
      </c>
      <c r="R9" s="18">
        <f>COUNTIF($AC9:$AF9,"&gt;0")</f>
        <v>1</v>
      </c>
      <c r="S9" s="19">
        <f>COUNTIF($AC9:$AF9,"&lt;0")</f>
        <v>2</v>
      </c>
      <c r="T9" s="20">
        <f>COUNTIF($AC9:$AF9,"=0")</f>
        <v>0</v>
      </c>
      <c r="U9" s="2">
        <f t="shared" si="4"/>
        <v>0</v>
      </c>
      <c r="V9" s="2" t="str">
        <f>IFERROR(IFERROR(VLOOKUP($C9&amp;" "&amp;V$1,Results!$G:$I,3,FALSE),-VLOOKUP($C9&amp;" "&amp;V$1,Results!$H:$I,2,FALSE)),"")</f>
        <v/>
      </c>
      <c r="W9" s="2" t="str">
        <f>IFERROR(IFERROR(VLOOKUP($C9&amp;" "&amp;W$1,Results!$G:$I,3,FALSE),-VLOOKUP($C9&amp;" "&amp;W$1,Results!$H:$I,2,FALSE)),"")</f>
        <v/>
      </c>
      <c r="X9" s="2" t="str">
        <f>IFERROR(IFERROR(VLOOKUP($C9&amp;" "&amp;X$1,Results!$G:$I,3,FALSE),-VLOOKUP($C9&amp;" "&amp;X$1,Results!$H:$I,2,FALSE)),"")</f>
        <v/>
      </c>
      <c r="Y9" s="2" t="str">
        <f>IFERROR(IFERROR(VLOOKUP($C9&amp;" "&amp;Y$1,Results!$G:$I,3,FALSE),-VLOOKUP($C9&amp;" "&amp;Y$1,Results!$H:$I,2,FALSE)),"")</f>
        <v/>
      </c>
      <c r="Z9" s="2" t="str">
        <f>IFERROR(IFERROR(VLOOKUP($C9&amp;" "&amp;Z$1,Results!$G:$I,3,FALSE),-VLOOKUP($C9&amp;" "&amp;Z$1,Results!$H:$I,2,FALSE)),"")</f>
        <v/>
      </c>
      <c r="AA9" s="2">
        <f>IFERROR(IFERROR(VLOOKUP($C9&amp;" "&amp;AA$1,Results!$G:$I,3,FALSE),-VLOOKUP($C9&amp;" "&amp;AA$1,Results!$H:$I,2,FALSE)),"")</f>
        <v>-26</v>
      </c>
      <c r="AB9" s="2">
        <f>IFERROR(IFERROR(VLOOKUP($C9&amp;" "&amp;AB$1,Results!$G:$I,3,FALSE),-VLOOKUP($C9&amp;" "&amp;AB$1,Results!$H:$I,2,FALSE)),"")</f>
        <v>-200</v>
      </c>
      <c r="AC9" s="66">
        <f>IFERROR(IFERROR(VLOOKUP($C9&amp;" "&amp;AC$1,Results!$G:$I,3,FALSE),-VLOOKUP($C9&amp;" "&amp;AC$1,Results!$H:$I,2,FALSE)),"")</f>
        <v>-39</v>
      </c>
      <c r="AD9" s="34" t="str">
        <f>IFERROR(IFERROR(VLOOKUP($C9&amp;" "&amp;AD$1,Results!$G:$I,3,FALSE),-VLOOKUP($C9&amp;" "&amp;AD$1,Results!$H:$I,2,FALSE)),"")</f>
        <v/>
      </c>
      <c r="AE9" s="34">
        <f>IFERROR(IFERROR(VLOOKUP($C9&amp;" "&amp;AE$1,Results!$G:$I,3,FALSE),-VLOOKUP($C9&amp;" "&amp;AE$1,Results!$H:$I,2,FALSE)),"")</f>
        <v>80</v>
      </c>
      <c r="AF9" s="67">
        <f>IFERROR(IFERROR(VLOOKUP($C9&amp;" "&amp;AF$1,Results!$G:$I,3,FALSE),-VLOOKUP($C9&amp;" "&amp;AF$1,Results!$H:$I,2,FALSE)),"")</f>
        <v>-48</v>
      </c>
      <c r="AG9" s="34">
        <f>IFERROR(IFERROR(VLOOKUP($C9&amp;" "&amp;AG$1,Results!$G:$I,3,FALSE),-VLOOKUP($C9&amp;" "&amp;AG$1,Results!$H:$I,2,FALSE)),"")</f>
        <v>-78</v>
      </c>
      <c r="AH9" s="14" t="str">
        <f>IFERROR(IFERROR(VLOOKUP($C9&amp;" "&amp;AH$1,Results!$G:$I,3,FALSE),-VLOOKUP($C9&amp;" "&amp;AH$1,Results!$H:$I,2,FALSE)),"")</f>
        <v/>
      </c>
      <c r="AI9" s="14" t="str">
        <f>IFERROR(IFERROR(VLOOKUP($C9&amp;" "&amp;AI$1,Results!$G:$I,3,FALSE),-VLOOKUP($C9&amp;" "&amp;AI$1,Results!$H:$I,2,FALSE)),"")</f>
        <v/>
      </c>
      <c r="AJ9" s="14" t="str">
        <f>IFERROR(IFERROR(VLOOKUP($C9&amp;" "&amp;AJ$1,Results!$G:$I,3,FALSE),-VLOOKUP($C9&amp;" "&amp;AJ$1,Results!$H:$I,2,FALSE)),"")</f>
        <v/>
      </c>
      <c r="AK9" s="14" t="str">
        <f>IFERROR(IFERROR(VLOOKUP($C9&amp;" "&amp;AK$1,Results!$G:$I,3,FALSE),-VLOOKUP($C9&amp;" "&amp;AK$1,Results!$H:$I,2,FALSE)),"")</f>
        <v/>
      </c>
      <c r="AL9" s="14" t="str">
        <f>IFERROR(IFERROR(VLOOKUP($C9&amp;" "&amp;AL$1,Results!$G:$I,3,FALSE),-VLOOKUP($C9&amp;" "&amp;AL$1,Results!$H:$I,2,FALSE)),"")</f>
        <v/>
      </c>
      <c r="AM9" s="14" t="str">
        <f>IFERROR(IFERROR(VLOOKUP($C9&amp;" "&amp;AM$1,Results!$G:$I,3,FALSE),-VLOOKUP($C9&amp;" "&amp;AM$1,Results!$H:$I,2,FALSE)),"")</f>
        <v/>
      </c>
      <c r="AN9" s="14" t="str">
        <f>IFERROR(IFERROR(VLOOKUP($C9&amp;" "&amp;AN$1,Results!$G:$I,3,FALSE),-VLOOKUP($C9&amp;" "&amp;AN$1,Results!$H:$I,2,FALSE)),"")</f>
        <v/>
      </c>
      <c r="AO9" s="14" t="str">
        <f>IFERROR(IFERROR(VLOOKUP($C9&amp;" "&amp;AO$1,Results!$G:$I,3,FALSE),-VLOOKUP($C9&amp;" "&amp;AO$1,Results!$H:$I,2,FALSE)),"")</f>
        <v/>
      </c>
      <c r="AP9" s="14" t="str">
        <f>IFERROR(IFERROR(VLOOKUP($C9&amp;" "&amp;AP$1,Results!$G:$I,3,FALSE),-VLOOKUP($C9&amp;" "&amp;AP$1,Results!$H:$I,2,FALSE)),"")</f>
        <v/>
      </c>
      <c r="AQ9" s="14" t="str">
        <f>IFERROR(IFERROR(VLOOKUP($C9&amp;" "&amp;AQ$1,Results!$G:$I,3,FALSE),-VLOOKUP($C9&amp;" "&amp;AQ$1,Results!$H:$I,2,FALSE)),"")</f>
        <v/>
      </c>
      <c r="AR9" s="14"/>
      <c r="AS9" s="14"/>
      <c r="AT9" s="14"/>
      <c r="AU9" s="14"/>
      <c r="AV9" s="14"/>
      <c r="AW9" s="29"/>
      <c r="AX9" s="29"/>
      <c r="AY9" s="14"/>
      <c r="AZ9" s="14"/>
      <c r="BA9" s="29"/>
      <c r="BB9" s="29"/>
      <c r="BC9" s="14"/>
      <c r="BD9" s="14"/>
      <c r="BE9" s="14"/>
      <c r="BF9" s="29"/>
      <c r="BG9" s="29"/>
      <c r="BH9" s="2"/>
      <c r="BI9" s="11"/>
      <c r="BJ9" s="11"/>
      <c r="BK9" s="84">
        <f t="shared" si="5"/>
        <v>-311</v>
      </c>
      <c r="BL9" s="15">
        <f>COUNTIF(E9:I9,1)</f>
        <v>0</v>
      </c>
      <c r="BM9" s="15">
        <f>COUNTIF(E9:I9,0)</f>
        <v>5</v>
      </c>
      <c r="BN9" s="15">
        <f>COUNT(E9:I9)</f>
        <v>5</v>
      </c>
      <c r="BO9" s="90">
        <f t="shared" si="8"/>
        <v>0</v>
      </c>
      <c r="BR9" s="83">
        <f t="shared" si="6"/>
        <v>-311</v>
      </c>
      <c r="BT9" s="15">
        <v>12</v>
      </c>
      <c r="BU9" s="15">
        <f t="shared" si="7"/>
        <v>0</v>
      </c>
      <c r="BV9" s="15">
        <f t="shared" si="9"/>
        <v>12</v>
      </c>
    </row>
    <row r="10" spans="1:74" ht="13.5" customHeight="1">
      <c r="B10" s="15">
        <v>7</v>
      </c>
      <c r="C10" s="62" t="s">
        <v>48</v>
      </c>
      <c r="D10" s="62"/>
      <c r="E10" s="8">
        <f>IF(AND(AB10&gt;0,$A10&lt;VLOOKUP(AB$1,$C:$L,10,FALSE)),1,IF(AND(AB10&lt;0,$A10&gt;VLOOKUP(AB$1,$C:$L,10,FALSE)),1,0))</f>
        <v>0</v>
      </c>
      <c r="F10" s="8">
        <f>IF(AND(AC10&gt;0,$A10&lt;VLOOKUP(AC$1,$C:$L,10,FALSE)),1,IF(AND(AC10&lt;0,$A10&gt;VLOOKUP(AC$1,$C:$L,10,FALSE)),1,0))</f>
        <v>0</v>
      </c>
      <c r="G10" s="8">
        <f>IF(AND(AD10&gt;0,$A10&lt;VLOOKUP(AD$1,$C:$L,10,FALSE)),1,IF(AND(AD10&lt;0,$A10&gt;VLOOKUP(AD$1,$C:$L,10,FALSE)),1,0))</f>
        <v>0</v>
      </c>
      <c r="H10" s="8">
        <f>IF(AND(AF10&gt;0,$A10&lt;VLOOKUP(AF$1,$C:$L,10,FALSE)),1,IF(AND(AF10&lt;0,$A10&gt;VLOOKUP(AF$1,$C:$L,10,FALSE)),1,0))</f>
        <v>0</v>
      </c>
      <c r="I10" s="8">
        <f>IF(AND(AG10&gt;0,$A10&lt;VLOOKUP(AG$1,$C:$L,10,FALSE)),1,IF(AND(AG10&lt;0,$A10&gt;VLOOKUP(AG$1,$C:$L,10,FALSE)),1,0))</f>
        <v>0</v>
      </c>
      <c r="J10" s="8">
        <f>IF(AND(AH10&gt;0,$A10&lt;VLOOKUP(AH$1,$C:$L,10,FALSE)),1,IF(AND(AH10&lt;0,$A10&gt;VLOOKUP(AH$1,$C:$L,10,FALSE)),1,0))</f>
        <v>0</v>
      </c>
      <c r="K10" s="108" t="s">
        <v>135</v>
      </c>
      <c r="L10" s="94">
        <f t="shared" si="0"/>
        <v>0</v>
      </c>
      <c r="M10" s="14"/>
      <c r="N10" s="2">
        <v>2</v>
      </c>
      <c r="O10" s="17">
        <f t="shared" si="1"/>
        <v>1</v>
      </c>
      <c r="P10" s="2">
        <f t="shared" si="2"/>
        <v>5</v>
      </c>
      <c r="Q10" s="2">
        <f t="shared" si="3"/>
        <v>0</v>
      </c>
      <c r="R10" s="18">
        <f>COUNTIF($AC10:$AF10,"&gt;0")</f>
        <v>0</v>
      </c>
      <c r="S10" s="19">
        <f>COUNTIF($AC10:$AF10,"&lt;0")</f>
        <v>3</v>
      </c>
      <c r="T10" s="20">
        <f>COUNTIF($AC10:$AF10,"=0")</f>
        <v>0</v>
      </c>
      <c r="U10" s="2">
        <f t="shared" si="4"/>
        <v>0</v>
      </c>
      <c r="V10" s="2" t="str">
        <f>IFERROR(IFERROR(VLOOKUP($C10&amp;" "&amp;V$1,Results!$G:$I,3,FALSE),-VLOOKUP($C10&amp;" "&amp;V$1,Results!$H:$I,2,FALSE)),"")</f>
        <v/>
      </c>
      <c r="W10" s="2" t="str">
        <f>IFERROR(IFERROR(VLOOKUP($C10&amp;" "&amp;W$1,Results!$G:$I,3,FALSE),-VLOOKUP($C10&amp;" "&amp;W$1,Results!$H:$I,2,FALSE)),"")</f>
        <v/>
      </c>
      <c r="X10" s="2" t="str">
        <f>IFERROR(IFERROR(VLOOKUP($C10&amp;" "&amp;X$1,Results!$G:$I,3,FALSE),-VLOOKUP($C10&amp;" "&amp;X$1,Results!$H:$I,2,FALSE)),"")</f>
        <v/>
      </c>
      <c r="Y10" s="2" t="str">
        <f>IFERROR(IFERROR(VLOOKUP($C10&amp;" "&amp;Y$1,Results!$G:$I,3,FALSE),-VLOOKUP($C10&amp;" "&amp;Y$1,Results!$H:$I,2,FALSE)),"")</f>
        <v/>
      </c>
      <c r="Z10" s="2" t="str">
        <f>IFERROR(IFERROR(VLOOKUP($C10&amp;" "&amp;Z$1,Results!$G:$I,3,FALSE),-VLOOKUP($C10&amp;" "&amp;Z$1,Results!$H:$I,2,FALSE)),"")</f>
        <v/>
      </c>
      <c r="AA10" s="2" t="str">
        <f>IFERROR(IFERROR(VLOOKUP($C10&amp;" "&amp;AA$1,Results!$G:$I,3,FALSE),-VLOOKUP($C10&amp;" "&amp;AA$1,Results!$H:$I,2,FALSE)),"")</f>
        <v/>
      </c>
      <c r="AB10" s="2">
        <f>IFERROR(IFERROR(VLOOKUP($C10&amp;" "&amp;AB$1,Results!$G:$I,3,FALSE),-VLOOKUP($C10&amp;" "&amp;AB$1,Results!$H:$I,2,FALSE)),"")</f>
        <v>-230</v>
      </c>
      <c r="AC10" s="66">
        <f>IFERROR(IFERROR(VLOOKUP($C10&amp;" "&amp;AC$1,Results!$G:$I,3,FALSE),-VLOOKUP($C10&amp;" "&amp;AC$1,Results!$H:$I,2,FALSE)),"")</f>
        <v>-112</v>
      </c>
      <c r="AD10" s="34">
        <f>IFERROR(IFERROR(VLOOKUP($C10&amp;" "&amp;AD$1,Results!$G:$I,3,FALSE),-VLOOKUP($C10&amp;" "&amp;AD$1,Results!$H:$I,2,FALSE)),"")</f>
        <v>-80</v>
      </c>
      <c r="AE10" s="34" t="str">
        <f>IFERROR(IFERROR(VLOOKUP($C10&amp;" "&amp;AE$1,Results!$G:$I,3,FALSE),-VLOOKUP($C10&amp;" "&amp;AE$1,Results!$H:$I,2,FALSE)),"")</f>
        <v/>
      </c>
      <c r="AF10" s="67">
        <f>IFERROR(IFERROR(VLOOKUP($C10&amp;" "&amp;AF$1,Results!$G:$I,3,FALSE),-VLOOKUP($C10&amp;" "&amp;AF$1,Results!$H:$I,2,FALSE)),"")</f>
        <v>-70</v>
      </c>
      <c r="AG10" s="34">
        <f>IFERROR(IFERROR(VLOOKUP($C10&amp;" "&amp;AG$1,Results!$G:$I,3,FALSE),-VLOOKUP($C10&amp;" "&amp;AG$1,Results!$H:$I,2,FALSE)),"")</f>
        <v>-56</v>
      </c>
      <c r="AH10" s="34">
        <f>IFERROR(IFERROR(VLOOKUP($C10&amp;" "&amp;AH$1,Results!$G:$I,3,FALSE),-VLOOKUP($C10&amp;" "&amp;AH$1,Results!$H:$I,2,FALSE)),"")</f>
        <v>122</v>
      </c>
      <c r="AI10" s="14" t="str">
        <f>IFERROR(IFERROR(VLOOKUP($C10&amp;" "&amp;AI$1,Results!$G:$I,3,FALSE),-VLOOKUP($C10&amp;" "&amp;AI$1,Results!$H:$I,2,FALSE)),"")</f>
        <v/>
      </c>
      <c r="AJ10" s="14" t="str">
        <f>IFERROR(IFERROR(VLOOKUP($C10&amp;" "&amp;AJ$1,Results!$G:$I,3,FALSE),-VLOOKUP($C10&amp;" "&amp;AJ$1,Results!$H:$I,2,FALSE)),"")</f>
        <v/>
      </c>
      <c r="AK10" s="14" t="str">
        <f>IFERROR(IFERROR(VLOOKUP($C10&amp;" "&amp;AK$1,Results!$G:$I,3,FALSE),-VLOOKUP($C10&amp;" "&amp;AK$1,Results!$H:$I,2,FALSE)),"")</f>
        <v/>
      </c>
      <c r="AL10" s="14" t="str">
        <f>IFERROR(IFERROR(VLOOKUP($C10&amp;" "&amp;AL$1,Results!$G:$I,3,FALSE),-VLOOKUP($C10&amp;" "&amp;AL$1,Results!$H:$I,2,FALSE)),"")</f>
        <v/>
      </c>
      <c r="AM10" s="14" t="str">
        <f>IFERROR(IFERROR(VLOOKUP($C10&amp;" "&amp;AM$1,Results!$G:$I,3,FALSE),-VLOOKUP($C10&amp;" "&amp;AM$1,Results!$H:$I,2,FALSE)),"")</f>
        <v/>
      </c>
      <c r="AN10" s="14" t="str">
        <f>IFERROR(IFERROR(VLOOKUP($C10&amp;" "&amp;AN$1,Results!$G:$I,3,FALSE),-VLOOKUP($C10&amp;" "&amp;AN$1,Results!$H:$I,2,FALSE)),"")</f>
        <v/>
      </c>
      <c r="AO10" s="14" t="str">
        <f>IFERROR(IFERROR(VLOOKUP($C10&amp;" "&amp;AO$1,Results!$G:$I,3,FALSE),-VLOOKUP($C10&amp;" "&amp;AO$1,Results!$H:$I,2,FALSE)),"")</f>
        <v/>
      </c>
      <c r="AP10" s="14" t="str">
        <f>IFERROR(IFERROR(VLOOKUP($C10&amp;" "&amp;AP$1,Results!$G:$I,3,FALSE),-VLOOKUP($C10&amp;" "&amp;AP$1,Results!$H:$I,2,FALSE)),"")</f>
        <v/>
      </c>
      <c r="AQ10" s="14" t="str">
        <f>IFERROR(IFERROR(VLOOKUP($C10&amp;" "&amp;AQ$1,Results!$G:$I,3,FALSE),-VLOOKUP($C10&amp;" "&amp;AQ$1,Results!$H:$I,2,FALSE)),"")</f>
        <v/>
      </c>
      <c r="AR10" s="14"/>
      <c r="AS10" s="14"/>
      <c r="AT10" s="14"/>
      <c r="AU10" s="14"/>
      <c r="AV10" s="14"/>
      <c r="AW10" s="29"/>
      <c r="AX10" s="29"/>
      <c r="AY10" s="14"/>
      <c r="AZ10" s="14"/>
      <c r="BA10" s="29"/>
      <c r="BB10" s="29"/>
      <c r="BC10" s="14"/>
      <c r="BD10" s="14"/>
      <c r="BE10" s="14"/>
      <c r="BF10" s="29"/>
      <c r="BG10" s="29"/>
      <c r="BH10" s="2"/>
      <c r="BI10" s="11"/>
      <c r="BJ10" s="11"/>
      <c r="BK10" s="84">
        <f t="shared" si="5"/>
        <v>-426</v>
      </c>
      <c r="BL10" s="15">
        <f>COUNTIF(E10:I10,1)</f>
        <v>0</v>
      </c>
      <c r="BM10" s="15">
        <f>COUNTIF(E10:I10,0)</f>
        <v>5</v>
      </c>
      <c r="BN10" s="15">
        <f>COUNT(E10:I10)</f>
        <v>5</v>
      </c>
      <c r="BO10" s="90">
        <f t="shared" si="8"/>
        <v>0</v>
      </c>
      <c r="BR10" s="83">
        <f t="shared" si="6"/>
        <v>-426</v>
      </c>
      <c r="BT10" s="15">
        <v>4</v>
      </c>
      <c r="BU10" s="15">
        <f t="shared" si="7"/>
        <v>0</v>
      </c>
      <c r="BV10" s="15">
        <f t="shared" si="9"/>
        <v>4</v>
      </c>
    </row>
    <row r="11" spans="1:74" ht="13.5" customHeight="1" thickBot="1">
      <c r="A11" s="8"/>
      <c r="B11" s="8">
        <v>8</v>
      </c>
      <c r="C11" s="62" t="s">
        <v>54</v>
      </c>
      <c r="D11" s="62"/>
      <c r="E11" s="8">
        <f>IF(AND(AC11&gt;0,$A11&lt;VLOOKUP(AC$1,$C:$L,10,FALSE)),1,IF(AND(AC11&lt;0,$A11&gt;VLOOKUP(AC$1,$C:$L,10,FALSE)),1,0))</f>
        <v>0</v>
      </c>
      <c r="F11" s="8">
        <f>IF(AND(AD11&gt;0,$A11&lt;VLOOKUP(AD$1,$C:$L,10,FALSE)),1,IF(AND(AD11&lt;0,$A11&gt;VLOOKUP(AD$1,$C:$L,10,FALSE)),1,0))</f>
        <v>0</v>
      </c>
      <c r="G11" s="8">
        <f>IF(AND(AE11&gt;0,$A11&lt;VLOOKUP(AE$1,$C:$L,10,FALSE)),1,IF(AND(AE11&lt;0,$A11&gt;VLOOKUP(AE$1,$C:$L,10,FALSE)),1,0))</f>
        <v>0</v>
      </c>
      <c r="H11" s="8">
        <f>IF(AND(AG11&gt;0,$A11&lt;VLOOKUP(AG$1,$C:$L,10,FALSE)),1,IF(AND(AG11&lt;0,$A11&gt;VLOOKUP(AG$1,$C:$L,10,FALSE)),1,0))</f>
        <v>0</v>
      </c>
      <c r="I11" s="8">
        <f>IF(AND(AH11&gt;0,$A11&lt;VLOOKUP(AH$1,$C:$L,10,FALSE)),1,IF(AND(AH11&lt;0,$A11&gt;VLOOKUP(AH$1,$C:$L,10,FALSE)),1,0))</f>
        <v>0</v>
      </c>
      <c r="J11" s="8">
        <f>IF(AND(AI11&gt;0,$A11&lt;VLOOKUP(AI$1,$C:$L,10,FALSE)),1,IF(AND(AI11&lt;0,$A11&gt;VLOOKUP(AI$1,$C:$L,10,FALSE)),1,0))</f>
        <v>0</v>
      </c>
      <c r="K11" s="108" t="s">
        <v>135</v>
      </c>
      <c r="L11" s="94">
        <f t="shared" si="0"/>
        <v>0</v>
      </c>
      <c r="M11" s="14"/>
      <c r="N11" s="2">
        <v>2</v>
      </c>
      <c r="O11" s="17">
        <f t="shared" si="1"/>
        <v>6</v>
      </c>
      <c r="P11" s="2">
        <f t="shared" si="2"/>
        <v>0</v>
      </c>
      <c r="Q11" s="2">
        <f t="shared" si="3"/>
        <v>0</v>
      </c>
      <c r="R11" s="18">
        <f>COUNTIF($AC11:$AF11,"&gt;0")</f>
        <v>3</v>
      </c>
      <c r="S11" s="19">
        <f>COUNTIF($AC11:$AF11,"&lt;0")</f>
        <v>0</v>
      </c>
      <c r="T11" s="20">
        <f>COUNTIF($AC11:$AF11,"=0")</f>
        <v>0</v>
      </c>
      <c r="U11" s="2">
        <f t="shared" si="4"/>
        <v>0</v>
      </c>
      <c r="V11" s="2" t="str">
        <f>IFERROR(IFERROR(VLOOKUP($C11&amp;" "&amp;V$1,Results!$G:$I,3,FALSE),-VLOOKUP($C11&amp;" "&amp;V$1,Results!$H:$I,2,FALSE)),"")</f>
        <v/>
      </c>
      <c r="W11" s="2" t="str">
        <f>IFERROR(IFERROR(VLOOKUP($C11&amp;" "&amp;W$1,Results!$G:$I,3,FALSE),-VLOOKUP($C11&amp;" "&amp;W$1,Results!$H:$I,2,FALSE)),"")</f>
        <v/>
      </c>
      <c r="X11" s="2" t="str">
        <f>IFERROR(IFERROR(VLOOKUP($C11&amp;" "&amp;X$1,Results!$G:$I,3,FALSE),-VLOOKUP($C11&amp;" "&amp;X$1,Results!$H:$I,2,FALSE)),"")</f>
        <v/>
      </c>
      <c r="Y11" s="2" t="str">
        <f>IFERROR(IFERROR(VLOOKUP($C11&amp;" "&amp;Y$1,Results!$G:$I,3,FALSE),-VLOOKUP($C11&amp;" "&amp;Y$1,Results!$H:$I,2,FALSE)),"")</f>
        <v/>
      </c>
      <c r="Z11" s="2" t="str">
        <f>IFERROR(IFERROR(VLOOKUP($C11&amp;" "&amp;Z$1,Results!$G:$I,3,FALSE),-VLOOKUP($C11&amp;" "&amp;Z$1,Results!$H:$I,2,FALSE)),"")</f>
        <v/>
      </c>
      <c r="AA11" s="2" t="str">
        <f>IFERROR(IFERROR(VLOOKUP($C11&amp;" "&amp;AA$1,Results!$G:$I,3,FALSE),-VLOOKUP($C11&amp;" "&amp;AA$1,Results!$H:$I,2,FALSE)),"")</f>
        <v/>
      </c>
      <c r="AB11" s="2" t="str">
        <f>IFERROR(IFERROR(VLOOKUP($C11&amp;" "&amp;AB$1,Results!$G:$I,3,FALSE),-VLOOKUP($C11&amp;" "&amp;AB$1,Results!$H:$I,2,FALSE)),"")</f>
        <v/>
      </c>
      <c r="AC11" s="68">
        <f>IFERROR(IFERROR(VLOOKUP($C11&amp;" "&amp;AC$1,Results!$G:$I,3,FALSE),-VLOOKUP($C11&amp;" "&amp;AC$1,Results!$H:$I,2,FALSE)),"")</f>
        <v>11</v>
      </c>
      <c r="AD11" s="69">
        <f>IFERROR(IFERROR(VLOOKUP($C11&amp;" "&amp;AD$1,Results!$G:$I,3,FALSE),-VLOOKUP($C11&amp;" "&amp;AD$1,Results!$H:$I,2,FALSE)),"")</f>
        <v>48</v>
      </c>
      <c r="AE11" s="69">
        <f>IFERROR(IFERROR(VLOOKUP($C11&amp;" "&amp;AE$1,Results!$G:$I,3,FALSE),-VLOOKUP($C11&amp;" "&amp;AE$1,Results!$H:$I,2,FALSE)),"")</f>
        <v>70</v>
      </c>
      <c r="AF11" s="35" t="str">
        <f>IFERROR(IFERROR(VLOOKUP($C11&amp;" "&amp;AF$1,Results!$G:$I,3,FALSE),-VLOOKUP($C11&amp;" "&amp;AF$1,Results!$H:$I,2,FALSE)),"")</f>
        <v/>
      </c>
      <c r="AG11" s="34">
        <f>IFERROR(IFERROR(VLOOKUP($C11&amp;" "&amp;AG$1,Results!$G:$I,3,FALSE),-VLOOKUP($C11&amp;" "&amp;AG$1,Results!$H:$I,2,FALSE)),"")</f>
        <v>40</v>
      </c>
      <c r="AH11" s="34">
        <f>IFERROR(IFERROR(VLOOKUP($C11&amp;" "&amp;AH$1,Results!$G:$I,3,FALSE),-VLOOKUP($C11&amp;" "&amp;AH$1,Results!$H:$I,2,FALSE)),"")</f>
        <v>206</v>
      </c>
      <c r="AI11" s="34">
        <f>IFERROR(IFERROR(VLOOKUP($C11&amp;" "&amp;AI$1,Results!$G:$I,3,FALSE),-VLOOKUP($C11&amp;" "&amp;AI$1,Results!$H:$I,2,FALSE)),"")</f>
        <v>166</v>
      </c>
      <c r="AJ11" s="14" t="str">
        <f>IFERROR(IFERROR(VLOOKUP($C11&amp;" "&amp;AJ$1,Results!$G:$I,3,FALSE),-VLOOKUP($C11&amp;" "&amp;AJ$1,Results!$H:$I,2,FALSE)),"")</f>
        <v/>
      </c>
      <c r="AK11" s="14" t="str">
        <f>IFERROR(IFERROR(VLOOKUP($C11&amp;" "&amp;AK$1,Results!$G:$I,3,FALSE),-VLOOKUP($C11&amp;" "&amp;AK$1,Results!$H:$I,2,FALSE)),"")</f>
        <v/>
      </c>
      <c r="AL11" s="14" t="str">
        <f>IFERROR(IFERROR(VLOOKUP($C11&amp;" "&amp;AL$1,Results!$G:$I,3,FALSE),-VLOOKUP($C11&amp;" "&amp;AL$1,Results!$H:$I,2,FALSE)),"")</f>
        <v/>
      </c>
      <c r="AM11" s="14" t="str">
        <f>IFERROR(IFERROR(VLOOKUP($C11&amp;" "&amp;AM$1,Results!$G:$I,3,FALSE),-VLOOKUP($C11&amp;" "&amp;AM$1,Results!$H:$I,2,FALSE)),"")</f>
        <v/>
      </c>
      <c r="AN11" s="14" t="str">
        <f>IFERROR(IFERROR(VLOOKUP($C11&amp;" "&amp;AN$1,Results!$G:$I,3,FALSE),-VLOOKUP($C11&amp;" "&amp;AN$1,Results!$H:$I,2,FALSE)),"")</f>
        <v/>
      </c>
      <c r="AO11" s="14" t="str">
        <f>IFERROR(IFERROR(VLOOKUP($C11&amp;" "&amp;AO$1,Results!$G:$I,3,FALSE),-VLOOKUP($C11&amp;" "&amp;AO$1,Results!$H:$I,2,FALSE)),"")</f>
        <v/>
      </c>
      <c r="AP11" s="14" t="str">
        <f>IFERROR(IFERROR(VLOOKUP($C11&amp;" "&amp;AP$1,Results!$G:$I,3,FALSE),-VLOOKUP($C11&amp;" "&amp;AP$1,Results!$H:$I,2,FALSE)),"")</f>
        <v/>
      </c>
      <c r="AQ11" s="14" t="str">
        <f>IFERROR(IFERROR(VLOOKUP($C11&amp;" "&amp;AQ$1,Results!$G:$I,3,FALSE),-VLOOKUP($C11&amp;" "&amp;AQ$1,Results!$H:$I,2,FALSE)),"")</f>
        <v/>
      </c>
      <c r="AR11" s="14"/>
      <c r="AS11" s="14"/>
      <c r="AT11" s="14"/>
      <c r="AU11" s="14"/>
      <c r="AV11" s="14"/>
      <c r="AW11" s="29"/>
      <c r="AX11" s="29"/>
      <c r="AY11" s="14"/>
      <c r="AZ11" s="14"/>
      <c r="BA11" s="29"/>
      <c r="BB11" s="29"/>
      <c r="BC11" s="14"/>
      <c r="BD11" s="14"/>
      <c r="BE11" s="14"/>
      <c r="BF11" s="29"/>
      <c r="BG11" s="29"/>
      <c r="BH11" s="2"/>
      <c r="BI11" s="11"/>
      <c r="BJ11" s="11"/>
      <c r="BK11" s="84">
        <f t="shared" si="5"/>
        <v>541</v>
      </c>
      <c r="BL11" s="15">
        <f>COUNTIF(E11:I11,1)</f>
        <v>0</v>
      </c>
      <c r="BM11" s="15">
        <f>COUNTIF(E11:I11,0)</f>
        <v>5</v>
      </c>
      <c r="BN11" s="15">
        <f>COUNT(E11:I11)</f>
        <v>5</v>
      </c>
      <c r="BO11" s="90">
        <f t="shared" si="8"/>
        <v>0</v>
      </c>
      <c r="BR11" s="83">
        <f t="shared" si="6"/>
        <v>541</v>
      </c>
      <c r="BT11" s="15">
        <v>10</v>
      </c>
      <c r="BU11" s="15">
        <f t="shared" si="7"/>
        <v>0</v>
      </c>
      <c r="BV11" s="15">
        <f t="shared" si="9"/>
        <v>10</v>
      </c>
    </row>
    <row r="12" spans="1:74" ht="13.5" customHeight="1">
      <c r="B12" s="15">
        <v>9</v>
      </c>
      <c r="C12" s="62" t="s">
        <v>129</v>
      </c>
      <c r="D12" s="62"/>
      <c r="E12" s="8">
        <f>IF(AND(AD12&gt;0,$A12&lt;VLOOKUP(AD$1,$C:$L,10,FALSE)),1,IF(AND(AD12&lt;0,$A12&gt;VLOOKUP(AD$1,$C:$L,10,FALSE)),1,0))</f>
        <v>0</v>
      </c>
      <c r="F12" s="8">
        <f>IF(AND(AE12&gt;0,$A12&lt;VLOOKUP(AE$1,$C:$L,10,FALSE)),1,IF(AND(AE12&lt;0,$A12&gt;VLOOKUP(AE$1,$C:$L,10,FALSE)),1,0))</f>
        <v>0</v>
      </c>
      <c r="G12" s="8">
        <f>IF(AND(AF12&gt;0,$A12&lt;VLOOKUP(AF$1,$C:$L,10,FALSE)),1,IF(AND(AF12&lt;0,$A12&gt;VLOOKUP(AF$1,$C:$L,10,FALSE)),1,0))</f>
        <v>0</v>
      </c>
      <c r="H12" s="8">
        <f>IF(AND(AH12&gt;0,$A12&lt;VLOOKUP(AH$1,$C:$L,10,FALSE)),1,IF(AND(AH12&lt;0,$A12&gt;VLOOKUP(AH$1,$C:$L,10,FALSE)),1,0))</f>
        <v>0</v>
      </c>
      <c r="I12" s="8">
        <f>IF(AND(AI12&gt;0,$A12&lt;VLOOKUP(AI$1,$C:$L,10,FALSE)),1,IF(AND(AI12&lt;0,$A12&gt;VLOOKUP(AI$1,$C:$L,10,FALSE)),1,0))</f>
        <v>0</v>
      </c>
      <c r="J12" s="8">
        <f>IF(AND(AJ12&gt;0,$A12&lt;VLOOKUP(AJ$1,$C:$L,10,FALSE)),1,IF(AND(AJ12&lt;0,$A12&gt;VLOOKUP(AJ$1,$C:$L,10,FALSE)),1,0))</f>
        <v>0</v>
      </c>
      <c r="K12" s="108" t="s">
        <v>135</v>
      </c>
      <c r="L12" s="94">
        <f t="shared" si="0"/>
        <v>0</v>
      </c>
      <c r="M12" s="14"/>
      <c r="N12" s="2">
        <v>3</v>
      </c>
      <c r="O12" s="17">
        <f t="shared" si="1"/>
        <v>5</v>
      </c>
      <c r="P12" s="2">
        <f t="shared" si="2"/>
        <v>1</v>
      </c>
      <c r="Q12" s="2">
        <f t="shared" si="3"/>
        <v>0</v>
      </c>
      <c r="R12" s="18">
        <f>COUNTIF($AG12:$AJ12,"&gt;0")</f>
        <v>3</v>
      </c>
      <c r="S12" s="19">
        <f>COUNTIF($AG12:$AJ12,"&lt;0")</f>
        <v>0</v>
      </c>
      <c r="T12" s="20">
        <f>COUNTIF($AG12:$AJ12,"=0")</f>
        <v>0</v>
      </c>
      <c r="U12" s="2">
        <f t="shared" si="4"/>
        <v>0</v>
      </c>
      <c r="V12" s="2" t="str">
        <f>IFERROR(IFERROR(VLOOKUP($C12&amp;" "&amp;V$1,Results!$G:$I,3,FALSE),-VLOOKUP($C12&amp;" "&amp;V$1,Results!$H:$I,2,FALSE)),"")</f>
        <v/>
      </c>
      <c r="W12" s="2" t="str">
        <f>IFERROR(IFERROR(VLOOKUP($C12&amp;" "&amp;W$1,Results!$G:$I,3,FALSE),-VLOOKUP($C12&amp;" "&amp;W$1,Results!$H:$I,2,FALSE)),"")</f>
        <v/>
      </c>
      <c r="X12" s="2" t="str">
        <f>IFERROR(IFERROR(VLOOKUP($C12&amp;" "&amp;X$1,Results!$G:$I,3,FALSE),-VLOOKUP($C12&amp;" "&amp;X$1,Results!$H:$I,2,FALSE)),"")</f>
        <v/>
      </c>
      <c r="Y12" s="2" t="str">
        <f>IFERROR(IFERROR(VLOOKUP($C12&amp;" "&amp;Y$1,Results!$G:$I,3,FALSE),-VLOOKUP($C12&amp;" "&amp;Y$1,Results!$H:$I,2,FALSE)),"")</f>
        <v/>
      </c>
      <c r="Z12" s="2" t="str">
        <f>IFERROR(IFERROR(VLOOKUP($C12&amp;" "&amp;Z$1,Results!$G:$I,3,FALSE),-VLOOKUP($C12&amp;" "&amp;Z$1,Results!$H:$I,2,FALSE)),"")</f>
        <v/>
      </c>
      <c r="AA12" s="2" t="str">
        <f>IFERROR(IFERROR(VLOOKUP($C12&amp;" "&amp;AA$1,Results!$G:$I,3,FALSE),-VLOOKUP($C12&amp;" "&amp;AA$1,Results!$H:$I,2,FALSE)),"")</f>
        <v/>
      </c>
      <c r="AB12" s="2" t="str">
        <f>IFERROR(IFERROR(VLOOKUP($C12&amp;" "&amp;AB$1,Results!$G:$I,3,FALSE),-VLOOKUP($C12&amp;" "&amp;AB$1,Results!$H:$I,2,FALSE)),"")</f>
        <v/>
      </c>
      <c r="AC12" s="14" t="str">
        <f>IFERROR(IFERROR(VLOOKUP($C12&amp;" "&amp;AC$1,Results!$G:$I,3,FALSE),-VLOOKUP($C12&amp;" "&amp;AC$1,Results!$H:$I,2,FALSE)),"")</f>
        <v/>
      </c>
      <c r="AD12" s="34">
        <f>IFERROR(IFERROR(VLOOKUP($C12&amp;" "&amp;AD$1,Results!$G:$I,3,FALSE),-VLOOKUP($C12&amp;" "&amp;AD$1,Results!$H:$I,2,FALSE)),"")</f>
        <v>78</v>
      </c>
      <c r="AE12" s="34">
        <f>IFERROR(IFERROR(VLOOKUP($C12&amp;" "&amp;AE$1,Results!$G:$I,3,FALSE),-VLOOKUP($C12&amp;" "&amp;AE$1,Results!$H:$I,2,FALSE)),"")</f>
        <v>56</v>
      </c>
      <c r="AF12" s="34">
        <f>IFERROR(IFERROR(VLOOKUP($C12&amp;" "&amp;AF$1,Results!$G:$I,3,FALSE),-VLOOKUP($C12&amp;" "&amp;AF$1,Results!$H:$I,2,FALSE)),"")</f>
        <v>-40</v>
      </c>
      <c r="AG12" s="33" t="str">
        <f>IFERROR(IFERROR(VLOOKUP($C12&amp;" "&amp;AG$1,Results!$G:$I,3,FALSE),-VLOOKUP($C12&amp;" "&amp;AG$1,Results!$H:$I,2,FALSE)),"")</f>
        <v/>
      </c>
      <c r="AH12" s="64">
        <f>IFERROR(IFERROR(VLOOKUP($C12&amp;" "&amp;AH$1,Results!$G:$I,3,FALSE),-VLOOKUP($C12&amp;" "&amp;AH$1,Results!$H:$I,2,FALSE)),"")</f>
        <v>129</v>
      </c>
      <c r="AI12" s="64">
        <f>IFERROR(IFERROR(VLOOKUP($C12&amp;" "&amp;AI$1,Results!$G:$I,3,FALSE),-VLOOKUP($C12&amp;" "&amp;AI$1,Results!$H:$I,2,FALSE)),"")</f>
        <v>184</v>
      </c>
      <c r="AJ12" s="65">
        <f>IFERROR(IFERROR(VLOOKUP($C12&amp;" "&amp;AJ$1,Results!$G:$I,3,FALSE),-VLOOKUP($C12&amp;" "&amp;AJ$1,Results!$H:$I,2,FALSE)),"")</f>
        <v>209</v>
      </c>
      <c r="AK12" s="14" t="str">
        <f>IFERROR(IFERROR(VLOOKUP($C12&amp;" "&amp;AK$1,Results!$G:$I,3,FALSE),-VLOOKUP($C12&amp;" "&amp;AK$1,Results!$H:$I,2,FALSE)),"")</f>
        <v/>
      </c>
      <c r="AL12" s="14" t="str">
        <f>IFERROR(IFERROR(VLOOKUP($C12&amp;" "&amp;AL$1,Results!$G:$I,3,FALSE),-VLOOKUP($C12&amp;" "&amp;AL$1,Results!$H:$I,2,FALSE)),"")</f>
        <v/>
      </c>
      <c r="AM12" s="14" t="str">
        <f>IFERROR(IFERROR(VLOOKUP($C12&amp;" "&amp;AM$1,Results!$G:$I,3,FALSE),-VLOOKUP($C12&amp;" "&amp;AM$1,Results!$H:$I,2,FALSE)),"")</f>
        <v/>
      </c>
      <c r="AN12" s="14" t="str">
        <f>IFERROR(IFERROR(VLOOKUP($C12&amp;" "&amp;AN$1,Results!$G:$I,3,FALSE),-VLOOKUP($C12&amp;" "&amp;AN$1,Results!$H:$I,2,FALSE)),"")</f>
        <v/>
      </c>
      <c r="AO12" s="14" t="str">
        <f>IFERROR(IFERROR(VLOOKUP($C12&amp;" "&amp;AO$1,Results!$G:$I,3,FALSE),-VLOOKUP($C12&amp;" "&amp;AO$1,Results!$H:$I,2,FALSE)),"")</f>
        <v/>
      </c>
      <c r="AP12" s="14" t="str">
        <f>IFERROR(IFERROR(VLOOKUP($C12&amp;" "&amp;AP$1,Results!$G:$I,3,FALSE),-VLOOKUP($C12&amp;" "&amp;AP$1,Results!$H:$I,2,FALSE)),"")</f>
        <v/>
      </c>
      <c r="AQ12" s="14" t="str">
        <f>IFERROR(IFERROR(VLOOKUP($C12&amp;" "&amp;AQ$1,Results!$G:$I,3,FALSE),-VLOOKUP($C12&amp;" "&amp;AQ$1,Results!$H:$I,2,FALSE)),"")</f>
        <v/>
      </c>
      <c r="AR12" s="14"/>
      <c r="AS12" s="14"/>
      <c r="AT12" s="14"/>
      <c r="AU12" s="14"/>
      <c r="AV12" s="14"/>
      <c r="AW12" s="29"/>
      <c r="AX12" s="29"/>
      <c r="AY12" s="14"/>
      <c r="AZ12" s="14"/>
      <c r="BA12" s="29"/>
      <c r="BB12" s="29"/>
      <c r="BC12" s="14"/>
      <c r="BD12" s="14"/>
      <c r="BE12" s="14"/>
      <c r="BF12" s="29"/>
      <c r="BG12" s="29"/>
      <c r="BH12" s="2"/>
      <c r="BI12" s="11"/>
      <c r="BJ12" s="11"/>
      <c r="BK12" s="84">
        <f t="shared" si="5"/>
        <v>616</v>
      </c>
      <c r="BL12" s="15">
        <f t="shared" ref="BL12:BL34" si="10">COUNTIF(E12:H12,1)</f>
        <v>0</v>
      </c>
      <c r="BM12" s="15">
        <f t="shared" ref="BM12:BM34" si="11">COUNTIF(E12:H12,0)</f>
        <v>4</v>
      </c>
      <c r="BN12" s="15">
        <f t="shared" ref="BN12:BN34" si="12">COUNT(E12:H12)</f>
        <v>4</v>
      </c>
      <c r="BO12" s="90">
        <f t="shared" si="8"/>
        <v>0</v>
      </c>
      <c r="BR12" s="83">
        <f t="shared" si="6"/>
        <v>616</v>
      </c>
      <c r="BT12" s="15">
        <v>7</v>
      </c>
      <c r="BU12" s="15">
        <f t="shared" si="7"/>
        <v>0</v>
      </c>
      <c r="BV12" s="15">
        <f t="shared" si="9"/>
        <v>7</v>
      </c>
    </row>
    <row r="13" spans="1:74" ht="13.5" customHeight="1">
      <c r="A13" s="8"/>
      <c r="B13" s="8">
        <v>10</v>
      </c>
      <c r="C13" s="62" t="s">
        <v>55</v>
      </c>
      <c r="D13" s="62"/>
      <c r="E13" s="8">
        <f>IF(AND(AE13&gt;0,$A13&lt;VLOOKUP(AE$1,$C:$L,10,FALSE)),1,IF(AND(AE13&lt;0,$A13&gt;VLOOKUP(AE$1,$C:$L,10,FALSE)),1,0))</f>
        <v>0</v>
      </c>
      <c r="F13" s="8">
        <f>IF(AND(AF13&gt;0,$A13&lt;VLOOKUP(AF$1,$C:$L,10,FALSE)),1,IF(AND(AF13&lt;0,$A13&gt;VLOOKUP(AF$1,$C:$L,10,FALSE)),1,0))</f>
        <v>0</v>
      </c>
      <c r="G13" s="8">
        <f>IF(AND(AG13&gt;0,$A13&lt;VLOOKUP(AG$1,$C:$L,10,FALSE)),1,IF(AND(AG13&lt;0,$A13&gt;VLOOKUP(AG$1,$C:$L,10,FALSE)),1,0))</f>
        <v>0</v>
      </c>
      <c r="H13" s="8">
        <f>IF(AND(AI13&gt;0,$A13&lt;VLOOKUP(AI$1,$C:$L,10,FALSE)),1,IF(AND(AI13&lt;0,$A13&gt;VLOOKUP(AI$1,$C:$L,10,FALSE)),1,0))</f>
        <v>0</v>
      </c>
      <c r="I13" s="8">
        <f>IF(AND(AJ13&gt;0,$A13&lt;VLOOKUP(AJ$1,$C:$L,10,FALSE)),1,IF(AND(AJ13&lt;0,$A13&gt;VLOOKUP(AJ$1,$C:$L,10,FALSE)),1,0))</f>
        <v>0</v>
      </c>
      <c r="J13" s="8">
        <f>IF(AND(AK13&gt;0,$A13&lt;VLOOKUP(AK$1,$C:$L,10,FALSE)),1,IF(AND(AK13&lt;0,$A13&gt;VLOOKUP(AK$1,$C:$L,10,FALSE)),1,0))</f>
        <v>0</v>
      </c>
      <c r="K13" s="108" t="s">
        <v>135</v>
      </c>
      <c r="L13" s="94">
        <f t="shared" si="0"/>
        <v>0</v>
      </c>
      <c r="M13" s="14"/>
      <c r="N13" s="2">
        <v>3</v>
      </c>
      <c r="O13" s="17">
        <f t="shared" si="1"/>
        <v>1</v>
      </c>
      <c r="P13" s="2">
        <f t="shared" si="2"/>
        <v>5</v>
      </c>
      <c r="Q13" s="2">
        <f t="shared" si="3"/>
        <v>0</v>
      </c>
      <c r="R13" s="18">
        <f>COUNTIF($AG13:$AJ13,"&gt;0")</f>
        <v>0</v>
      </c>
      <c r="S13" s="19">
        <f>COUNTIF($AG13:$AJ13,"&lt;0")</f>
        <v>3</v>
      </c>
      <c r="T13" s="20">
        <f>COUNTIF($AG13:$AJ13,"=0")</f>
        <v>0</v>
      </c>
      <c r="U13" s="2">
        <f t="shared" si="4"/>
        <v>0</v>
      </c>
      <c r="V13" s="2" t="str">
        <f>IFERROR(IFERROR(VLOOKUP($C13&amp;" "&amp;V$1,Results!$G:$I,3,FALSE),-VLOOKUP($C13&amp;" "&amp;V$1,Results!$H:$I,2,FALSE)),"")</f>
        <v/>
      </c>
      <c r="W13" s="2" t="str">
        <f>IFERROR(IFERROR(VLOOKUP($C13&amp;" "&amp;W$1,Results!$G:$I,3,FALSE),-VLOOKUP($C13&amp;" "&amp;W$1,Results!$H:$I,2,FALSE)),"")</f>
        <v/>
      </c>
      <c r="X13" s="2" t="str">
        <f>IFERROR(IFERROR(VLOOKUP($C13&amp;" "&amp;X$1,Results!$G:$I,3,FALSE),-VLOOKUP($C13&amp;" "&amp;X$1,Results!$H:$I,2,FALSE)),"")</f>
        <v/>
      </c>
      <c r="Y13" s="2" t="str">
        <f>IFERROR(IFERROR(VLOOKUP($C13&amp;" "&amp;Y$1,Results!$G:$I,3,FALSE),-VLOOKUP($C13&amp;" "&amp;Y$1,Results!$H:$I,2,FALSE)),"")</f>
        <v/>
      </c>
      <c r="Z13" s="2" t="str">
        <f>IFERROR(IFERROR(VLOOKUP($C13&amp;" "&amp;Z$1,Results!$G:$I,3,FALSE),-VLOOKUP($C13&amp;" "&amp;Z$1,Results!$H:$I,2,FALSE)),"")</f>
        <v/>
      </c>
      <c r="AA13" s="2" t="str">
        <f>IFERROR(IFERROR(VLOOKUP($C13&amp;" "&amp;AA$1,Results!$G:$I,3,FALSE),-VLOOKUP($C13&amp;" "&amp;AA$1,Results!$H:$I,2,FALSE)),"")</f>
        <v/>
      </c>
      <c r="AB13" s="2" t="str">
        <f>IFERROR(IFERROR(VLOOKUP($C13&amp;" "&amp;AB$1,Results!$G:$I,3,FALSE),-VLOOKUP($C13&amp;" "&amp;AB$1,Results!$H:$I,2,FALSE)),"")</f>
        <v/>
      </c>
      <c r="AC13" s="14" t="str">
        <f>IFERROR(IFERROR(VLOOKUP($C13&amp;" "&amp;AC$1,Results!$G:$I,3,FALSE),-VLOOKUP($C13&amp;" "&amp;AC$1,Results!$H:$I,2,FALSE)),"")</f>
        <v/>
      </c>
      <c r="AD13" s="14" t="str">
        <f>IFERROR(IFERROR(VLOOKUP($C13&amp;" "&amp;AD$1,Results!$G:$I,3,FALSE),-VLOOKUP($C13&amp;" "&amp;AD$1,Results!$H:$I,2,FALSE)),"")</f>
        <v/>
      </c>
      <c r="AE13" s="34">
        <f>IFERROR(IFERROR(VLOOKUP($C13&amp;" "&amp;AE$1,Results!$G:$I,3,FALSE),-VLOOKUP($C13&amp;" "&amp;AE$1,Results!$H:$I,2,FALSE)),"")</f>
        <v>-122</v>
      </c>
      <c r="AF13" s="34">
        <f>IFERROR(IFERROR(VLOOKUP($C13&amp;" "&amp;AF$1,Results!$G:$I,3,FALSE),-VLOOKUP($C13&amp;" "&amp;AF$1,Results!$H:$I,2,FALSE)),"")</f>
        <v>-206</v>
      </c>
      <c r="AG13" s="66">
        <f>IFERROR(IFERROR(VLOOKUP($C13&amp;" "&amp;AG$1,Results!$G:$I,3,FALSE),-VLOOKUP($C13&amp;" "&amp;AG$1,Results!$H:$I,2,FALSE)),"")</f>
        <v>-129</v>
      </c>
      <c r="AH13" s="34" t="str">
        <f>IFERROR(IFERROR(VLOOKUP($C13&amp;" "&amp;AH$1,Results!$G:$I,3,FALSE),-VLOOKUP($C13&amp;" "&amp;AH$1,Results!$H:$I,2,FALSE)),"")</f>
        <v/>
      </c>
      <c r="AI13" s="34">
        <f>IFERROR(IFERROR(VLOOKUP($C13&amp;" "&amp;AI$1,Results!$G:$I,3,FALSE),-VLOOKUP($C13&amp;" "&amp;AI$1,Results!$H:$I,2,FALSE)),"")</f>
        <v>-1</v>
      </c>
      <c r="AJ13" s="67">
        <f>IFERROR(IFERROR(VLOOKUP($C13&amp;" "&amp;AJ$1,Results!$G:$I,3,FALSE),-VLOOKUP($C13&amp;" "&amp;AJ$1,Results!$H:$I,2,FALSE)),"")</f>
        <v>-58</v>
      </c>
      <c r="AK13" s="14">
        <f>IFERROR(IFERROR(VLOOKUP($C13&amp;" "&amp;AK$1,Results!$G:$I,3,FALSE),-VLOOKUP($C13&amp;" "&amp;AK$1,Results!$H:$I,2,FALSE)),"")</f>
        <v>67</v>
      </c>
      <c r="AL13" s="14" t="str">
        <f>IFERROR(IFERROR(VLOOKUP($C13&amp;" "&amp;AL$1,Results!$G:$I,3,FALSE),-VLOOKUP($C13&amp;" "&amp;AL$1,Results!$H:$I,2,FALSE)),"")</f>
        <v/>
      </c>
      <c r="AM13" s="14" t="str">
        <f>IFERROR(IFERROR(VLOOKUP($C13&amp;" "&amp;AM$1,Results!$G:$I,3,FALSE),-VLOOKUP($C13&amp;" "&amp;AM$1,Results!$H:$I,2,FALSE)),"")</f>
        <v/>
      </c>
      <c r="AN13" s="14" t="str">
        <f>IFERROR(IFERROR(VLOOKUP($C13&amp;" "&amp;AN$1,Results!$G:$I,3,FALSE),-VLOOKUP($C13&amp;" "&amp;AN$1,Results!$H:$I,2,FALSE)),"")</f>
        <v/>
      </c>
      <c r="AO13" s="14" t="str">
        <f>IFERROR(IFERROR(VLOOKUP($C13&amp;" "&amp;AO$1,Results!$G:$I,3,FALSE),-VLOOKUP($C13&amp;" "&amp;AO$1,Results!$H:$I,2,FALSE)),"")</f>
        <v/>
      </c>
      <c r="AP13" s="14" t="str">
        <f>IFERROR(IFERROR(VLOOKUP($C13&amp;" "&amp;AP$1,Results!$G:$I,3,FALSE),-VLOOKUP($C13&amp;" "&amp;AP$1,Results!$H:$I,2,FALSE)),"")</f>
        <v/>
      </c>
      <c r="AQ13" s="14" t="str">
        <f>IFERROR(IFERROR(VLOOKUP($C13&amp;" "&amp;AQ$1,Results!$G:$I,3,FALSE),-VLOOKUP($C13&amp;" "&amp;AQ$1,Results!$H:$I,2,FALSE)),"")</f>
        <v/>
      </c>
      <c r="AR13" s="14"/>
      <c r="AS13" s="14"/>
      <c r="AT13" s="14"/>
      <c r="AU13" s="14"/>
      <c r="AV13" s="14"/>
      <c r="AW13" s="29"/>
      <c r="AX13" s="29"/>
      <c r="AY13" s="14"/>
      <c r="AZ13" s="14"/>
      <c r="BA13" s="29"/>
      <c r="BB13" s="29"/>
      <c r="BC13" s="14"/>
      <c r="BD13" s="14"/>
      <c r="BE13" s="14"/>
      <c r="BF13" s="29"/>
      <c r="BG13" s="29"/>
      <c r="BH13" s="2"/>
      <c r="BI13" s="11"/>
      <c r="BJ13" s="11"/>
      <c r="BK13" s="84">
        <f t="shared" si="5"/>
        <v>-449</v>
      </c>
      <c r="BL13" s="15">
        <f t="shared" si="10"/>
        <v>0</v>
      </c>
      <c r="BM13" s="15">
        <f t="shared" si="11"/>
        <v>4</v>
      </c>
      <c r="BN13" s="15">
        <f t="shared" si="12"/>
        <v>4</v>
      </c>
      <c r="BO13" s="90">
        <f t="shared" si="8"/>
        <v>0</v>
      </c>
      <c r="BR13" s="83">
        <f t="shared" si="6"/>
        <v>-449</v>
      </c>
      <c r="BT13" s="15">
        <v>6</v>
      </c>
      <c r="BU13" s="15">
        <f t="shared" si="7"/>
        <v>0</v>
      </c>
      <c r="BV13" s="15">
        <f t="shared" si="9"/>
        <v>6</v>
      </c>
    </row>
    <row r="14" spans="1:74" ht="13.5" customHeight="1">
      <c r="B14" s="15">
        <v>11</v>
      </c>
      <c r="C14" s="16" t="s">
        <v>7</v>
      </c>
      <c r="D14" s="62"/>
      <c r="E14" s="8">
        <f>IF(AND(AF14&gt;0,$A14&lt;VLOOKUP(AF$1,$C:$L,10,FALSE)),1,IF(AND(AF14&lt;0,$A14&gt;VLOOKUP(AF$1,$C:$L,10,FALSE)),1,0))</f>
        <v>0</v>
      </c>
      <c r="F14" s="8">
        <f>IF(AND(AG14&gt;0,$A14&lt;VLOOKUP(AG$1,$C:$L,10,FALSE)),1,IF(AND(AG14&lt;0,$A14&gt;VLOOKUP(AG$1,$C:$L,10,FALSE)),1,0))</f>
        <v>0</v>
      </c>
      <c r="G14" s="8">
        <f>IF(AND(AH14&gt;0,$A14&lt;VLOOKUP(AH$1,$C:$L,10,FALSE)),1,IF(AND(AH14&lt;0,$A14&gt;VLOOKUP(AH$1,$C:$L,10,FALSE)),1,0))</f>
        <v>0</v>
      </c>
      <c r="H14" s="8">
        <f>IF(AND(AJ14&gt;0,$A14&lt;VLOOKUP(AJ$1,$C:$L,10,FALSE)),1,IF(AND(AJ14&lt;0,$A14&gt;VLOOKUP(AJ$1,$C:$L,10,FALSE)),1,0))</f>
        <v>0</v>
      </c>
      <c r="I14" s="8">
        <f>IF(AND(AK14&gt;0,$A14&lt;VLOOKUP(AK$1,$C:$L,10,FALSE)),1,IF(AND(AK14&lt;0,$A14&gt;VLOOKUP(AK$1,$C:$L,10,FALSE)),1,0))</f>
        <v>0</v>
      </c>
      <c r="J14" s="8">
        <f>IF(AND(AL14&gt;0,$A14&lt;VLOOKUP(AL$1,$C:$L,10,FALSE)),1,IF(AND(AL14&lt;0,$A14&gt;VLOOKUP(AL$1,$C:$L,10,FALSE)),1,0))</f>
        <v>0</v>
      </c>
      <c r="K14" s="108" t="s">
        <v>135</v>
      </c>
      <c r="L14" s="94">
        <f t="shared" si="0"/>
        <v>0</v>
      </c>
      <c r="M14" s="14"/>
      <c r="N14" s="2">
        <v>3</v>
      </c>
      <c r="O14" s="17">
        <f t="shared" si="1"/>
        <v>1</v>
      </c>
      <c r="P14" s="2">
        <f t="shared" si="2"/>
        <v>5</v>
      </c>
      <c r="Q14" s="2">
        <f t="shared" si="3"/>
        <v>0</v>
      </c>
      <c r="R14" s="18">
        <f>COUNTIF($AG14:$AJ14,"&gt;0")</f>
        <v>1</v>
      </c>
      <c r="S14" s="19">
        <f>COUNTIF($AG14:$AJ14,"&lt;0")</f>
        <v>2</v>
      </c>
      <c r="T14" s="20">
        <f>COUNTIF($AG14:$AJ14,"=0")</f>
        <v>0</v>
      </c>
      <c r="U14" s="2">
        <f t="shared" si="4"/>
        <v>0</v>
      </c>
      <c r="V14" s="2" t="str">
        <f>IFERROR(IFERROR(VLOOKUP($C14&amp;" "&amp;V$1,Results!$G:$I,3,FALSE),-VLOOKUP($C14&amp;" "&amp;V$1,Results!$H:$I,2,FALSE)),"")</f>
        <v/>
      </c>
      <c r="W14" s="2" t="str">
        <f>IFERROR(IFERROR(VLOOKUP($C14&amp;" "&amp;W$1,Results!$G:$I,3,FALSE),-VLOOKUP($C14&amp;" "&amp;W$1,Results!$H:$I,2,FALSE)),"")</f>
        <v/>
      </c>
      <c r="X14" s="2" t="str">
        <f>IFERROR(IFERROR(VLOOKUP($C14&amp;" "&amp;X$1,Results!$G:$I,3,FALSE),-VLOOKUP($C14&amp;" "&amp;X$1,Results!$H:$I,2,FALSE)),"")</f>
        <v/>
      </c>
      <c r="Y14" s="2" t="str">
        <f>IFERROR(IFERROR(VLOOKUP($C14&amp;" "&amp;Y$1,Results!$G:$I,3,FALSE),-VLOOKUP($C14&amp;" "&amp;Y$1,Results!$H:$I,2,FALSE)),"")</f>
        <v/>
      </c>
      <c r="Z14" s="2" t="str">
        <f>IFERROR(IFERROR(VLOOKUP($C14&amp;" "&amp;Z$1,Results!$G:$I,3,FALSE),-VLOOKUP($C14&amp;" "&amp;Z$1,Results!$H:$I,2,FALSE)),"")</f>
        <v/>
      </c>
      <c r="AA14" s="2" t="str">
        <f>IFERROR(IFERROR(VLOOKUP($C14&amp;" "&amp;AA$1,Results!$G:$I,3,FALSE),-VLOOKUP($C14&amp;" "&amp;AA$1,Results!$H:$I,2,FALSE)),"")</f>
        <v/>
      </c>
      <c r="AB14" s="2" t="str">
        <f>IFERROR(IFERROR(VLOOKUP($C14&amp;" "&amp;AB$1,Results!$G:$I,3,FALSE),-VLOOKUP($C14&amp;" "&amp;AB$1,Results!$H:$I,2,FALSE)),"")</f>
        <v/>
      </c>
      <c r="AC14" s="70" t="str">
        <f>IFERROR(IFERROR(VLOOKUP($C14&amp;" "&amp;AC$1,Results!$G:$I,3,FALSE),-VLOOKUP($C14&amp;" "&amp;AC$1,Results!$H:$I,2,FALSE)),"")</f>
        <v/>
      </c>
      <c r="AD14" s="14" t="str">
        <f>IFERROR(IFERROR(VLOOKUP($C14&amp;" "&amp;AD$1,Results!$G:$I,3,FALSE),-VLOOKUP($C14&amp;" "&amp;AD$1,Results!$H:$I,2,FALSE)),"")</f>
        <v/>
      </c>
      <c r="AE14" s="14" t="str">
        <f>IFERROR(IFERROR(VLOOKUP($C14&amp;" "&amp;AE$1,Results!$G:$I,3,FALSE),-VLOOKUP($C14&amp;" "&amp;AE$1,Results!$H:$I,2,FALSE)),"")</f>
        <v/>
      </c>
      <c r="AF14" s="34">
        <f>IFERROR(IFERROR(VLOOKUP($C14&amp;" "&amp;AF$1,Results!$G:$I,3,FALSE),-VLOOKUP($C14&amp;" "&amp;AF$1,Results!$H:$I,2,FALSE)),"")</f>
        <v>-166</v>
      </c>
      <c r="AG14" s="66">
        <f>IFERROR(IFERROR(VLOOKUP($C14&amp;" "&amp;AG$1,Results!$G:$I,3,FALSE),-VLOOKUP($C14&amp;" "&amp;AG$1,Results!$H:$I,2,FALSE)),"")</f>
        <v>-184</v>
      </c>
      <c r="AH14" s="34">
        <f>IFERROR(IFERROR(VLOOKUP($C14&amp;" "&amp;AH$1,Results!$G:$I,3,FALSE),-VLOOKUP($C14&amp;" "&amp;AH$1,Results!$H:$I,2,FALSE)),"")</f>
        <v>1</v>
      </c>
      <c r="AI14" s="34" t="str">
        <f>IFERROR(IFERROR(VLOOKUP($C14&amp;" "&amp;AI$1,Results!$G:$I,3,FALSE),-VLOOKUP($C14&amp;" "&amp;AI$1,Results!$H:$I,2,FALSE)),"")</f>
        <v/>
      </c>
      <c r="AJ14" s="67">
        <f>IFERROR(IFERROR(VLOOKUP($C14&amp;" "&amp;AJ$1,Results!$G:$I,3,FALSE),-VLOOKUP($C14&amp;" "&amp;AJ$1,Results!$H:$I,2,FALSE)),"")</f>
        <v>-30</v>
      </c>
      <c r="AK14" s="14">
        <f>IFERROR(IFERROR(VLOOKUP($C14&amp;" "&amp;AK$1,Results!$G:$I,3,FALSE),-VLOOKUP($C14&amp;" "&amp;AK$1,Results!$H:$I,2,FALSE)),"")</f>
        <v>-102</v>
      </c>
      <c r="AL14" s="14">
        <f>IFERROR(IFERROR(VLOOKUP($C14&amp;" "&amp;AL$1,Results!$G:$I,3,FALSE),-VLOOKUP($C14&amp;" "&amp;AL$1,Results!$H:$I,2,FALSE)),"")</f>
        <v>-47</v>
      </c>
      <c r="AM14" s="14" t="str">
        <f>IFERROR(IFERROR(VLOOKUP($C14&amp;" "&amp;AM$1,Results!$G:$I,3,FALSE),-VLOOKUP($C14&amp;" "&amp;AM$1,Results!$H:$I,2,FALSE)),"")</f>
        <v/>
      </c>
      <c r="AN14" s="14" t="str">
        <f>IFERROR(IFERROR(VLOOKUP($C14&amp;" "&amp;AN$1,Results!$G:$I,3,FALSE),-VLOOKUP($C14&amp;" "&amp;AN$1,Results!$H:$I,2,FALSE)),"")</f>
        <v/>
      </c>
      <c r="AO14" s="14" t="str">
        <f>IFERROR(IFERROR(VLOOKUP($C14&amp;" "&amp;AO$1,Results!$G:$I,3,FALSE),-VLOOKUP($C14&amp;" "&amp;AO$1,Results!$H:$I,2,FALSE)),"")</f>
        <v/>
      </c>
      <c r="AP14" s="14" t="str">
        <f>IFERROR(IFERROR(VLOOKUP($C14&amp;" "&amp;AP$1,Results!$G:$I,3,FALSE),-VLOOKUP($C14&amp;" "&amp;AP$1,Results!$H:$I,2,FALSE)),"")</f>
        <v/>
      </c>
      <c r="AQ14" s="14" t="str">
        <f>IFERROR(IFERROR(VLOOKUP($C14&amp;" "&amp;AQ$1,Results!$G:$I,3,FALSE),-VLOOKUP($C14&amp;" "&amp;AQ$1,Results!$H:$I,2,FALSE)),"")</f>
        <v/>
      </c>
      <c r="AR14" s="14"/>
      <c r="AS14" s="14"/>
      <c r="AT14" s="14"/>
      <c r="AU14" s="14"/>
      <c r="AV14" s="14"/>
      <c r="AW14" s="29"/>
      <c r="AX14" s="29"/>
      <c r="AY14" s="14"/>
      <c r="AZ14" s="14"/>
      <c r="BA14" s="29"/>
      <c r="BB14" s="29"/>
      <c r="BC14" s="14"/>
      <c r="BD14" s="14"/>
      <c r="BE14" s="14"/>
      <c r="BF14" s="29"/>
      <c r="BG14" s="29"/>
      <c r="BH14" s="2"/>
      <c r="BI14" s="11"/>
      <c r="BJ14" s="11"/>
      <c r="BK14" s="84">
        <f t="shared" si="5"/>
        <v>-528</v>
      </c>
      <c r="BL14" s="15">
        <f t="shared" si="10"/>
        <v>0</v>
      </c>
      <c r="BM14" s="15">
        <f t="shared" si="11"/>
        <v>4</v>
      </c>
      <c r="BN14" s="15">
        <f t="shared" si="12"/>
        <v>4</v>
      </c>
      <c r="BO14" s="90">
        <f t="shared" si="8"/>
        <v>0</v>
      </c>
      <c r="BR14" s="83">
        <f t="shared" si="6"/>
        <v>-528</v>
      </c>
      <c r="BT14" s="15">
        <v>11</v>
      </c>
      <c r="BU14" s="15">
        <f t="shared" si="7"/>
        <v>0</v>
      </c>
      <c r="BV14" s="15">
        <f t="shared" si="9"/>
        <v>11</v>
      </c>
    </row>
    <row r="15" spans="1:74" ht="13.5" customHeight="1" thickBot="1">
      <c r="B15" s="15">
        <v>12</v>
      </c>
      <c r="C15" s="62" t="s">
        <v>49</v>
      </c>
      <c r="D15" s="16"/>
      <c r="E15" s="8">
        <f>IF(AND(AG15&gt;0,$A15&lt;VLOOKUP(AG$1,$C:$L,10,FALSE)),1,IF(AND(AG15&lt;0,$A15&gt;VLOOKUP(AG$1,$C:$L,10,FALSE)),1,0))</f>
        <v>0</v>
      </c>
      <c r="F15" s="8">
        <f>IF(AND(AH15&gt;0,$A15&lt;VLOOKUP(AH$1,$C:$L,10,FALSE)),1,IF(AND(AH15&lt;0,$A15&gt;VLOOKUP(AH$1,$C:$L,10,FALSE)),1,0))</f>
        <v>0</v>
      </c>
      <c r="G15" s="8">
        <f>IF(AND(AI15&gt;0,$A15&lt;VLOOKUP(AI$1,$C:$L,10,FALSE)),1,IF(AND(AI15&lt;0,$A15&gt;VLOOKUP(AI$1,$C:$L,10,FALSE)),1,0))</f>
        <v>0</v>
      </c>
      <c r="H15" s="8">
        <f>IF(AND(AK15&gt;0,$A15&lt;VLOOKUP(AK$1,$C:$L,10,FALSE)),1,IF(AND(AK15&lt;0,$A15&gt;VLOOKUP(AK$1,$C:$L,10,FALSE)),1,0))</f>
        <v>0</v>
      </c>
      <c r="I15" s="8">
        <f>IF(AND(AL15&gt;0,$A15&lt;VLOOKUP(AL$1,$C:$L,10,FALSE)),1,IF(AND(AL15&lt;0,$A15&gt;VLOOKUP(AL$1,$C:$L,10,FALSE)),1,0))</f>
        <v>0</v>
      </c>
      <c r="J15" s="8">
        <f>IF(AND(AM15&gt;0,$A15&lt;VLOOKUP(AM$1,$C:$L,10,FALSE)),1,IF(AND(AM15&lt;0,$A15&gt;VLOOKUP(AM$1,$C:$L,10,FALSE)),1,0))</f>
        <v>0</v>
      </c>
      <c r="K15" s="108" t="s">
        <v>135</v>
      </c>
      <c r="L15" s="94">
        <f t="shared" si="0"/>
        <v>0</v>
      </c>
      <c r="M15" s="2"/>
      <c r="N15" s="2">
        <v>3</v>
      </c>
      <c r="O15" s="17">
        <f t="shared" si="1"/>
        <v>4</v>
      </c>
      <c r="P15" s="2">
        <f t="shared" si="2"/>
        <v>2</v>
      </c>
      <c r="Q15" s="2">
        <f t="shared" si="3"/>
        <v>0</v>
      </c>
      <c r="R15" s="18">
        <f>COUNTIF($AG15:$AJ15,"&gt;0")</f>
        <v>2</v>
      </c>
      <c r="S15" s="19">
        <f>COUNTIF($AG15:$AJ15,"&lt;0")</f>
        <v>1</v>
      </c>
      <c r="T15" s="20">
        <f>COUNTIF($AG15:$AJ15,"=0")</f>
        <v>0</v>
      </c>
      <c r="U15" s="2">
        <f t="shared" si="4"/>
        <v>0</v>
      </c>
      <c r="V15" s="2" t="str">
        <f>IFERROR(IFERROR(VLOOKUP($C15&amp;" "&amp;V$1,Results!$G:$I,3,FALSE),-VLOOKUP($C15&amp;" "&amp;V$1,Results!$H:$I,2,FALSE)),"")</f>
        <v/>
      </c>
      <c r="W15" s="2" t="str">
        <f>IFERROR(IFERROR(VLOOKUP($C15&amp;" "&amp;W$1,Results!$G:$I,3,FALSE),-VLOOKUP($C15&amp;" "&amp;W$1,Results!$H:$I,2,FALSE)),"")</f>
        <v/>
      </c>
      <c r="X15" s="2" t="str">
        <f>IFERROR(IFERROR(VLOOKUP($C15&amp;" "&amp;X$1,Results!$G:$I,3,FALSE),-VLOOKUP($C15&amp;" "&amp;X$1,Results!$H:$I,2,FALSE)),"")</f>
        <v/>
      </c>
      <c r="Y15" s="2" t="str">
        <f>IFERROR(IFERROR(VLOOKUP($C15&amp;" "&amp;Y$1,Results!$G:$I,3,FALSE),-VLOOKUP($C15&amp;" "&amp;Y$1,Results!$H:$I,2,FALSE)),"")</f>
        <v/>
      </c>
      <c r="Z15" s="2" t="str">
        <f>IFERROR(IFERROR(VLOOKUP($C15&amp;" "&amp;Z$1,Results!$G:$I,3,FALSE),-VLOOKUP($C15&amp;" "&amp;Z$1,Results!$H:$I,2,FALSE)),"")</f>
        <v/>
      </c>
      <c r="AA15" s="2" t="str">
        <f>IFERROR(IFERROR(VLOOKUP($C15&amp;" "&amp;AA$1,Results!$G:$I,3,FALSE),-VLOOKUP($C15&amp;" "&amp;AA$1,Results!$H:$I,2,FALSE)),"")</f>
        <v/>
      </c>
      <c r="AB15" s="2" t="str">
        <f>IFERROR(IFERROR(VLOOKUP($C15&amp;" "&amp;AB$1,Results!$G:$I,3,FALSE),-VLOOKUP($C15&amp;" "&amp;AB$1,Results!$H:$I,2,FALSE)),"")</f>
        <v/>
      </c>
      <c r="AC15" s="14" t="str">
        <f>IFERROR(IFERROR(VLOOKUP($C15&amp;" "&amp;AC$1,Results!$G:$I,3,FALSE),-VLOOKUP($C15&amp;" "&amp;AC$1,Results!$H:$I,2,FALSE)),"")</f>
        <v/>
      </c>
      <c r="AD15" s="14" t="str">
        <f>IFERROR(IFERROR(VLOOKUP($C15&amp;" "&amp;AD$1,Results!$G:$I,3,FALSE),-VLOOKUP($C15&amp;" "&amp;AD$1,Results!$H:$I,2,FALSE)),"")</f>
        <v/>
      </c>
      <c r="AE15" s="14" t="str">
        <f>IFERROR(IFERROR(VLOOKUP($C15&amp;" "&amp;AE$1,Results!$G:$I,3,FALSE),-VLOOKUP($C15&amp;" "&amp;AE$1,Results!$H:$I,2,FALSE)),"")</f>
        <v/>
      </c>
      <c r="AF15" s="14" t="str">
        <f>IFERROR(IFERROR(VLOOKUP($C15&amp;" "&amp;AF$1,Results!$G:$I,3,FALSE),-VLOOKUP($C15&amp;" "&amp;AF$1,Results!$H:$I,2,FALSE)),"")</f>
        <v/>
      </c>
      <c r="AG15" s="68">
        <f>IFERROR(IFERROR(VLOOKUP($C15&amp;" "&amp;AG$1,Results!$G:$I,3,FALSE),-VLOOKUP($C15&amp;" "&amp;AG$1,Results!$H:$I,2,FALSE)),"")</f>
        <v>-209</v>
      </c>
      <c r="AH15" s="69">
        <f>IFERROR(IFERROR(VLOOKUP($C15&amp;" "&amp;AH$1,Results!$G:$I,3,FALSE),-VLOOKUP($C15&amp;" "&amp;AH$1,Results!$H:$I,2,FALSE)),"")</f>
        <v>58</v>
      </c>
      <c r="AI15" s="69">
        <f>IFERROR(IFERROR(VLOOKUP($C15&amp;" "&amp;AI$1,Results!$G:$I,3,FALSE),-VLOOKUP($C15&amp;" "&amp;AI$1,Results!$H:$I,2,FALSE)),"")</f>
        <v>30</v>
      </c>
      <c r="AJ15" s="35" t="str">
        <f>IFERROR(IFERROR(VLOOKUP($C15&amp;" "&amp;AJ$1,Results!$G:$I,3,FALSE),-VLOOKUP($C15&amp;" "&amp;AJ$1,Results!$H:$I,2,FALSE)),"")</f>
        <v/>
      </c>
      <c r="AK15" s="14">
        <f>IFERROR(IFERROR(VLOOKUP($C15&amp;" "&amp;AK$1,Results!$G:$I,3,FALSE),-VLOOKUP($C15&amp;" "&amp;AK$1,Results!$H:$I,2,FALSE)),"")</f>
        <v>75</v>
      </c>
      <c r="AL15" s="14">
        <f>IFERROR(IFERROR(VLOOKUP($C15&amp;" "&amp;AL$1,Results!$G:$I,3,FALSE),-VLOOKUP($C15&amp;" "&amp;AL$1,Results!$H:$I,2,FALSE)),"")</f>
        <v>-65</v>
      </c>
      <c r="AM15" s="14">
        <f>IFERROR(IFERROR(VLOOKUP($C15&amp;" "&amp;AM$1,Results!$G:$I,3,FALSE),-VLOOKUP($C15&amp;" "&amp;AM$1,Results!$H:$I,2,FALSE)),"")</f>
        <v>15</v>
      </c>
      <c r="AN15" s="14" t="str">
        <f>IFERROR(IFERROR(VLOOKUP($C15&amp;" "&amp;AN$1,Results!$G:$I,3,FALSE),-VLOOKUP($C15&amp;" "&amp;AN$1,Results!$H:$I,2,FALSE)),"")</f>
        <v/>
      </c>
      <c r="AO15" s="14" t="str">
        <f>IFERROR(IFERROR(VLOOKUP($C15&amp;" "&amp;AO$1,Results!$G:$I,3,FALSE),-VLOOKUP($C15&amp;" "&amp;AO$1,Results!$H:$I,2,FALSE)),"")</f>
        <v/>
      </c>
      <c r="AP15" s="14" t="str">
        <f>IFERROR(IFERROR(VLOOKUP($C15&amp;" "&amp;AP$1,Results!$G:$I,3,FALSE),-VLOOKUP($C15&amp;" "&amp;AP$1,Results!$H:$I,2,FALSE)),"")</f>
        <v/>
      </c>
      <c r="AQ15" s="14" t="str">
        <f>IFERROR(IFERROR(VLOOKUP($C15&amp;" "&amp;AQ$1,Results!$G:$I,3,FALSE),-VLOOKUP($C15&amp;" "&amp;AQ$1,Results!$H:$I,2,FALSE)),"")</f>
        <v/>
      </c>
      <c r="AR15" s="14"/>
      <c r="AS15" s="14"/>
      <c r="AT15" s="14"/>
      <c r="AU15" s="14"/>
      <c r="AV15" s="14"/>
      <c r="AW15" s="29"/>
      <c r="AX15" s="29"/>
      <c r="AY15" s="14"/>
      <c r="AZ15" s="14"/>
      <c r="BA15" s="29"/>
      <c r="BB15" s="29"/>
      <c r="BC15" s="14"/>
      <c r="BD15" s="14"/>
      <c r="BE15" s="14"/>
      <c r="BF15" s="29"/>
      <c r="BG15" s="29"/>
      <c r="BH15" s="2"/>
      <c r="BI15" s="11"/>
      <c r="BJ15" s="11"/>
      <c r="BK15" s="84">
        <f t="shared" si="5"/>
        <v>-96</v>
      </c>
      <c r="BL15" s="15">
        <f t="shared" si="10"/>
        <v>0</v>
      </c>
      <c r="BM15" s="15">
        <f t="shared" si="11"/>
        <v>4</v>
      </c>
      <c r="BN15" s="15">
        <f t="shared" si="12"/>
        <v>4</v>
      </c>
      <c r="BO15" s="90">
        <f t="shared" si="8"/>
        <v>0</v>
      </c>
      <c r="BR15" s="83">
        <f t="shared" si="6"/>
        <v>-96</v>
      </c>
      <c r="BT15" s="15">
        <v>15</v>
      </c>
      <c r="BU15" s="15">
        <f t="shared" si="7"/>
        <v>0</v>
      </c>
      <c r="BV15" s="15">
        <f t="shared" si="9"/>
        <v>15</v>
      </c>
    </row>
    <row r="16" spans="1:74" ht="13.5" customHeight="1">
      <c r="B16" s="15">
        <v>13</v>
      </c>
      <c r="C16" s="62" t="s">
        <v>9</v>
      </c>
      <c r="D16" s="62"/>
      <c r="E16" s="8">
        <f>IF(AND(AH16&gt;0,$A16&lt;VLOOKUP(AH$1,$C:$L,10,FALSE)),1,IF(AND(AH16&lt;0,$A16&gt;VLOOKUP(AH$1,$C:$L,10,FALSE)),1,0))</f>
        <v>0</v>
      </c>
      <c r="F16" s="8">
        <f>IF(AND(AI16&gt;0,$A16&lt;VLOOKUP(AI$1,$C:$L,10,FALSE)),1,IF(AND(AI16&lt;0,$A16&gt;VLOOKUP(AI$1,$C:$L,10,FALSE)),1,0))</f>
        <v>0</v>
      </c>
      <c r="G16" s="8">
        <f>IF(AND(AJ16&gt;0,$A16&lt;VLOOKUP(AJ$1,$C:$L,10,FALSE)),1,IF(AND(AJ16&lt;0,$A16&gt;VLOOKUP(AJ$1,$C:$L,10,FALSE)),1,0))</f>
        <v>0</v>
      </c>
      <c r="H16" s="8">
        <f>IF(AND(AL16&gt;0,$A16&lt;VLOOKUP(AL$1,$C:$L,10,FALSE)),1,IF(AND(AL16&lt;0,$A16&gt;VLOOKUP(AL$1,$C:$L,10,FALSE)),1,0))</f>
        <v>0</v>
      </c>
      <c r="I16" s="8">
        <f>IF(AND(AM16&gt;0,$A16&lt;VLOOKUP(AM$1,$C:$L,10,FALSE)),1,IF(AND(AM16&lt;0,$A16&gt;VLOOKUP(AM$1,$C:$L,10,FALSE)),1,0))</f>
        <v>0</v>
      </c>
      <c r="J16" s="8">
        <f>IF(AND(AN16&gt;0,$A16&lt;VLOOKUP(AN$1,$C:$L,10,FALSE)),1,IF(AND(AN16&lt;0,$A16&gt;VLOOKUP(AN$1,$C:$L,10,FALSE)),1,0))</f>
        <v>0</v>
      </c>
      <c r="K16" s="108" t="s">
        <v>135</v>
      </c>
      <c r="L16" s="94">
        <f t="shared" si="0"/>
        <v>0</v>
      </c>
      <c r="M16" s="14"/>
      <c r="N16" s="2">
        <v>4</v>
      </c>
      <c r="O16" s="17">
        <f t="shared" si="1"/>
        <v>2</v>
      </c>
      <c r="P16" s="2">
        <f t="shared" si="2"/>
        <v>4</v>
      </c>
      <c r="Q16" s="2">
        <f t="shared" si="3"/>
        <v>0</v>
      </c>
      <c r="R16" s="18">
        <f>COUNTIF($AK16:$AN16,"&gt;0")</f>
        <v>1</v>
      </c>
      <c r="S16" s="19">
        <f>COUNTIF($AK16:$AN16,"&lt;0")</f>
        <v>2</v>
      </c>
      <c r="T16" s="20">
        <f>COUNTIF($AK16:$AN16,"=0")</f>
        <v>0</v>
      </c>
      <c r="U16" s="2">
        <f t="shared" si="4"/>
        <v>0</v>
      </c>
      <c r="V16" s="2" t="str">
        <f>IFERROR(IFERROR(VLOOKUP($C16&amp;" "&amp;V$1,Results!$G:$I,3,FALSE),-VLOOKUP($C16&amp;" "&amp;V$1,Results!$H:$I,2,FALSE)),"")</f>
        <v/>
      </c>
      <c r="W16" s="2" t="str">
        <f>IFERROR(IFERROR(VLOOKUP($C16&amp;" "&amp;W$1,Results!$G:$I,3,FALSE),-VLOOKUP($C16&amp;" "&amp;W$1,Results!$H:$I,2,FALSE)),"")</f>
        <v/>
      </c>
      <c r="X16" s="2" t="str">
        <f>IFERROR(IFERROR(VLOOKUP($C16&amp;" "&amp;X$1,Results!$G:$I,3,FALSE),-VLOOKUP($C16&amp;" "&amp;X$1,Results!$H:$I,2,FALSE)),"")</f>
        <v/>
      </c>
      <c r="Y16" s="2" t="str">
        <f>IFERROR(IFERROR(VLOOKUP($C16&amp;" "&amp;Y$1,Results!$G:$I,3,FALSE),-VLOOKUP($C16&amp;" "&amp;Y$1,Results!$H:$I,2,FALSE)),"")</f>
        <v/>
      </c>
      <c r="Z16" s="2" t="str">
        <f>IFERROR(IFERROR(VLOOKUP($C16&amp;" "&amp;Z$1,Results!$G:$I,3,FALSE),-VLOOKUP($C16&amp;" "&amp;Z$1,Results!$H:$I,2,FALSE)),"")</f>
        <v/>
      </c>
      <c r="AA16" s="2" t="str">
        <f>IFERROR(IFERROR(VLOOKUP($C16&amp;" "&amp;AA$1,Results!$G:$I,3,FALSE),-VLOOKUP($C16&amp;" "&amp;AA$1,Results!$H:$I,2,FALSE)),"")</f>
        <v/>
      </c>
      <c r="AB16" s="2" t="str">
        <f>IFERROR(IFERROR(VLOOKUP($C16&amp;" "&amp;AB$1,Results!$G:$I,3,FALSE),-VLOOKUP($C16&amp;" "&amp;AB$1,Results!$H:$I,2,FALSE)),"")</f>
        <v/>
      </c>
      <c r="AC16" s="14" t="str">
        <f>IFERROR(IFERROR(VLOOKUP($C16&amp;" "&amp;AC$1,Results!$G:$I,3,FALSE),-VLOOKUP($C16&amp;" "&amp;AC$1,Results!$H:$I,2,FALSE)),"")</f>
        <v/>
      </c>
      <c r="AD16" s="14" t="str">
        <f>IFERROR(IFERROR(VLOOKUP($C16&amp;" "&amp;AD$1,Results!$G:$I,3,FALSE),-VLOOKUP($C16&amp;" "&amp;AD$1,Results!$H:$I,2,FALSE)),"")</f>
        <v/>
      </c>
      <c r="AE16" s="14" t="str">
        <f>IFERROR(IFERROR(VLOOKUP($C16&amp;" "&amp;AE$1,Results!$G:$I,3,FALSE),-VLOOKUP($C16&amp;" "&amp;AE$1,Results!$H:$I,2,FALSE)),"")</f>
        <v/>
      </c>
      <c r="AF16" s="14" t="str">
        <f>IFERROR(IFERROR(VLOOKUP($C16&amp;" "&amp;AF$1,Results!$G:$I,3,FALSE),-VLOOKUP($C16&amp;" "&amp;AF$1,Results!$H:$I,2,FALSE)),"")</f>
        <v/>
      </c>
      <c r="AG16" s="14" t="str">
        <f>IFERROR(IFERROR(VLOOKUP($C16&amp;" "&amp;AG$1,Results!$G:$I,3,FALSE),-VLOOKUP($C16&amp;" "&amp;AG$1,Results!$H:$I,2,FALSE)),"")</f>
        <v/>
      </c>
      <c r="AH16" s="14">
        <f>IFERROR(IFERROR(VLOOKUP($C16&amp;" "&amp;AH$1,Results!$G:$I,3,FALSE),-VLOOKUP($C16&amp;" "&amp;AH$1,Results!$H:$I,2,FALSE)),"")</f>
        <v>-67</v>
      </c>
      <c r="AI16" s="14">
        <f>IFERROR(IFERROR(VLOOKUP($C16&amp;" "&amp;AI$1,Results!$G:$I,3,FALSE),-VLOOKUP($C16&amp;" "&amp;AI$1,Results!$H:$I,2,FALSE)),"")</f>
        <v>102</v>
      </c>
      <c r="AJ16" s="14">
        <f>IFERROR(IFERROR(VLOOKUP($C16&amp;" "&amp;AJ$1,Results!$G:$I,3,FALSE),-VLOOKUP($C16&amp;" "&amp;AJ$1,Results!$H:$I,2,FALSE)),"")</f>
        <v>-75</v>
      </c>
      <c r="AK16" s="33" t="str">
        <f>IFERROR(IFERROR(VLOOKUP($C16&amp;" "&amp;AK$1,Results!$G:$I,3,FALSE),-VLOOKUP($C16&amp;" "&amp;AK$1,Results!$H:$I,2,FALSE)),"")</f>
        <v/>
      </c>
      <c r="AL16" s="64">
        <f>IFERROR(IFERROR(VLOOKUP($C16&amp;" "&amp;AL$1,Results!$G:$I,3,FALSE),-VLOOKUP($C16&amp;" "&amp;AL$1,Results!$H:$I,2,FALSE)),"")</f>
        <v>41</v>
      </c>
      <c r="AM16" s="64">
        <f>IFERROR(IFERROR(VLOOKUP($C16&amp;" "&amp;AM$1,Results!$G:$I,3,FALSE),-VLOOKUP($C16&amp;" "&amp;AM$1,Results!$H:$I,2,FALSE)),"")</f>
        <v>-55</v>
      </c>
      <c r="AN16" s="65">
        <f>IFERROR(IFERROR(VLOOKUP($C16&amp;" "&amp;AN$1,Results!$G:$I,3,FALSE),-VLOOKUP($C16&amp;" "&amp;AN$1,Results!$H:$I,2,FALSE)),"")</f>
        <v>-29</v>
      </c>
      <c r="AO16" s="14" t="str">
        <f>IFERROR(IFERROR(VLOOKUP($C16&amp;" "&amp;AO$1,Results!$G:$I,3,FALSE),-VLOOKUP($C16&amp;" "&amp;AO$1,Results!$H:$I,2,FALSE)),"")</f>
        <v/>
      </c>
      <c r="AP16" s="14" t="str">
        <f>IFERROR(IFERROR(VLOOKUP($C16&amp;" "&amp;AP$1,Results!$G:$I,3,FALSE),-VLOOKUP($C16&amp;" "&amp;AP$1,Results!$H:$I,2,FALSE)),"")</f>
        <v/>
      </c>
      <c r="AQ16" s="14" t="str">
        <f>IFERROR(IFERROR(VLOOKUP($C16&amp;" "&amp;AQ$1,Results!$G:$I,3,FALSE),-VLOOKUP($C16&amp;" "&amp;AQ$1,Results!$H:$I,2,FALSE)),"")</f>
        <v/>
      </c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2"/>
      <c r="BI16" s="23"/>
      <c r="BJ16" s="23"/>
      <c r="BK16" s="84">
        <f t="shared" si="5"/>
        <v>-83</v>
      </c>
      <c r="BL16" s="15">
        <f t="shared" si="10"/>
        <v>0</v>
      </c>
      <c r="BM16" s="15">
        <f t="shared" si="11"/>
        <v>4</v>
      </c>
      <c r="BN16" s="15">
        <f t="shared" si="12"/>
        <v>4</v>
      </c>
      <c r="BO16" s="90">
        <f t="shared" si="8"/>
        <v>0</v>
      </c>
      <c r="BR16" s="83">
        <f t="shared" si="6"/>
        <v>-83</v>
      </c>
      <c r="BT16" s="15">
        <v>9</v>
      </c>
      <c r="BU16" s="15">
        <f t="shared" si="7"/>
        <v>0</v>
      </c>
      <c r="BV16" s="15">
        <f t="shared" si="9"/>
        <v>9</v>
      </c>
    </row>
    <row r="17" spans="1:74" ht="13.5" customHeight="1">
      <c r="A17" s="8"/>
      <c r="B17" s="8">
        <v>14</v>
      </c>
      <c r="C17" s="62" t="s">
        <v>50</v>
      </c>
      <c r="D17" s="62"/>
      <c r="E17" s="8">
        <f>IF(AND(AI17&gt;0,$A17&lt;VLOOKUP(AI$1,$C:$L,10,FALSE)),1,IF(AND(AI17&lt;0,$A17&gt;VLOOKUP(AI$1,$C:$L,10,FALSE)),1,0))</f>
        <v>0</v>
      </c>
      <c r="F17" s="8">
        <f>IF(AND(AJ17&gt;0,$A17&lt;VLOOKUP(AJ$1,$C:$L,10,FALSE)),1,IF(AND(AJ17&lt;0,$A17&gt;VLOOKUP(AJ$1,$C:$L,10,FALSE)),1,0))</f>
        <v>0</v>
      </c>
      <c r="G17" s="8">
        <f>IF(AND(AK17&gt;0,$A17&lt;VLOOKUP(AK$1,$C:$L,10,FALSE)),1,IF(AND(AK17&lt;0,$A17&gt;VLOOKUP(AK$1,$C:$L,10,FALSE)),1,0))</f>
        <v>0</v>
      </c>
      <c r="H17" s="8">
        <f>IF(AND(AM17&gt;0,$A17&lt;VLOOKUP(AM$1,$C:$L,10,FALSE)),1,IF(AND(AM17&lt;0,$A17&gt;VLOOKUP(AM$1,$C:$L,10,FALSE)),1,0))</f>
        <v>0</v>
      </c>
      <c r="I17" s="8">
        <f>IF(AND(AN17&gt;0,$A17&lt;VLOOKUP(AN$1,$C:$L,10,FALSE)),1,IF(AND(AN17&lt;0,$A17&gt;VLOOKUP(AN$1,$C:$L,10,FALSE)),1,0))</f>
        <v>0</v>
      </c>
      <c r="J17" s="8">
        <f>IF(AND(AO17&gt;0,$A17&lt;VLOOKUP(AO$1,$C:$L,10,FALSE)),1,IF(AND(AO17&lt;0,$A17&gt;VLOOKUP(AO$1,$C:$L,10,FALSE)),1,0))</f>
        <v>0</v>
      </c>
      <c r="K17" s="108" t="s">
        <v>135</v>
      </c>
      <c r="L17" s="94">
        <f t="shared" si="0"/>
        <v>0</v>
      </c>
      <c r="M17" s="14"/>
      <c r="N17" s="2">
        <v>4</v>
      </c>
      <c r="O17" s="17">
        <f t="shared" si="1"/>
        <v>5</v>
      </c>
      <c r="P17" s="2">
        <f t="shared" si="2"/>
        <v>1</v>
      </c>
      <c r="Q17" s="2">
        <f t="shared" si="3"/>
        <v>0</v>
      </c>
      <c r="R17" s="18">
        <f>COUNTIF($AK17:$AN17,"&gt;0")</f>
        <v>2</v>
      </c>
      <c r="S17" s="19">
        <f>COUNTIF($AK17:$AN17,"&lt;0")</f>
        <v>1</v>
      </c>
      <c r="T17" s="20">
        <f>COUNTIF($AK17:$AN17,"=0")</f>
        <v>0</v>
      </c>
      <c r="U17" s="2">
        <f t="shared" si="4"/>
        <v>0</v>
      </c>
      <c r="V17" s="2" t="str">
        <f>IFERROR(IFERROR(VLOOKUP($C17&amp;" "&amp;V$1,Results!$G:$I,3,FALSE),-VLOOKUP($C17&amp;" "&amp;V$1,Results!$H:$I,2,FALSE)),"")</f>
        <v/>
      </c>
      <c r="W17" s="2" t="str">
        <f>IFERROR(IFERROR(VLOOKUP($C17&amp;" "&amp;W$1,Results!$G:$I,3,FALSE),-VLOOKUP($C17&amp;" "&amp;W$1,Results!$H:$I,2,FALSE)),"")</f>
        <v/>
      </c>
      <c r="X17" s="2" t="str">
        <f>IFERROR(IFERROR(VLOOKUP($C17&amp;" "&amp;X$1,Results!$G:$I,3,FALSE),-VLOOKUP($C17&amp;" "&amp;X$1,Results!$H:$I,2,FALSE)),"")</f>
        <v/>
      </c>
      <c r="Y17" s="14" t="str">
        <f>IFERROR(IFERROR(VLOOKUP($C17&amp;" "&amp;Y$1,Results!$G:$I,3,FALSE),-VLOOKUP($C17&amp;" "&amp;Y$1,Results!$H:$I,2,FALSE)),"")</f>
        <v/>
      </c>
      <c r="Z17" s="14" t="str">
        <f>IFERROR(IFERROR(VLOOKUP($C17&amp;" "&amp;Z$1,Results!$G:$I,3,FALSE),-VLOOKUP($C17&amp;" "&amp;Z$1,Results!$H:$I,2,FALSE)),"")</f>
        <v/>
      </c>
      <c r="AA17" s="14" t="str">
        <f>IFERROR(IFERROR(VLOOKUP($C17&amp;" "&amp;AA$1,Results!$G:$I,3,FALSE),-VLOOKUP($C17&amp;" "&amp;AA$1,Results!$H:$I,2,FALSE)),"")</f>
        <v/>
      </c>
      <c r="AB17" s="14" t="str">
        <f>IFERROR(IFERROR(VLOOKUP($C17&amp;" "&amp;AB$1,Results!$G:$I,3,FALSE),-VLOOKUP($C17&amp;" "&amp;AB$1,Results!$H:$I,2,FALSE)),"")</f>
        <v/>
      </c>
      <c r="AC17" s="14" t="str">
        <f>IFERROR(IFERROR(VLOOKUP($C17&amp;" "&amp;AC$1,Results!$G:$I,3,FALSE),-VLOOKUP($C17&amp;" "&amp;AC$1,Results!$H:$I,2,FALSE)),"")</f>
        <v/>
      </c>
      <c r="AD17" s="14" t="str">
        <f>IFERROR(IFERROR(VLOOKUP($C17&amp;" "&amp;AD$1,Results!$G:$I,3,FALSE),-VLOOKUP($C17&amp;" "&amp;AD$1,Results!$H:$I,2,FALSE)),"")</f>
        <v/>
      </c>
      <c r="AE17" s="14" t="str">
        <f>IFERROR(IFERROR(VLOOKUP($C17&amp;" "&amp;AE$1,Results!$G:$I,3,FALSE),-VLOOKUP($C17&amp;" "&amp;AE$1,Results!$H:$I,2,FALSE)),"")</f>
        <v/>
      </c>
      <c r="AF17" s="14" t="str">
        <f>IFERROR(IFERROR(VLOOKUP($C17&amp;" "&amp;AF$1,Results!$G:$I,3,FALSE),-VLOOKUP($C17&amp;" "&amp;AF$1,Results!$H:$I,2,FALSE)),"")</f>
        <v/>
      </c>
      <c r="AG17" s="14" t="str">
        <f>IFERROR(IFERROR(VLOOKUP($C17&amp;" "&amp;AG$1,Results!$G:$I,3,FALSE),-VLOOKUP($C17&amp;" "&amp;AG$1,Results!$H:$I,2,FALSE)),"")</f>
        <v/>
      </c>
      <c r="AH17" s="14" t="str">
        <f>IFERROR(IFERROR(VLOOKUP($C17&amp;" "&amp;AH$1,Results!$G:$I,3,FALSE),-VLOOKUP($C17&amp;" "&amp;AH$1,Results!$H:$I,2,FALSE)),"")</f>
        <v/>
      </c>
      <c r="AI17" s="14">
        <f>IFERROR(IFERROR(VLOOKUP($C17&amp;" "&amp;AI$1,Results!$G:$I,3,FALSE),-VLOOKUP($C17&amp;" "&amp;AI$1,Results!$H:$I,2,FALSE)),"")</f>
        <v>47</v>
      </c>
      <c r="AJ17" s="14">
        <f>IFERROR(IFERROR(VLOOKUP($C17&amp;" "&amp;AJ$1,Results!$G:$I,3,FALSE),-VLOOKUP($C17&amp;" "&amp;AJ$1,Results!$H:$I,2,FALSE)),"")</f>
        <v>65</v>
      </c>
      <c r="AK17" s="66">
        <f>IFERROR(IFERROR(VLOOKUP($C17&amp;" "&amp;AK$1,Results!$G:$I,3,FALSE),-VLOOKUP($C17&amp;" "&amp;AK$1,Results!$H:$I,2,FALSE)),"")</f>
        <v>-41</v>
      </c>
      <c r="AL17" s="34" t="str">
        <f>IFERROR(IFERROR(VLOOKUP($C17&amp;" "&amp;AL$1,Results!$G:$I,3,FALSE),-VLOOKUP($C17&amp;" "&amp;AL$1,Results!$H:$I,2,FALSE)),"")</f>
        <v/>
      </c>
      <c r="AM17" s="34">
        <f>IFERROR(IFERROR(VLOOKUP($C17&amp;" "&amp;AM$1,Results!$G:$I,3,FALSE),-VLOOKUP($C17&amp;" "&amp;AM$1,Results!$H:$I,2,FALSE)),"")</f>
        <v>137</v>
      </c>
      <c r="AN17" s="67">
        <f>IFERROR(IFERROR(VLOOKUP($C17&amp;" "&amp;AN$1,Results!$G:$I,3,FALSE),-VLOOKUP($C17&amp;" "&amp;AN$1,Results!$H:$I,2,FALSE)),"")</f>
        <v>121</v>
      </c>
      <c r="AO17" s="14">
        <f>IFERROR(IFERROR(VLOOKUP($C17&amp;" "&amp;AO$1,Results!$G:$I,3,FALSE),-VLOOKUP($C17&amp;" "&amp;AO$1,Results!$H:$I,2,FALSE)),"")</f>
        <v>155</v>
      </c>
      <c r="AP17" s="14" t="str">
        <f>IFERROR(IFERROR(VLOOKUP($C17&amp;" "&amp;AP$1,Results!$G:$I,3,FALSE),-VLOOKUP($C17&amp;" "&amp;AP$1,Results!$H:$I,2,FALSE)),"")</f>
        <v/>
      </c>
      <c r="AQ17" s="14" t="str">
        <f>IFERROR(IFERROR(VLOOKUP($C17&amp;" "&amp;AQ$1,Results!$G:$I,3,FALSE),-VLOOKUP($C17&amp;" "&amp;AQ$1,Results!$H:$I,2,FALSE)),"")</f>
        <v/>
      </c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2"/>
      <c r="BI17" s="23"/>
      <c r="BJ17" s="23"/>
      <c r="BK17" s="84">
        <f t="shared" si="5"/>
        <v>484</v>
      </c>
      <c r="BL17" s="15">
        <f t="shared" si="10"/>
        <v>0</v>
      </c>
      <c r="BM17" s="15">
        <f t="shared" si="11"/>
        <v>4</v>
      </c>
      <c r="BN17" s="15">
        <f t="shared" si="12"/>
        <v>4</v>
      </c>
      <c r="BO17" s="90">
        <f t="shared" si="8"/>
        <v>0</v>
      </c>
      <c r="BR17" s="83">
        <f t="shared" si="6"/>
        <v>484</v>
      </c>
      <c r="BT17" s="15">
        <v>17</v>
      </c>
      <c r="BU17" s="15">
        <f t="shared" si="7"/>
        <v>0</v>
      </c>
      <c r="BV17" s="15">
        <f t="shared" si="9"/>
        <v>17</v>
      </c>
    </row>
    <row r="18" spans="1:74" ht="13.5" customHeight="1">
      <c r="A18" s="8"/>
      <c r="B18" s="8">
        <v>15</v>
      </c>
      <c r="C18" s="62" t="s">
        <v>57</v>
      </c>
      <c r="D18" s="62"/>
      <c r="E18" s="8">
        <f>IF(AND(AJ18&gt;0,$A18&lt;VLOOKUP(AJ$1,$C:$L,10,FALSE)),1,IF(AND(AJ18&lt;0,$A18&gt;VLOOKUP(AJ$1,$C:$L,10,FALSE)),1,0))</f>
        <v>0</v>
      </c>
      <c r="F18" s="8">
        <f>IF(AND(AK18&gt;0,$A18&lt;VLOOKUP(AK$1,$C:$L,10,FALSE)),1,IF(AND(AK18&lt;0,$A18&gt;VLOOKUP(AK$1,$C:$L,10,FALSE)),1,0))</f>
        <v>0</v>
      </c>
      <c r="G18" s="8">
        <f>IF(AND(AL18&gt;0,$A18&lt;VLOOKUP(AL$1,$C:$L,10,FALSE)),1,IF(AND(AL18&lt;0,$A18&gt;VLOOKUP(AL$1,$C:$L,10,FALSE)),1,0))</f>
        <v>0</v>
      </c>
      <c r="H18" s="8">
        <f>IF(AND(AN18&gt;0,$A18&lt;VLOOKUP(AN$1,$C:$L,10,FALSE)),1,IF(AND(AN18&lt;0,$A18&gt;VLOOKUP(AN$1,$C:$L,10,FALSE)),1,0))</f>
        <v>0</v>
      </c>
      <c r="I18" s="8">
        <f>IF(AND(AO18&gt;0,$A18&lt;VLOOKUP(AO$1,$C:$L,10,FALSE)),1,IF(AND(AO18&lt;0,$A18&gt;VLOOKUP(AO$1,$C:$L,10,FALSE)),1,0))</f>
        <v>0</v>
      </c>
      <c r="J18" s="8">
        <f>IF(AND(AP18&gt;0,$A18&lt;VLOOKUP(AP$1,$C:$L,10,FALSE)),1,IF(AND(AP18&lt;0,$A18&gt;VLOOKUP(AP$1,$C:$L,10,FALSE)),1,0))</f>
        <v>0</v>
      </c>
      <c r="K18" s="108" t="s">
        <v>135</v>
      </c>
      <c r="L18" s="94">
        <f t="shared" si="0"/>
        <v>0</v>
      </c>
      <c r="M18" s="14"/>
      <c r="N18" s="2">
        <v>4</v>
      </c>
      <c r="O18" s="17">
        <f t="shared" si="1"/>
        <v>3</v>
      </c>
      <c r="P18" s="2">
        <f t="shared" si="2"/>
        <v>3</v>
      </c>
      <c r="Q18" s="2">
        <f t="shared" si="3"/>
        <v>0</v>
      </c>
      <c r="R18" s="18">
        <f>COUNTIF($AK18:$AN18,"&gt;0")</f>
        <v>1</v>
      </c>
      <c r="S18" s="19">
        <f>COUNTIF($AK18:$AN18,"&lt;0")</f>
        <v>2</v>
      </c>
      <c r="T18" s="20">
        <f>COUNTIF($AK18:$AN18,"=0")</f>
        <v>0</v>
      </c>
      <c r="U18" s="2">
        <f t="shared" si="4"/>
        <v>0</v>
      </c>
      <c r="V18" s="2" t="str">
        <f>IFERROR(IFERROR(VLOOKUP($C18&amp;" "&amp;V$1,Results!$G:$I,3,FALSE),-VLOOKUP($C18&amp;" "&amp;V$1,Results!$H:$I,2,FALSE)),"")</f>
        <v/>
      </c>
      <c r="W18" s="2" t="str">
        <f>IFERROR(IFERROR(VLOOKUP($C18&amp;" "&amp;W$1,Results!$G:$I,3,FALSE),-VLOOKUP($C18&amp;" "&amp;W$1,Results!$H:$I,2,FALSE)),"")</f>
        <v/>
      </c>
      <c r="X18" s="2" t="str">
        <f>IFERROR(IFERROR(VLOOKUP($C18&amp;" "&amp;X$1,Results!$G:$I,3,FALSE),-VLOOKUP($C18&amp;" "&amp;X$1,Results!$H:$I,2,FALSE)),"")</f>
        <v/>
      </c>
      <c r="Y18" s="14" t="str">
        <f>IFERROR(IFERROR(VLOOKUP($C18&amp;" "&amp;Y$1,Results!$G:$I,3,FALSE),-VLOOKUP($C18&amp;" "&amp;Y$1,Results!$H:$I,2,FALSE)),"")</f>
        <v/>
      </c>
      <c r="Z18" s="14" t="str">
        <f>IFERROR(IFERROR(VLOOKUP($C18&amp;" "&amp;Z$1,Results!$G:$I,3,FALSE),-VLOOKUP($C18&amp;" "&amp;Z$1,Results!$H:$I,2,FALSE)),"")</f>
        <v/>
      </c>
      <c r="AA18" s="14" t="str">
        <f>IFERROR(IFERROR(VLOOKUP($C18&amp;" "&amp;AA$1,Results!$G:$I,3,FALSE),-VLOOKUP($C18&amp;" "&amp;AA$1,Results!$H:$I,2,FALSE)),"")</f>
        <v/>
      </c>
      <c r="AB18" s="14" t="str">
        <f>IFERROR(IFERROR(VLOOKUP($C18&amp;" "&amp;AB$1,Results!$G:$I,3,FALSE),-VLOOKUP($C18&amp;" "&amp;AB$1,Results!$H:$I,2,FALSE)),"")</f>
        <v/>
      </c>
      <c r="AC18" s="14" t="str">
        <f>IFERROR(IFERROR(VLOOKUP($C18&amp;" "&amp;AC$1,Results!$G:$I,3,FALSE),-VLOOKUP($C18&amp;" "&amp;AC$1,Results!$H:$I,2,FALSE)),"")</f>
        <v/>
      </c>
      <c r="AD18" s="14" t="str">
        <f>IFERROR(IFERROR(VLOOKUP($C18&amp;" "&amp;AD$1,Results!$G:$I,3,FALSE),-VLOOKUP($C18&amp;" "&amp;AD$1,Results!$H:$I,2,FALSE)),"")</f>
        <v/>
      </c>
      <c r="AE18" s="14" t="str">
        <f>IFERROR(IFERROR(VLOOKUP($C18&amp;" "&amp;AE$1,Results!$G:$I,3,FALSE),-VLOOKUP($C18&amp;" "&amp;AE$1,Results!$H:$I,2,FALSE)),"")</f>
        <v/>
      </c>
      <c r="AF18" s="14" t="str">
        <f>IFERROR(IFERROR(VLOOKUP($C18&amp;" "&amp;AF$1,Results!$G:$I,3,FALSE),-VLOOKUP($C18&amp;" "&amp;AF$1,Results!$H:$I,2,FALSE)),"")</f>
        <v/>
      </c>
      <c r="AG18" s="14" t="str">
        <f>IFERROR(IFERROR(VLOOKUP($C18&amp;" "&amp;AG$1,Results!$G:$I,3,FALSE),-VLOOKUP($C18&amp;" "&amp;AG$1,Results!$H:$I,2,FALSE)),"")</f>
        <v/>
      </c>
      <c r="AH18" s="14" t="str">
        <f>IFERROR(IFERROR(VLOOKUP($C18&amp;" "&amp;AH$1,Results!$G:$I,3,FALSE),-VLOOKUP($C18&amp;" "&amp;AH$1,Results!$H:$I,2,FALSE)),"")</f>
        <v/>
      </c>
      <c r="AI18" s="14" t="str">
        <f>IFERROR(IFERROR(VLOOKUP($C18&amp;" "&amp;AI$1,Results!$G:$I,3,FALSE),-VLOOKUP($C18&amp;" "&amp;AI$1,Results!$H:$I,2,FALSE)),"")</f>
        <v/>
      </c>
      <c r="AJ18" s="14">
        <f>IFERROR(IFERROR(VLOOKUP($C18&amp;" "&amp;AJ$1,Results!$G:$I,3,FALSE),-VLOOKUP($C18&amp;" "&amp;AJ$1,Results!$H:$I,2,FALSE)),"")</f>
        <v>-15</v>
      </c>
      <c r="AK18" s="66">
        <f>IFERROR(IFERROR(VLOOKUP($C18&amp;" "&amp;AK$1,Results!$G:$I,3,FALSE),-VLOOKUP($C18&amp;" "&amp;AK$1,Results!$H:$I,2,FALSE)),"")</f>
        <v>55</v>
      </c>
      <c r="AL18" s="34">
        <f>IFERROR(IFERROR(VLOOKUP($C18&amp;" "&amp;AL$1,Results!$G:$I,3,FALSE),-VLOOKUP($C18&amp;" "&amp;AL$1,Results!$H:$I,2,FALSE)),"")</f>
        <v>-137</v>
      </c>
      <c r="AM18" s="34" t="str">
        <f>IFERROR(IFERROR(VLOOKUP($C18&amp;" "&amp;AM$1,Results!$G:$I,3,FALSE),-VLOOKUP($C18&amp;" "&amp;AM$1,Results!$H:$I,2,FALSE)),"")</f>
        <v/>
      </c>
      <c r="AN18" s="67">
        <f>IFERROR(IFERROR(VLOOKUP($C18&amp;" "&amp;AN$1,Results!$G:$I,3,FALSE),-VLOOKUP($C18&amp;" "&amp;AN$1,Results!$H:$I,2,FALSE)),"")</f>
        <v>-15</v>
      </c>
      <c r="AO18" s="14">
        <f>IFERROR(IFERROR(VLOOKUP($C18&amp;" "&amp;AO$1,Results!$G:$I,3,FALSE),-VLOOKUP($C18&amp;" "&amp;AO$1,Results!$H:$I,2,FALSE)),"")</f>
        <v>98</v>
      </c>
      <c r="AP18" s="14">
        <f>IFERROR(IFERROR(VLOOKUP($C18&amp;" "&amp;AP$1,Results!$G:$I,3,FALSE),-VLOOKUP($C18&amp;" "&amp;AP$1,Results!$H:$I,2,FALSE)),"")</f>
        <v>57</v>
      </c>
      <c r="AQ18" s="14" t="str">
        <f>IFERROR(IFERROR(VLOOKUP($C18&amp;" "&amp;AQ$1,Results!$G:$I,3,FALSE),-VLOOKUP($C18&amp;" "&amp;AQ$1,Results!$H:$I,2,FALSE)),"")</f>
        <v/>
      </c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2"/>
      <c r="BI18" s="23"/>
      <c r="BJ18" s="23"/>
      <c r="BK18" s="84">
        <f t="shared" si="5"/>
        <v>43</v>
      </c>
      <c r="BL18" s="15">
        <f t="shared" si="10"/>
        <v>0</v>
      </c>
      <c r="BM18" s="15">
        <f t="shared" si="11"/>
        <v>4</v>
      </c>
      <c r="BN18" s="15">
        <f t="shared" si="12"/>
        <v>4</v>
      </c>
      <c r="BO18" s="90">
        <f t="shared" si="8"/>
        <v>0</v>
      </c>
      <c r="BR18" s="83">
        <f t="shared" si="6"/>
        <v>43</v>
      </c>
      <c r="BT18" s="15">
        <v>18</v>
      </c>
      <c r="BU18" s="15">
        <f t="shared" si="7"/>
        <v>0</v>
      </c>
      <c r="BV18" s="15">
        <f t="shared" si="9"/>
        <v>18</v>
      </c>
    </row>
    <row r="19" spans="1:74" ht="13.5" customHeight="1" thickBot="1">
      <c r="B19" s="15">
        <v>16</v>
      </c>
      <c r="C19" s="16" t="s">
        <v>53</v>
      </c>
      <c r="D19" s="16"/>
      <c r="E19" s="8">
        <f>IF(AND(AK19&gt;0,$A19&lt;VLOOKUP(AK$1,$C:$L,10,FALSE)),1,IF(AND(AK19&lt;0,$A19&gt;VLOOKUP(AK$1,$C:$L,10,FALSE)),1,0))</f>
        <v>0</v>
      </c>
      <c r="F19" s="8">
        <f>IF(AND(AL19&gt;0,$A19&lt;VLOOKUP(AL$1,$C:$L,10,FALSE)),1,IF(AND(AL19&lt;0,$A19&gt;VLOOKUP(AL$1,$C:$L,10,FALSE)),1,0))</f>
        <v>0</v>
      </c>
      <c r="G19" s="8">
        <f>IF(AND(AM19&gt;0,$A19&lt;VLOOKUP(AM$1,$C:$L,10,FALSE)),1,IF(AND(AM19&lt;0,$A19&gt;VLOOKUP(AM$1,$C:$L,10,FALSE)),1,0))</f>
        <v>0</v>
      </c>
      <c r="H19" s="8">
        <f>IF(AND(AO19&gt;0,$A19&lt;VLOOKUP(AO$1,$C:$L,10,FALSE)),1,IF(AND(AO19&lt;0,$A19&gt;VLOOKUP(AO$1,$C:$L,10,FALSE)),1,0))</f>
        <v>0</v>
      </c>
      <c r="I19" s="8">
        <f>IF(AND(AP19&gt;0,$A19&lt;VLOOKUP(AP$1,$C:$L,10,FALSE)),1,IF(AND(AP19&lt;0,$A19&gt;VLOOKUP(AP$1,$C:$L,10,FALSE)),1,0))</f>
        <v>0</v>
      </c>
      <c r="J19" s="8">
        <f>IF(AND(AQ19&gt;0,$A19&lt;VLOOKUP(AQ$1,$C:$L,10,FALSE)),1,IF(AND(AQ19&lt;0,$A19&gt;VLOOKUP(AQ$1,$C:$L,10,FALSE)),1,0))</f>
        <v>0</v>
      </c>
      <c r="K19" s="108" t="s">
        <v>135</v>
      </c>
      <c r="L19" s="94">
        <f t="shared" si="0"/>
        <v>0</v>
      </c>
      <c r="M19" s="14"/>
      <c r="N19" s="2">
        <v>4</v>
      </c>
      <c r="O19" s="17">
        <f t="shared" si="1"/>
        <v>3</v>
      </c>
      <c r="P19" s="2">
        <f t="shared" si="2"/>
        <v>3</v>
      </c>
      <c r="Q19" s="2">
        <f t="shared" si="3"/>
        <v>0</v>
      </c>
      <c r="R19" s="18">
        <f>COUNTIF($AK19:$AN19,"&gt;0")</f>
        <v>2</v>
      </c>
      <c r="S19" s="19">
        <f>COUNTIF($AK19:$AN19,"&lt;0")</f>
        <v>1</v>
      </c>
      <c r="T19" s="20">
        <f>COUNTIF($AK19:$AN19,"=0")</f>
        <v>0</v>
      </c>
      <c r="U19" s="2">
        <f t="shared" si="4"/>
        <v>0</v>
      </c>
      <c r="V19" s="2" t="str">
        <f>IFERROR(IFERROR(VLOOKUP($C19&amp;" "&amp;V$1,Results!$G:$I,3,FALSE),-VLOOKUP($C19&amp;" "&amp;V$1,Results!$H:$I,2,FALSE)),"")</f>
        <v/>
      </c>
      <c r="W19" s="2" t="str">
        <f>IFERROR(IFERROR(VLOOKUP($C19&amp;" "&amp;W$1,Results!$G:$I,3,FALSE),-VLOOKUP($C19&amp;" "&amp;W$1,Results!$H:$I,2,FALSE)),"")</f>
        <v/>
      </c>
      <c r="X19" s="2" t="str">
        <f>IFERROR(IFERROR(VLOOKUP($C19&amp;" "&amp;X$1,Results!$G:$I,3,FALSE),-VLOOKUP($C19&amp;" "&amp;X$1,Results!$H:$I,2,FALSE)),"")</f>
        <v/>
      </c>
      <c r="Y19" s="14" t="str">
        <f>IFERROR(IFERROR(VLOOKUP($C19&amp;" "&amp;Y$1,Results!$G:$I,3,FALSE),-VLOOKUP($C19&amp;" "&amp;Y$1,Results!$H:$I,2,FALSE)),"")</f>
        <v/>
      </c>
      <c r="Z19" s="14" t="str">
        <f>IFERROR(IFERROR(VLOOKUP($C19&amp;" "&amp;Z$1,Results!$G:$I,3,FALSE),-VLOOKUP($C19&amp;" "&amp;Z$1,Results!$H:$I,2,FALSE)),"")</f>
        <v/>
      </c>
      <c r="AA19" s="14" t="str">
        <f>IFERROR(IFERROR(VLOOKUP($C19&amp;" "&amp;AA$1,Results!$G:$I,3,FALSE),-VLOOKUP($C19&amp;" "&amp;AA$1,Results!$H:$I,2,FALSE)),"")</f>
        <v/>
      </c>
      <c r="AB19" s="14" t="str">
        <f>IFERROR(IFERROR(VLOOKUP($C19&amp;" "&amp;AB$1,Results!$G:$I,3,FALSE),-VLOOKUP($C19&amp;" "&amp;AB$1,Results!$H:$I,2,FALSE)),"")</f>
        <v/>
      </c>
      <c r="AC19" s="14" t="str">
        <f>IFERROR(IFERROR(VLOOKUP($C19&amp;" "&amp;AC$1,Results!$G:$I,3,FALSE),-VLOOKUP($C19&amp;" "&amp;AC$1,Results!$H:$I,2,FALSE)),"")</f>
        <v/>
      </c>
      <c r="AD19" s="14" t="str">
        <f>IFERROR(IFERROR(VLOOKUP($C19&amp;" "&amp;AD$1,Results!$G:$I,3,FALSE),-VLOOKUP($C19&amp;" "&amp;AD$1,Results!$H:$I,2,FALSE)),"")</f>
        <v/>
      </c>
      <c r="AE19" s="14" t="str">
        <f>IFERROR(IFERROR(VLOOKUP($C19&amp;" "&amp;AE$1,Results!$G:$I,3,FALSE),-VLOOKUP($C19&amp;" "&amp;AE$1,Results!$H:$I,2,FALSE)),"")</f>
        <v/>
      </c>
      <c r="AF19" s="14" t="str">
        <f>IFERROR(IFERROR(VLOOKUP($C19&amp;" "&amp;AF$1,Results!$G:$I,3,FALSE),-VLOOKUP($C19&amp;" "&amp;AF$1,Results!$H:$I,2,FALSE)),"")</f>
        <v/>
      </c>
      <c r="AG19" s="14" t="str">
        <f>IFERROR(IFERROR(VLOOKUP($C19&amp;" "&amp;AG$1,Results!$G:$I,3,FALSE),-VLOOKUP($C19&amp;" "&amp;AG$1,Results!$H:$I,2,FALSE)),"")</f>
        <v/>
      </c>
      <c r="AH19" s="14" t="str">
        <f>IFERROR(IFERROR(VLOOKUP($C19&amp;" "&amp;AH$1,Results!$G:$I,3,FALSE),-VLOOKUP($C19&amp;" "&amp;AH$1,Results!$H:$I,2,FALSE)),"")</f>
        <v/>
      </c>
      <c r="AI19" s="14" t="str">
        <f>IFERROR(IFERROR(VLOOKUP($C19&amp;" "&amp;AI$1,Results!$G:$I,3,FALSE),-VLOOKUP($C19&amp;" "&amp;AI$1,Results!$H:$I,2,FALSE)),"")</f>
        <v/>
      </c>
      <c r="AJ19" s="14" t="str">
        <f>IFERROR(IFERROR(VLOOKUP($C19&amp;" "&amp;AJ$1,Results!$G:$I,3,FALSE),-VLOOKUP($C19&amp;" "&amp;AJ$1,Results!$H:$I,2,FALSE)),"")</f>
        <v/>
      </c>
      <c r="AK19" s="68">
        <f>IFERROR(IFERROR(VLOOKUP($C19&amp;" "&amp;AK$1,Results!$G:$I,3,FALSE),-VLOOKUP($C19&amp;" "&amp;AK$1,Results!$H:$I,2,FALSE)),"")</f>
        <v>29</v>
      </c>
      <c r="AL19" s="69">
        <f>IFERROR(IFERROR(VLOOKUP($C19&amp;" "&amp;AL$1,Results!$G:$I,3,FALSE),-VLOOKUP($C19&amp;" "&amp;AL$1,Results!$H:$I,2,FALSE)),"")</f>
        <v>-121</v>
      </c>
      <c r="AM19" s="69">
        <f>IFERROR(IFERROR(VLOOKUP($C19&amp;" "&amp;AM$1,Results!$G:$I,3,FALSE),-VLOOKUP($C19&amp;" "&amp;AM$1,Results!$H:$I,2,FALSE)),"")</f>
        <v>15</v>
      </c>
      <c r="AN19" s="35" t="str">
        <f>IFERROR(IFERROR(VLOOKUP($C19&amp;" "&amp;AN$1,Results!$G:$I,3,FALSE),-VLOOKUP($C19&amp;" "&amp;AN$1,Results!$H:$I,2,FALSE)),"")</f>
        <v/>
      </c>
      <c r="AO19" s="14">
        <f>IFERROR(IFERROR(VLOOKUP($C19&amp;" "&amp;AO$1,Results!$G:$I,3,FALSE),-VLOOKUP($C19&amp;" "&amp;AO$1,Results!$H:$I,2,FALSE)),"")</f>
        <v>65</v>
      </c>
      <c r="AP19" s="14">
        <f>IFERROR(IFERROR(VLOOKUP($C19&amp;" "&amp;AP$1,Results!$G:$I,3,FALSE),-VLOOKUP($C19&amp;" "&amp;AP$1,Results!$H:$I,2,FALSE)),"")</f>
        <v>-48</v>
      </c>
      <c r="AQ19" s="14">
        <f>IFERROR(IFERROR(VLOOKUP($C19&amp;" "&amp;AQ$1,Results!$G:$I,3,FALSE),-VLOOKUP($C19&amp;" "&amp;AQ$1,Results!$H:$I,2,FALSE)),"")</f>
        <v>-98</v>
      </c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2"/>
      <c r="BI19" s="23"/>
      <c r="BJ19" s="23"/>
      <c r="BK19" s="84">
        <f t="shared" si="5"/>
        <v>-158</v>
      </c>
      <c r="BL19" s="15">
        <f t="shared" si="10"/>
        <v>0</v>
      </c>
      <c r="BM19" s="15">
        <f t="shared" si="11"/>
        <v>4</v>
      </c>
      <c r="BN19" s="15">
        <f t="shared" si="12"/>
        <v>4</v>
      </c>
      <c r="BO19" s="90">
        <f t="shared" si="8"/>
        <v>0</v>
      </c>
      <c r="BR19" s="83">
        <f t="shared" si="6"/>
        <v>-158</v>
      </c>
      <c r="BT19" s="15">
        <v>14</v>
      </c>
      <c r="BU19" s="15">
        <f t="shared" si="7"/>
        <v>0</v>
      </c>
      <c r="BV19" s="15">
        <f t="shared" si="9"/>
        <v>14</v>
      </c>
    </row>
    <row r="20" spans="1:74" ht="13.5" customHeight="1">
      <c r="B20" s="15">
        <v>17</v>
      </c>
      <c r="C20" s="62" t="s">
        <v>5</v>
      </c>
      <c r="D20" s="62"/>
      <c r="E20" s="8">
        <f>IF(AND(AL20&gt;0,$A20&lt;VLOOKUP(AL$1,$C:$L,10,FALSE)),1,IF(AND(AL20&lt;0,$A20&gt;VLOOKUP(AL$1,$C:$L,10,FALSE)),1,0))</f>
        <v>0</v>
      </c>
      <c r="F20" s="8">
        <f>IF(AND(AM20&gt;0,$A20&lt;VLOOKUP(AM$1,$C:$L,10,FALSE)),1,IF(AND(AM20&lt;0,$A20&gt;VLOOKUP(AM$1,$C:$L,10,FALSE)),1,0))</f>
        <v>0</v>
      </c>
      <c r="G20" s="8">
        <f>IF(AND(AN20&gt;0,$A20&lt;VLOOKUP(AN$1,$C:$L,10,FALSE)),1,IF(AND(AN20&lt;0,$A20&gt;VLOOKUP(AN$1,$C:$L,10,FALSE)),1,0))</f>
        <v>0</v>
      </c>
      <c r="H20" s="8">
        <f>IF(AND(AP20&gt;0,$A20&lt;VLOOKUP(AP$1,$C:$L,10,FALSE)),1,IF(AND(AP20&lt;0,$A20&gt;VLOOKUP(AP$1,$C:$L,10,FALSE)),1,0))</f>
        <v>0</v>
      </c>
      <c r="I20" s="8">
        <f>IF(AND(AQ20&gt;0,$A20&lt;VLOOKUP(AQ$1,$C:$L,10,FALSE)),1,IF(AND(AQ20&lt;0,$A20&gt;VLOOKUP(AQ$1,$C:$L,10,FALSE)),1,0))</f>
        <v>0</v>
      </c>
      <c r="J20" s="8">
        <f>IF(AND(AR20&gt;0,$A20&lt;VLOOKUP(AR$1,$C:$L,10,FALSE)),1,IF(AND(AR20&lt;0,$A20&gt;VLOOKUP(AR$1,$C:$L,10,FALSE)),1,0))</f>
        <v>0</v>
      </c>
      <c r="K20" s="108" t="s">
        <v>135</v>
      </c>
      <c r="L20" s="94">
        <f t="shared" si="0"/>
        <v>0</v>
      </c>
      <c r="M20" s="14"/>
      <c r="N20" s="2">
        <v>5</v>
      </c>
      <c r="O20" s="17">
        <f t="shared" si="1"/>
        <v>0</v>
      </c>
      <c r="P20" s="2">
        <f t="shared" si="2"/>
        <v>6</v>
      </c>
      <c r="Q20" s="2">
        <f t="shared" si="3"/>
        <v>0</v>
      </c>
      <c r="R20" s="18">
        <f>COUNTIF($AO20:$AR20,"&gt;0")</f>
        <v>0</v>
      </c>
      <c r="S20" s="19">
        <f>COUNTIF($AO20:$AR20,"&lt;0")</f>
        <v>3</v>
      </c>
      <c r="T20" s="20">
        <f>COUNTIF($AO20:$AR20,"=0")</f>
        <v>0</v>
      </c>
      <c r="U20" s="2">
        <f t="shared" si="4"/>
        <v>0</v>
      </c>
      <c r="V20" s="2" t="str">
        <f>IFERROR(IFERROR(VLOOKUP($C20&amp;" "&amp;V$1,Results!$G:$I,3,FALSE),-VLOOKUP($C20&amp;" "&amp;V$1,Results!$H:$I,2,FALSE)),"")</f>
        <v/>
      </c>
      <c r="W20" s="2" t="str">
        <f>IFERROR(IFERROR(VLOOKUP($C20&amp;" "&amp;W$1,Results!$G:$I,3,FALSE),-VLOOKUP($C20&amp;" "&amp;W$1,Results!$H:$I,2,FALSE)),"")</f>
        <v/>
      </c>
      <c r="X20" s="2" t="str">
        <f>IFERROR(IFERROR(VLOOKUP($C20&amp;" "&amp;X$1,Results!$G:$I,3,FALSE),-VLOOKUP($C20&amp;" "&amp;X$1,Results!$H:$I,2,FALSE)),"")</f>
        <v/>
      </c>
      <c r="Y20" s="14" t="str">
        <f>IFERROR(IFERROR(VLOOKUP($C20&amp;" "&amp;Y$1,Results!$G:$I,3,FALSE),-VLOOKUP($C20&amp;" "&amp;Y$1,Results!$H:$I,2,FALSE)),"")</f>
        <v/>
      </c>
      <c r="Z20" s="14" t="str">
        <f>IFERROR(IFERROR(VLOOKUP($C20&amp;" "&amp;Z$1,Results!$G:$I,3,FALSE),-VLOOKUP($C20&amp;" "&amp;Z$1,Results!$H:$I,2,FALSE)),"")</f>
        <v/>
      </c>
      <c r="AA20" s="14" t="str">
        <f>IFERROR(IFERROR(VLOOKUP($C20&amp;" "&amp;AA$1,Results!$G:$I,3,FALSE),-VLOOKUP($C20&amp;" "&amp;AA$1,Results!$H:$I,2,FALSE)),"")</f>
        <v/>
      </c>
      <c r="AB20" s="14" t="str">
        <f>IFERROR(IFERROR(VLOOKUP($C20&amp;" "&amp;AB$1,Results!$G:$I,3,FALSE),-VLOOKUP($C20&amp;" "&amp;AB$1,Results!$H:$I,2,FALSE)),"")</f>
        <v/>
      </c>
      <c r="AC20" s="14" t="str">
        <f>IFERROR(IFERROR(VLOOKUP($C20&amp;" "&amp;AC$1,Results!$G:$I,3,FALSE),-VLOOKUP($C20&amp;" "&amp;AC$1,Results!$H:$I,2,FALSE)),"")</f>
        <v/>
      </c>
      <c r="AD20" s="14" t="str">
        <f>IFERROR(IFERROR(VLOOKUP($C20&amp;" "&amp;AD$1,Results!$G:$I,3,FALSE),-VLOOKUP($C20&amp;" "&amp;AD$1,Results!$H:$I,2,FALSE)),"")</f>
        <v/>
      </c>
      <c r="AE20" s="14" t="str">
        <f>IFERROR(IFERROR(VLOOKUP($C20&amp;" "&amp;AE$1,Results!$G:$I,3,FALSE),-VLOOKUP($C20&amp;" "&amp;AE$1,Results!$H:$I,2,FALSE)),"")</f>
        <v/>
      </c>
      <c r="AF20" s="14" t="str">
        <f>IFERROR(IFERROR(VLOOKUP($C20&amp;" "&amp;AF$1,Results!$G:$I,3,FALSE),-VLOOKUP($C20&amp;" "&amp;AF$1,Results!$H:$I,2,FALSE)),"")</f>
        <v/>
      </c>
      <c r="AG20" s="14" t="str">
        <f>IFERROR(IFERROR(VLOOKUP($C20&amp;" "&amp;AG$1,Results!$G:$I,3,FALSE),-VLOOKUP($C20&amp;" "&amp;AG$1,Results!$H:$I,2,FALSE)),"")</f>
        <v/>
      </c>
      <c r="AH20" s="14" t="str">
        <f>IFERROR(IFERROR(VLOOKUP($C20&amp;" "&amp;AH$1,Results!$G:$I,3,FALSE),-VLOOKUP($C20&amp;" "&amp;AH$1,Results!$H:$I,2,FALSE)),"")</f>
        <v/>
      </c>
      <c r="AI20" s="14" t="str">
        <f>IFERROR(IFERROR(VLOOKUP($C20&amp;" "&amp;AI$1,Results!$G:$I,3,FALSE),-VLOOKUP($C20&amp;" "&amp;AI$1,Results!$H:$I,2,FALSE)),"")</f>
        <v/>
      </c>
      <c r="AJ20" s="14" t="str">
        <f>IFERROR(IFERROR(VLOOKUP($C20&amp;" "&amp;AJ$1,Results!$G:$I,3,FALSE),-VLOOKUP($C20&amp;" "&amp;AJ$1,Results!$H:$I,2,FALSE)),"")</f>
        <v/>
      </c>
      <c r="AK20" s="14" t="str">
        <f>IFERROR(IFERROR(VLOOKUP($C20&amp;" "&amp;AK$1,Results!$G:$I,3,FALSE),-VLOOKUP($C20&amp;" "&amp;AK$1,Results!$H:$I,2,FALSE)),"")</f>
        <v/>
      </c>
      <c r="AL20" s="14">
        <f>IFERROR(IFERROR(VLOOKUP($C20&amp;" "&amp;AL$1,Results!$G:$I,3,FALSE),-VLOOKUP($C20&amp;" "&amp;AL$1,Results!$H:$I,2,FALSE)),"")</f>
        <v>-155</v>
      </c>
      <c r="AM20" s="14">
        <f>IFERROR(IFERROR(VLOOKUP($C20&amp;" "&amp;AM$1,Results!$G:$I,3,FALSE),-VLOOKUP($C20&amp;" "&amp;AM$1,Results!$H:$I,2,FALSE)),"")</f>
        <v>-98</v>
      </c>
      <c r="AN20" s="14">
        <f>IFERROR(IFERROR(VLOOKUP($C20&amp;" "&amp;AN$1,Results!$G:$I,3,FALSE),-VLOOKUP($C20&amp;" "&amp;AN$1,Results!$H:$I,2,FALSE)),"")</f>
        <v>-65</v>
      </c>
      <c r="AO20" s="33" t="str">
        <f>IFERROR(IFERROR(VLOOKUP($C20&amp;" "&amp;AO$1,Results!$G:$I,3,FALSE),-VLOOKUP($C20&amp;" "&amp;AO$1,Results!$H:$I,2,FALSE)),"")</f>
        <v/>
      </c>
      <c r="AP20" s="64">
        <f>IFERROR(IFERROR(VLOOKUP($C20&amp;" "&amp;AP$1,Results!$G:$I,3,FALSE),-VLOOKUP($C20&amp;" "&amp;AP$1,Results!$H:$I,2,FALSE)),"")</f>
        <v>-108</v>
      </c>
      <c r="AQ20" s="64">
        <f>IFERROR(IFERROR(VLOOKUP($C20&amp;" "&amp;AQ$1,Results!$G:$I,3,FALSE),-VLOOKUP($C20&amp;" "&amp;AQ$1,Results!$H:$I,2,FALSE)),"")</f>
        <v>-76</v>
      </c>
      <c r="AR20" s="65">
        <f>IFERROR(IFERROR(VLOOKUP($C20&amp;" "&amp;AR$1,Results!$G:$I,3,FALSE),-VLOOKUP($C20&amp;" "&amp;AR$1,Results!$H:$I,2,FALSE)),"")</f>
        <v>-34</v>
      </c>
      <c r="AS20" s="14" t="str">
        <f>IFERROR(IFERROR(VLOOKUP($C20&amp;" "&amp;AS$1,Results!$G:$I,3,FALSE),-VLOOKUP($C20&amp;" "&amp;AS$1,Results!$H:$I,2,FALSE)),"")</f>
        <v/>
      </c>
      <c r="AT20" s="14" t="str">
        <f>IFERROR(IFERROR(VLOOKUP($C20&amp;" "&amp;AT$1,Results!$G:$I,3,FALSE),-VLOOKUP($C20&amp;" "&amp;AT$1,Results!$H:$I,2,FALSE)),"")</f>
        <v/>
      </c>
      <c r="AU20" s="14" t="str">
        <f>IFERROR(IFERROR(VLOOKUP($C20&amp;" "&amp;AU$1,Results!$G:$I,3,FALSE),-VLOOKUP($C20&amp;" "&amp;AU$1,Results!$H:$I,2,FALSE)),"")</f>
        <v/>
      </c>
      <c r="AV20" s="14" t="str">
        <f>IFERROR(IFERROR(VLOOKUP($C20&amp;" "&amp;AV$1,Results!$G:$I,3,FALSE),-VLOOKUP($C20&amp;" "&amp;AV$1,Results!$H:$I,2,FALSE)),"")</f>
        <v/>
      </c>
      <c r="AW20" s="14" t="str">
        <f>IFERROR(IFERROR(VLOOKUP($C20&amp;" "&amp;AW$1,Results!$G:$I,3,FALSE),-VLOOKUP($C20&amp;" "&amp;AW$1,Results!$H:$I,2,FALSE)),"")</f>
        <v/>
      </c>
      <c r="AX20" s="14" t="str">
        <f>IFERROR(IFERROR(VLOOKUP($C20&amp;" "&amp;AX$1,Results!$G:$I,3,FALSE),-VLOOKUP($C20&amp;" "&amp;AX$1,Results!$H:$I,2,FALSE)),"")</f>
        <v/>
      </c>
      <c r="AY20" s="14" t="str">
        <f>IFERROR(IFERROR(VLOOKUP($C20&amp;" "&amp;AY$1,Results!$G:$I,3,FALSE),-VLOOKUP($C20&amp;" "&amp;AY$1,Results!$H:$I,2,FALSE)),"")</f>
        <v/>
      </c>
      <c r="AZ20" s="14" t="str">
        <f>IFERROR(IFERROR(VLOOKUP($C20&amp;" "&amp;AZ$1,Results!$G:$I,3,FALSE),-VLOOKUP($C20&amp;" "&amp;AZ$1,Results!$H:$I,2,FALSE)),"")</f>
        <v/>
      </c>
      <c r="BA20" s="14"/>
      <c r="BB20" s="14"/>
      <c r="BC20" s="14"/>
      <c r="BD20" s="14"/>
      <c r="BE20" s="14"/>
      <c r="BF20" s="14"/>
      <c r="BG20" s="14"/>
      <c r="BH20" s="2"/>
      <c r="BI20" s="23"/>
      <c r="BJ20" s="23"/>
      <c r="BK20" s="84">
        <f t="shared" si="5"/>
        <v>-536</v>
      </c>
      <c r="BL20" s="15">
        <f t="shared" si="10"/>
        <v>0</v>
      </c>
      <c r="BM20" s="15">
        <f t="shared" si="11"/>
        <v>4</v>
      </c>
      <c r="BN20" s="15">
        <f t="shared" si="12"/>
        <v>4</v>
      </c>
      <c r="BO20" s="90">
        <f t="shared" si="8"/>
        <v>0</v>
      </c>
      <c r="BR20" s="83">
        <f t="shared" si="6"/>
        <v>-536</v>
      </c>
      <c r="BT20" s="15">
        <v>20</v>
      </c>
      <c r="BU20" s="15">
        <f t="shared" si="7"/>
        <v>0</v>
      </c>
      <c r="BV20" s="15">
        <f t="shared" si="9"/>
        <v>20</v>
      </c>
    </row>
    <row r="21" spans="1:74" ht="13.5" customHeight="1">
      <c r="B21" s="15">
        <v>18</v>
      </c>
      <c r="C21" s="62" t="s">
        <v>56</v>
      </c>
      <c r="D21" s="62"/>
      <c r="E21" s="8">
        <f>IF(AND(AM21&gt;0,$A21&lt;VLOOKUP(AM$1,$C:$L,10,FALSE)),1,IF(AND(AM21&lt;0,$A21&gt;VLOOKUP(AM$1,$C:$L,10,FALSE)),1,0))</f>
        <v>0</v>
      </c>
      <c r="F21" s="8">
        <f>IF(AND(AN21&gt;0,$A21&lt;VLOOKUP(AN$1,$C:$L,10,FALSE)),1,IF(AND(AN21&lt;0,$A21&gt;VLOOKUP(AN$1,$C:$L,10,FALSE)),1,0))</f>
        <v>0</v>
      </c>
      <c r="G21" s="8">
        <f>IF(AND(AO21&gt;0,$A21&lt;VLOOKUP(AO$1,$C:$L,10,FALSE)),1,IF(AND(AO21&lt;0,$A21&gt;VLOOKUP(AO$1,$C:$L,10,FALSE)),1,0))</f>
        <v>0</v>
      </c>
      <c r="H21" s="8">
        <f>IF(AND(AQ21&gt;0,$A21&lt;VLOOKUP(AQ$1,$C:$L,10,FALSE)),1,IF(AND(AQ21&lt;0,$A21&gt;VLOOKUP(AQ$1,$C:$L,10,FALSE)),1,0))</f>
        <v>0</v>
      </c>
      <c r="I21" s="8">
        <f>IF(AND(AR21&gt;0,$A21&lt;VLOOKUP(AR$1,$C:$L,10,FALSE)),1,IF(AND(AR21&lt;0,$A21&gt;VLOOKUP(AR$1,$C:$L,10,FALSE)),1,0))</f>
        <v>0</v>
      </c>
      <c r="J21" s="8">
        <f>IF(AND(AS21&gt;0,$A21&lt;VLOOKUP(AS$1,$C:$L,10,FALSE)),1,IF(AND(AS21&lt;0,$A21&gt;VLOOKUP(AS$1,$C:$L,10,FALSE)),1,0))</f>
        <v>0</v>
      </c>
      <c r="K21" s="108" t="s">
        <v>135</v>
      </c>
      <c r="L21" s="94">
        <f t="shared" si="0"/>
        <v>0</v>
      </c>
      <c r="M21" s="14"/>
      <c r="N21" s="2">
        <v>5</v>
      </c>
      <c r="O21" s="17">
        <f t="shared" si="1"/>
        <v>4</v>
      </c>
      <c r="P21" s="2">
        <f t="shared" si="2"/>
        <v>2</v>
      </c>
      <c r="Q21" s="2">
        <f t="shared" si="3"/>
        <v>0</v>
      </c>
      <c r="R21" s="18">
        <f>COUNTIF($AO21:$AR21,"&gt;0")</f>
        <v>2</v>
      </c>
      <c r="S21" s="19">
        <f>COUNTIF($AO21:$AR21,"&lt;0")</f>
        <v>1</v>
      </c>
      <c r="T21" s="20">
        <f>COUNTIF($AO21:$AR21,"=0")</f>
        <v>0</v>
      </c>
      <c r="U21" s="2">
        <f t="shared" si="4"/>
        <v>0</v>
      </c>
      <c r="V21" s="2" t="str">
        <f>IFERROR(IFERROR(VLOOKUP($C21&amp;" "&amp;V$1,Results!$G:$I,3,FALSE),-VLOOKUP($C21&amp;" "&amp;V$1,Results!$H:$I,2,FALSE)),"")</f>
        <v/>
      </c>
      <c r="W21" s="2" t="str">
        <f>IFERROR(IFERROR(VLOOKUP($C21&amp;" "&amp;W$1,Results!$G:$I,3,FALSE),-VLOOKUP($C21&amp;" "&amp;W$1,Results!$H:$I,2,FALSE)),"")</f>
        <v/>
      </c>
      <c r="X21" s="2" t="str">
        <f>IFERROR(IFERROR(VLOOKUP($C21&amp;" "&amp;X$1,Results!$G:$I,3,FALSE),-VLOOKUP($C21&amp;" "&amp;X$1,Results!$H:$I,2,FALSE)),"")</f>
        <v/>
      </c>
      <c r="Y21" s="14" t="str">
        <f>IFERROR(IFERROR(VLOOKUP($C21&amp;" "&amp;Y$1,Results!$G:$I,3,FALSE),-VLOOKUP($C21&amp;" "&amp;Y$1,Results!$H:$I,2,FALSE)),"")</f>
        <v/>
      </c>
      <c r="Z21" s="14" t="str">
        <f>IFERROR(IFERROR(VLOOKUP($C21&amp;" "&amp;Z$1,Results!$G:$I,3,FALSE),-VLOOKUP($C21&amp;" "&amp;Z$1,Results!$H:$I,2,FALSE)),"")</f>
        <v/>
      </c>
      <c r="AA21" s="14" t="str">
        <f>IFERROR(IFERROR(VLOOKUP($C21&amp;" "&amp;AA$1,Results!$G:$I,3,FALSE),-VLOOKUP($C21&amp;" "&amp;AA$1,Results!$H:$I,2,FALSE)),"")</f>
        <v/>
      </c>
      <c r="AB21" s="14" t="str">
        <f>IFERROR(IFERROR(VLOOKUP($C21&amp;" "&amp;AB$1,Results!$G:$I,3,FALSE),-VLOOKUP($C21&amp;" "&amp;AB$1,Results!$H:$I,2,FALSE)),"")</f>
        <v/>
      </c>
      <c r="AC21" s="14" t="str">
        <f>IFERROR(IFERROR(VLOOKUP($C21&amp;" "&amp;AC$1,Results!$G:$I,3,FALSE),-VLOOKUP($C21&amp;" "&amp;AC$1,Results!$H:$I,2,FALSE)),"")</f>
        <v/>
      </c>
      <c r="AD21" s="14" t="str">
        <f>IFERROR(IFERROR(VLOOKUP($C21&amp;" "&amp;AD$1,Results!$G:$I,3,FALSE),-VLOOKUP($C21&amp;" "&amp;AD$1,Results!$H:$I,2,FALSE)),"")</f>
        <v/>
      </c>
      <c r="AE21" s="14" t="str">
        <f>IFERROR(IFERROR(VLOOKUP($C21&amp;" "&amp;AE$1,Results!$G:$I,3,FALSE),-VLOOKUP($C21&amp;" "&amp;AE$1,Results!$H:$I,2,FALSE)),"")</f>
        <v/>
      </c>
      <c r="AF21" s="14" t="str">
        <f>IFERROR(IFERROR(VLOOKUP($C21&amp;" "&amp;AF$1,Results!$G:$I,3,FALSE),-VLOOKUP($C21&amp;" "&amp;AF$1,Results!$H:$I,2,FALSE)),"")</f>
        <v/>
      </c>
      <c r="AG21" s="14" t="str">
        <f>IFERROR(IFERROR(VLOOKUP($C21&amp;" "&amp;AG$1,Results!$G:$I,3,FALSE),-VLOOKUP($C21&amp;" "&amp;AG$1,Results!$H:$I,2,FALSE)),"")</f>
        <v/>
      </c>
      <c r="AH21" s="14" t="str">
        <f>IFERROR(IFERROR(VLOOKUP($C21&amp;" "&amp;AH$1,Results!$G:$I,3,FALSE),-VLOOKUP($C21&amp;" "&amp;AH$1,Results!$H:$I,2,FALSE)),"")</f>
        <v/>
      </c>
      <c r="AI21" s="14" t="str">
        <f>IFERROR(IFERROR(VLOOKUP($C21&amp;" "&amp;AI$1,Results!$G:$I,3,FALSE),-VLOOKUP($C21&amp;" "&amp;AI$1,Results!$H:$I,2,FALSE)),"")</f>
        <v/>
      </c>
      <c r="AJ21" s="14" t="str">
        <f>IFERROR(IFERROR(VLOOKUP($C21&amp;" "&amp;AJ$1,Results!$G:$I,3,FALSE),-VLOOKUP($C21&amp;" "&amp;AJ$1,Results!$H:$I,2,FALSE)),"")</f>
        <v/>
      </c>
      <c r="AK21" s="14" t="str">
        <f>IFERROR(IFERROR(VLOOKUP($C21&amp;" "&amp;AK$1,Results!$G:$I,3,FALSE),-VLOOKUP($C21&amp;" "&amp;AK$1,Results!$H:$I,2,FALSE)),"")</f>
        <v/>
      </c>
      <c r="AL21" s="14" t="str">
        <f>IFERROR(IFERROR(VLOOKUP($C21&amp;" "&amp;AL$1,Results!$G:$I,3,FALSE),-VLOOKUP($C21&amp;" "&amp;AL$1,Results!$H:$I,2,FALSE)),"")</f>
        <v/>
      </c>
      <c r="AM21" s="14">
        <f>IFERROR(IFERROR(VLOOKUP($C21&amp;" "&amp;AM$1,Results!$G:$I,3,FALSE),-VLOOKUP($C21&amp;" "&amp;AM$1,Results!$H:$I,2,FALSE)),"")</f>
        <v>-57</v>
      </c>
      <c r="AN21" s="14">
        <f>IFERROR(IFERROR(VLOOKUP($C21&amp;" "&amp;AN$1,Results!$G:$I,3,FALSE),-VLOOKUP($C21&amp;" "&amp;AN$1,Results!$H:$I,2,FALSE)),"")</f>
        <v>48</v>
      </c>
      <c r="AO21" s="66">
        <f>IFERROR(IFERROR(VLOOKUP($C21&amp;" "&amp;AO$1,Results!$G:$I,3,FALSE),-VLOOKUP($C21&amp;" "&amp;AO$1,Results!$H:$I,2,FALSE)),"")</f>
        <v>108</v>
      </c>
      <c r="AP21" s="34" t="str">
        <f>IFERROR(IFERROR(VLOOKUP($C21&amp;" "&amp;AP$1,Results!$G:$I,3,FALSE),-VLOOKUP($C21&amp;" "&amp;AP$1,Results!$H:$I,2,FALSE)),"")</f>
        <v/>
      </c>
      <c r="AQ21" s="34">
        <f>IFERROR(IFERROR(VLOOKUP($C21&amp;" "&amp;AQ$1,Results!$G:$I,3,FALSE),-VLOOKUP($C21&amp;" "&amp;AQ$1,Results!$H:$I,2,FALSE)),"")</f>
        <v>-77</v>
      </c>
      <c r="AR21" s="67">
        <f>IFERROR(IFERROR(VLOOKUP($C21&amp;" "&amp;AR$1,Results!$G:$I,3,FALSE),-VLOOKUP($C21&amp;" "&amp;AR$1,Results!$H:$I,2,FALSE)),"")</f>
        <v>134</v>
      </c>
      <c r="AS21" s="14">
        <f>IFERROR(IFERROR(VLOOKUP($C21&amp;" "&amp;AS$1,Results!$G:$I,3,FALSE),-VLOOKUP($C21&amp;" "&amp;AS$1,Results!$H:$I,2,FALSE)),"")</f>
        <v>122</v>
      </c>
      <c r="AT21" s="14" t="str">
        <f>IFERROR(IFERROR(VLOOKUP($C21&amp;" "&amp;AT$1,Results!$G:$I,3,FALSE),-VLOOKUP($C21&amp;" "&amp;AT$1,Results!$H:$I,2,FALSE)),"")</f>
        <v/>
      </c>
      <c r="AU21" s="14" t="str">
        <f>IFERROR(IFERROR(VLOOKUP($C21&amp;" "&amp;AU$1,Results!$G:$I,3,FALSE),-VLOOKUP($C21&amp;" "&amp;AU$1,Results!$H:$I,2,FALSE)),"")</f>
        <v/>
      </c>
      <c r="AV21" s="14" t="str">
        <f>IFERROR(IFERROR(VLOOKUP($C21&amp;" "&amp;AV$1,Results!$G:$I,3,FALSE),-VLOOKUP($C21&amp;" "&amp;AV$1,Results!$H:$I,2,FALSE)),"")</f>
        <v/>
      </c>
      <c r="AW21" s="14" t="str">
        <f>IFERROR(IFERROR(VLOOKUP($C21&amp;" "&amp;AW$1,Results!$G:$I,3,FALSE),-VLOOKUP($C21&amp;" "&amp;AW$1,Results!$H:$I,2,FALSE)),"")</f>
        <v/>
      </c>
      <c r="AX21" s="14" t="str">
        <f>IFERROR(IFERROR(VLOOKUP($C21&amp;" "&amp;AX$1,Results!$G:$I,3,FALSE),-VLOOKUP($C21&amp;" "&amp;AX$1,Results!$H:$I,2,FALSE)),"")</f>
        <v/>
      </c>
      <c r="AY21" s="14" t="str">
        <f>IFERROR(IFERROR(VLOOKUP($C21&amp;" "&amp;AY$1,Results!$G:$I,3,FALSE),-VLOOKUP($C21&amp;" "&amp;AY$1,Results!$H:$I,2,FALSE)),"")</f>
        <v/>
      </c>
      <c r="AZ21" s="14" t="str">
        <f>IFERROR(IFERROR(VLOOKUP($C21&amp;" "&amp;AZ$1,Results!$G:$I,3,FALSE),-VLOOKUP($C21&amp;" "&amp;AZ$1,Results!$H:$I,2,FALSE)),"")</f>
        <v/>
      </c>
      <c r="BA21" s="14"/>
      <c r="BB21" s="14"/>
      <c r="BC21" s="14"/>
      <c r="BD21" s="14"/>
      <c r="BE21" s="14"/>
      <c r="BF21" s="14"/>
      <c r="BG21" s="14"/>
      <c r="BH21" s="2"/>
      <c r="BI21" s="23"/>
      <c r="BJ21" s="23"/>
      <c r="BK21" s="84">
        <f t="shared" si="5"/>
        <v>278</v>
      </c>
      <c r="BL21" s="15">
        <f t="shared" si="10"/>
        <v>0</v>
      </c>
      <c r="BM21" s="15">
        <f t="shared" si="11"/>
        <v>4</v>
      </c>
      <c r="BN21" s="15">
        <f t="shared" si="12"/>
        <v>4</v>
      </c>
      <c r="BO21" s="90">
        <f t="shared" si="8"/>
        <v>0</v>
      </c>
      <c r="BR21" s="83">
        <f t="shared" si="6"/>
        <v>278</v>
      </c>
      <c r="BS21" s="22">
        <f>BR21/5</f>
        <v>55.6</v>
      </c>
      <c r="BT21" s="15">
        <v>13</v>
      </c>
      <c r="BU21" s="15">
        <f t="shared" si="7"/>
        <v>0</v>
      </c>
      <c r="BV21" s="15">
        <f t="shared" si="9"/>
        <v>13</v>
      </c>
    </row>
    <row r="22" spans="1:74" ht="13.5" customHeight="1">
      <c r="B22" s="15">
        <v>19</v>
      </c>
      <c r="C22" s="16" t="s">
        <v>161</v>
      </c>
      <c r="D22" s="62"/>
      <c r="E22" s="8">
        <f>IF(AND(AN22&gt;0,$A22&lt;VLOOKUP(AN$1,$C:$L,10,FALSE)),1,IF(AND(AN22&lt;0,$A22&gt;VLOOKUP(AN$1,$C:$L,10,FALSE)),1,0))</f>
        <v>0</v>
      </c>
      <c r="F22" s="8">
        <f>IF(AND(AO22&gt;0,$A22&lt;VLOOKUP(AO$1,$C:$L,10,FALSE)),1,IF(AND(AO22&lt;0,$A22&gt;VLOOKUP(AO$1,$C:$L,10,FALSE)),1,0))</f>
        <v>0</v>
      </c>
      <c r="G22" s="8">
        <f>IF(AND(AP22&gt;0,$A22&lt;VLOOKUP(AP$1,$C:$L,10,FALSE)),1,IF(AND(AP22&lt;0,$A22&gt;VLOOKUP(AP$1,$C:$L,10,FALSE)),1,0))</f>
        <v>0</v>
      </c>
      <c r="H22" s="8">
        <f>IF(AND(AR22&gt;0,$A22&lt;VLOOKUP(AR$1,$C:$L,10,FALSE)),1,IF(AND(AR22&lt;0,$A22&gt;VLOOKUP(AR$1,$C:$L,10,FALSE)),1,0))</f>
        <v>0</v>
      </c>
      <c r="I22" s="8">
        <f>IF(AND(AS22&gt;0,$A22&lt;VLOOKUP(AS$1,$C:$L,10,FALSE)),1,IF(AND(AS22&lt;0,$A22&gt;VLOOKUP(AS$1,$C:$L,10,FALSE)),1,0))</f>
        <v>0</v>
      </c>
      <c r="J22" s="8">
        <f>IF(AND(AT22&gt;0,$A22&lt;VLOOKUP(AT$1,$C:$L,10,FALSE)),1,IF(AND(AT22&lt;0,$A22&gt;VLOOKUP(AT$1,$C:$L,10,FALSE)),1,0))</f>
        <v>0</v>
      </c>
      <c r="K22" s="108" t="s">
        <v>135</v>
      </c>
      <c r="L22" s="94">
        <f t="shared" si="0"/>
        <v>0</v>
      </c>
      <c r="M22" s="14"/>
      <c r="N22" s="2">
        <v>5</v>
      </c>
      <c r="O22" s="17">
        <f t="shared" si="1"/>
        <v>6</v>
      </c>
      <c r="P22" s="2">
        <f t="shared" si="2"/>
        <v>0</v>
      </c>
      <c r="Q22" s="2">
        <f t="shared" si="3"/>
        <v>0</v>
      </c>
      <c r="R22" s="18">
        <f>COUNTIF($AO22:$AR22,"&gt;0")</f>
        <v>3</v>
      </c>
      <c r="S22" s="19">
        <f>COUNTIF($AO22:$AR22,"&lt;0")</f>
        <v>0</v>
      </c>
      <c r="T22" s="20">
        <f>COUNTIF($AO22:$AR22,"=0")</f>
        <v>0</v>
      </c>
      <c r="U22" s="2">
        <f t="shared" si="4"/>
        <v>0</v>
      </c>
      <c r="V22" s="2" t="str">
        <f>IFERROR(IFERROR(VLOOKUP($C22&amp;" "&amp;V$1,Results!$G:$I,3,FALSE),-VLOOKUP($C22&amp;" "&amp;V$1,Results!$H:$I,2,FALSE)),"")</f>
        <v/>
      </c>
      <c r="W22" s="2" t="str">
        <f>IFERROR(IFERROR(VLOOKUP($C22&amp;" "&amp;W$1,Results!$G:$I,3,FALSE),-VLOOKUP($C22&amp;" "&amp;W$1,Results!$H:$I,2,FALSE)),"")</f>
        <v/>
      </c>
      <c r="X22" s="2" t="str">
        <f>IFERROR(IFERROR(VLOOKUP($C22&amp;" "&amp;X$1,Results!$G:$I,3,FALSE),-VLOOKUP($C22&amp;" "&amp;X$1,Results!$H:$I,2,FALSE)),"")</f>
        <v/>
      </c>
      <c r="Y22" s="14" t="str">
        <f>IFERROR(IFERROR(VLOOKUP($C22&amp;" "&amp;Y$1,Results!$G:$I,3,FALSE),-VLOOKUP($C22&amp;" "&amp;Y$1,Results!$H:$I,2,FALSE)),"")</f>
        <v/>
      </c>
      <c r="Z22" s="14" t="str">
        <f>IFERROR(IFERROR(VLOOKUP($C22&amp;" "&amp;Z$1,Results!$G:$I,3,FALSE),-VLOOKUP($C22&amp;" "&amp;Z$1,Results!$H:$I,2,FALSE)),"")</f>
        <v/>
      </c>
      <c r="AA22" s="14" t="str">
        <f>IFERROR(IFERROR(VLOOKUP($C22&amp;" "&amp;AA$1,Results!$G:$I,3,FALSE),-VLOOKUP($C22&amp;" "&amp;AA$1,Results!$H:$I,2,FALSE)),"")</f>
        <v/>
      </c>
      <c r="AB22" s="14" t="str">
        <f>IFERROR(IFERROR(VLOOKUP($C22&amp;" "&amp;AB$1,Results!$G:$I,3,FALSE),-VLOOKUP($C22&amp;" "&amp;AB$1,Results!$H:$I,2,FALSE)),"")</f>
        <v/>
      </c>
      <c r="AC22" s="14" t="str">
        <f>IFERROR(IFERROR(VLOOKUP($C22&amp;" "&amp;AC$1,Results!$G:$I,3,FALSE),-VLOOKUP($C22&amp;" "&amp;AC$1,Results!$H:$I,2,FALSE)),"")</f>
        <v/>
      </c>
      <c r="AD22" s="14" t="str">
        <f>IFERROR(IFERROR(VLOOKUP($C22&amp;" "&amp;AD$1,Results!$G:$I,3,FALSE),-VLOOKUP($C22&amp;" "&amp;AD$1,Results!$H:$I,2,FALSE)),"")</f>
        <v/>
      </c>
      <c r="AE22" s="14" t="str">
        <f>IFERROR(IFERROR(VLOOKUP($C22&amp;" "&amp;AE$1,Results!$G:$I,3,FALSE),-VLOOKUP($C22&amp;" "&amp;AE$1,Results!$H:$I,2,FALSE)),"")</f>
        <v/>
      </c>
      <c r="AF22" s="14" t="str">
        <f>IFERROR(IFERROR(VLOOKUP($C22&amp;" "&amp;AF$1,Results!$G:$I,3,FALSE),-VLOOKUP($C22&amp;" "&amp;AF$1,Results!$H:$I,2,FALSE)),"")</f>
        <v/>
      </c>
      <c r="AG22" s="14" t="str">
        <f>IFERROR(IFERROR(VLOOKUP($C22&amp;" "&amp;AG$1,Results!$G:$I,3,FALSE),-VLOOKUP($C22&amp;" "&amp;AG$1,Results!$H:$I,2,FALSE)),"")</f>
        <v/>
      </c>
      <c r="AH22" s="14" t="str">
        <f>IFERROR(IFERROR(VLOOKUP($C22&amp;" "&amp;AH$1,Results!$G:$I,3,FALSE),-VLOOKUP($C22&amp;" "&amp;AH$1,Results!$H:$I,2,FALSE)),"")</f>
        <v/>
      </c>
      <c r="AI22" s="14" t="str">
        <f>IFERROR(IFERROR(VLOOKUP($C22&amp;" "&amp;AI$1,Results!$G:$I,3,FALSE),-VLOOKUP($C22&amp;" "&amp;AI$1,Results!$H:$I,2,FALSE)),"")</f>
        <v/>
      </c>
      <c r="AJ22" s="14" t="str">
        <f>IFERROR(IFERROR(VLOOKUP($C22&amp;" "&amp;AJ$1,Results!$G:$I,3,FALSE),-VLOOKUP($C22&amp;" "&amp;AJ$1,Results!$H:$I,2,FALSE)),"")</f>
        <v/>
      </c>
      <c r="AK22" s="14" t="str">
        <f>IFERROR(IFERROR(VLOOKUP($C22&amp;" "&amp;AK$1,Results!$G:$I,3,FALSE),-VLOOKUP($C22&amp;" "&amp;AK$1,Results!$H:$I,2,FALSE)),"")</f>
        <v/>
      </c>
      <c r="AL22" s="14" t="str">
        <f>IFERROR(IFERROR(VLOOKUP($C22&amp;" "&amp;AL$1,Results!$G:$I,3,FALSE),-VLOOKUP($C22&amp;" "&amp;AL$1,Results!$H:$I,2,FALSE)),"")</f>
        <v/>
      </c>
      <c r="AM22" s="14" t="str">
        <f>IFERROR(IFERROR(VLOOKUP($C22&amp;" "&amp;AM$1,Results!$G:$I,3,FALSE),-VLOOKUP($C22&amp;" "&amp;AM$1,Results!$H:$I,2,FALSE)),"")</f>
        <v/>
      </c>
      <c r="AN22" s="14">
        <f>IFERROR(IFERROR(VLOOKUP($C22&amp;" "&amp;AN$1,Results!$G:$I,3,FALSE),-VLOOKUP($C22&amp;" "&amp;AN$1,Results!$H:$I,2,FALSE)),"")</f>
        <v>98</v>
      </c>
      <c r="AO22" s="66">
        <f>IFERROR(IFERROR(VLOOKUP($C22&amp;" "&amp;AO$1,Results!$G:$I,3,FALSE),-VLOOKUP($C22&amp;" "&amp;AO$1,Results!$H:$I,2,FALSE)),"")</f>
        <v>76</v>
      </c>
      <c r="AP22" s="34">
        <f>IFERROR(IFERROR(VLOOKUP($C22&amp;" "&amp;AP$1,Results!$G:$I,3,FALSE),-VLOOKUP($C22&amp;" "&amp;AP$1,Results!$H:$I,2,FALSE)),"")</f>
        <v>77</v>
      </c>
      <c r="AQ22" s="34" t="str">
        <f>IFERROR(IFERROR(VLOOKUP($C22&amp;" "&amp;AQ$1,Results!$G:$I,3,FALSE),-VLOOKUP($C22&amp;" "&amp;AQ$1,Results!$H:$I,2,FALSE)),"")</f>
        <v/>
      </c>
      <c r="AR22" s="67">
        <f>IFERROR(IFERROR(VLOOKUP($C22&amp;" "&amp;AR$1,Results!$G:$I,3,FALSE),-VLOOKUP($C22&amp;" "&amp;AR$1,Results!$H:$I,2,FALSE)),"")</f>
        <v>93</v>
      </c>
      <c r="AS22" s="14">
        <f>IFERROR(IFERROR(VLOOKUP($C22&amp;" "&amp;AS$1,Results!$G:$I,3,FALSE),-VLOOKUP($C22&amp;" "&amp;AS$1,Results!$H:$I,2,FALSE)),"")</f>
        <v>97</v>
      </c>
      <c r="AT22" s="14">
        <f>IFERROR(IFERROR(VLOOKUP($C22&amp;" "&amp;AT$1,Results!$G:$I,3,FALSE),-VLOOKUP($C22&amp;" "&amp;AT$1,Results!$H:$I,2,FALSE)),"")</f>
        <v>87</v>
      </c>
      <c r="AU22" s="14" t="str">
        <f>IFERROR(IFERROR(VLOOKUP($C22&amp;" "&amp;AU$1,Results!$G:$I,3,FALSE),-VLOOKUP($C22&amp;" "&amp;AU$1,Results!$H:$I,2,FALSE)),"")</f>
        <v/>
      </c>
      <c r="AV22" s="14" t="str">
        <f>IFERROR(IFERROR(VLOOKUP($C22&amp;" "&amp;AV$1,Results!$G:$I,3,FALSE),-VLOOKUP($C22&amp;" "&amp;AV$1,Results!$H:$I,2,FALSE)),"")</f>
        <v/>
      </c>
      <c r="AW22" s="14" t="str">
        <f>IFERROR(IFERROR(VLOOKUP($C22&amp;" "&amp;AW$1,Results!$G:$I,3,FALSE),-VLOOKUP($C22&amp;" "&amp;AW$1,Results!$H:$I,2,FALSE)),"")</f>
        <v/>
      </c>
      <c r="AX22" s="14" t="str">
        <f>IFERROR(IFERROR(VLOOKUP($C22&amp;" "&amp;AX$1,Results!$G:$I,3,FALSE),-VLOOKUP($C22&amp;" "&amp;AX$1,Results!$H:$I,2,FALSE)),"")</f>
        <v/>
      </c>
      <c r="AY22" s="14" t="str">
        <f>IFERROR(IFERROR(VLOOKUP($C22&amp;" "&amp;AY$1,Results!$G:$I,3,FALSE),-VLOOKUP($C22&amp;" "&amp;AY$1,Results!$H:$I,2,FALSE)),"")</f>
        <v/>
      </c>
      <c r="AZ22" s="14" t="str">
        <f>IFERROR(IFERROR(VLOOKUP($C22&amp;" "&amp;AZ$1,Results!$G:$I,3,FALSE),-VLOOKUP($C22&amp;" "&amp;AZ$1,Results!$H:$I,2,FALSE)),"")</f>
        <v/>
      </c>
      <c r="BA22" s="14"/>
      <c r="BB22" s="14"/>
      <c r="BC22" s="14"/>
      <c r="BD22" s="14"/>
      <c r="BE22" s="14"/>
      <c r="BF22" s="14"/>
      <c r="BG22" s="14"/>
      <c r="BH22" s="2"/>
      <c r="BI22" s="23"/>
      <c r="BJ22" s="23"/>
      <c r="BK22" s="84">
        <f t="shared" si="5"/>
        <v>528</v>
      </c>
      <c r="BL22" s="15">
        <f t="shared" si="10"/>
        <v>0</v>
      </c>
      <c r="BM22" s="15">
        <f t="shared" si="11"/>
        <v>4</v>
      </c>
      <c r="BN22" s="15">
        <f t="shared" si="12"/>
        <v>4</v>
      </c>
      <c r="BO22" s="90">
        <f t="shared" si="8"/>
        <v>0</v>
      </c>
      <c r="BR22" s="83">
        <f t="shared" si="6"/>
        <v>528</v>
      </c>
      <c r="BT22" s="15">
        <v>19</v>
      </c>
      <c r="BU22" s="15">
        <f t="shared" si="7"/>
        <v>0</v>
      </c>
      <c r="BV22" s="15">
        <f t="shared" si="9"/>
        <v>19</v>
      </c>
    </row>
    <row r="23" spans="1:74" ht="13.5" customHeight="1" thickBot="1">
      <c r="A23" s="8"/>
      <c r="B23" s="8">
        <v>20</v>
      </c>
      <c r="C23" s="62" t="s">
        <v>61</v>
      </c>
      <c r="D23" s="62"/>
      <c r="E23" s="8">
        <f>IF(AND(AO23&gt;0,$A23&lt;VLOOKUP(AO$1,$C:$L,10,FALSE)),1,IF(AND(AO23&lt;0,$A23&gt;VLOOKUP(AO$1,$C:$L,10,FALSE)),1,0))</f>
        <v>0</v>
      </c>
      <c r="F23" s="8">
        <f>IF(AND(AP23&gt;0,$A23&lt;VLOOKUP(AP$1,$C:$L,10,FALSE)),1,IF(AND(AP23&lt;0,$A23&gt;VLOOKUP(AP$1,$C:$L,10,FALSE)),1,0))</f>
        <v>0</v>
      </c>
      <c r="G23" s="8">
        <f>IF(AND(AQ23&gt;0,$A23&lt;VLOOKUP(AQ$1,$C:$L,10,FALSE)),1,IF(AND(AQ23&lt;0,$A23&gt;VLOOKUP(AQ$1,$C:$L,10,FALSE)),1,0))</f>
        <v>0</v>
      </c>
      <c r="H23" s="8">
        <f>IF(AND(AS23&gt;0,$A23&lt;VLOOKUP(AS$1,$C:$L,10,FALSE)),1,IF(AND(AS23&lt;0,$A23&gt;VLOOKUP(AS$1,$C:$L,10,FALSE)),1,0))</f>
        <v>0</v>
      </c>
      <c r="I23" s="8">
        <f>IF(AND(AT23&gt;0,$A23&lt;VLOOKUP(AT$1,$C:$L,10,FALSE)),1,IF(AND(AT23&lt;0,$A23&gt;VLOOKUP(AT$1,$C:$L,10,FALSE)),1,0))</f>
        <v>0</v>
      </c>
      <c r="J23" s="8">
        <f>IF(AND(AU23&gt;0,$A23&lt;VLOOKUP(AU$1,$C:$L,10,FALSE)),1,IF(AND(AU23&lt;0,$A23&gt;VLOOKUP(AU$1,$C:$L,10,FALSE)),1,0))</f>
        <v>0</v>
      </c>
      <c r="K23" s="108" t="s">
        <v>135</v>
      </c>
      <c r="L23" s="94">
        <f t="shared" si="0"/>
        <v>0</v>
      </c>
      <c r="M23" s="14"/>
      <c r="N23" s="2">
        <v>5</v>
      </c>
      <c r="O23" s="17">
        <f t="shared" si="1"/>
        <v>4</v>
      </c>
      <c r="P23" s="2">
        <f t="shared" si="2"/>
        <v>2</v>
      </c>
      <c r="Q23" s="2">
        <f t="shared" si="3"/>
        <v>0</v>
      </c>
      <c r="R23" s="18">
        <f>COUNTIF($AO23:$AR23,"&gt;0")</f>
        <v>1</v>
      </c>
      <c r="S23" s="19">
        <f>COUNTIF($AO23:$AR23,"&lt;0")</f>
        <v>2</v>
      </c>
      <c r="T23" s="20">
        <f>COUNTIF($AO23:$AR23,"=0")</f>
        <v>0</v>
      </c>
      <c r="U23" s="2">
        <f t="shared" si="4"/>
        <v>0</v>
      </c>
      <c r="V23" s="2" t="str">
        <f>IFERROR(IFERROR(VLOOKUP($C23&amp;" "&amp;V$1,Results!$G:$I,3,FALSE),-VLOOKUP($C23&amp;" "&amp;V$1,Results!$H:$I,2,FALSE)),"")</f>
        <v/>
      </c>
      <c r="W23" s="2" t="str">
        <f>IFERROR(IFERROR(VLOOKUP($C23&amp;" "&amp;W$1,Results!$G:$I,3,FALSE),-VLOOKUP($C23&amp;" "&amp;W$1,Results!$H:$I,2,FALSE)),"")</f>
        <v/>
      </c>
      <c r="X23" s="2" t="str">
        <f>IFERROR(IFERROR(VLOOKUP($C23&amp;" "&amp;X$1,Results!$G:$I,3,FALSE),-VLOOKUP($C23&amp;" "&amp;X$1,Results!$H:$I,2,FALSE)),"")</f>
        <v/>
      </c>
      <c r="Y23" s="14" t="str">
        <f>IFERROR(IFERROR(VLOOKUP($C23&amp;" "&amp;Y$1,Results!$G:$I,3,FALSE),-VLOOKUP($C23&amp;" "&amp;Y$1,Results!$H:$I,2,FALSE)),"")</f>
        <v/>
      </c>
      <c r="Z23" s="14" t="str">
        <f>IFERROR(IFERROR(VLOOKUP($C23&amp;" "&amp;Z$1,Results!$G:$I,3,FALSE),-VLOOKUP($C23&amp;" "&amp;Z$1,Results!$H:$I,2,FALSE)),"")</f>
        <v/>
      </c>
      <c r="AA23" s="14" t="str">
        <f>IFERROR(IFERROR(VLOOKUP($C23&amp;" "&amp;AA$1,Results!$G:$I,3,FALSE),-VLOOKUP($C23&amp;" "&amp;AA$1,Results!$H:$I,2,FALSE)),"")</f>
        <v/>
      </c>
      <c r="AB23" s="14" t="str">
        <f>IFERROR(IFERROR(VLOOKUP($C23&amp;" "&amp;AB$1,Results!$G:$I,3,FALSE),-VLOOKUP($C23&amp;" "&amp;AB$1,Results!$H:$I,2,FALSE)),"")</f>
        <v/>
      </c>
      <c r="AC23" s="14" t="str">
        <f>IFERROR(IFERROR(VLOOKUP($C23&amp;" "&amp;AC$1,Results!$G:$I,3,FALSE),-VLOOKUP($C23&amp;" "&amp;AC$1,Results!$H:$I,2,FALSE)),"")</f>
        <v/>
      </c>
      <c r="AD23" s="14" t="str">
        <f>IFERROR(IFERROR(VLOOKUP($C23&amp;" "&amp;AD$1,Results!$G:$I,3,FALSE),-VLOOKUP($C23&amp;" "&amp;AD$1,Results!$H:$I,2,FALSE)),"")</f>
        <v/>
      </c>
      <c r="AE23" s="14" t="str">
        <f>IFERROR(IFERROR(VLOOKUP($C23&amp;" "&amp;AE$1,Results!$G:$I,3,FALSE),-VLOOKUP($C23&amp;" "&amp;AE$1,Results!$H:$I,2,FALSE)),"")</f>
        <v/>
      </c>
      <c r="AF23" s="14" t="str">
        <f>IFERROR(IFERROR(VLOOKUP($C23&amp;" "&amp;AF$1,Results!$G:$I,3,FALSE),-VLOOKUP($C23&amp;" "&amp;AF$1,Results!$H:$I,2,FALSE)),"")</f>
        <v/>
      </c>
      <c r="AG23" s="14" t="str">
        <f>IFERROR(IFERROR(VLOOKUP($C23&amp;" "&amp;AG$1,Results!$G:$I,3,FALSE),-VLOOKUP($C23&amp;" "&amp;AG$1,Results!$H:$I,2,FALSE)),"")</f>
        <v/>
      </c>
      <c r="AH23" s="14" t="str">
        <f>IFERROR(IFERROR(VLOOKUP($C23&amp;" "&amp;AH$1,Results!$G:$I,3,FALSE),-VLOOKUP($C23&amp;" "&amp;AH$1,Results!$H:$I,2,FALSE)),"")</f>
        <v/>
      </c>
      <c r="AI23" s="14" t="str">
        <f>IFERROR(IFERROR(VLOOKUP($C23&amp;" "&amp;AI$1,Results!$G:$I,3,FALSE),-VLOOKUP($C23&amp;" "&amp;AI$1,Results!$H:$I,2,FALSE)),"")</f>
        <v/>
      </c>
      <c r="AJ23" s="14" t="str">
        <f>IFERROR(IFERROR(VLOOKUP($C23&amp;" "&amp;AJ$1,Results!$G:$I,3,FALSE),-VLOOKUP($C23&amp;" "&amp;AJ$1,Results!$H:$I,2,FALSE)),"")</f>
        <v/>
      </c>
      <c r="AK23" s="14" t="str">
        <f>IFERROR(IFERROR(VLOOKUP($C23&amp;" "&amp;AK$1,Results!$G:$I,3,FALSE),-VLOOKUP($C23&amp;" "&amp;AK$1,Results!$H:$I,2,FALSE)),"")</f>
        <v/>
      </c>
      <c r="AL23" s="14" t="str">
        <f>IFERROR(IFERROR(VLOOKUP($C23&amp;" "&amp;AL$1,Results!$G:$I,3,FALSE),-VLOOKUP($C23&amp;" "&amp;AL$1,Results!$H:$I,2,FALSE)),"")</f>
        <v/>
      </c>
      <c r="AM23" s="14" t="str">
        <f>IFERROR(IFERROR(VLOOKUP($C23&amp;" "&amp;AM$1,Results!$G:$I,3,FALSE),-VLOOKUP($C23&amp;" "&amp;AM$1,Results!$H:$I,2,FALSE)),"")</f>
        <v/>
      </c>
      <c r="AN23" s="14" t="str">
        <f>IFERROR(IFERROR(VLOOKUP($C23&amp;" "&amp;AN$1,Results!$G:$I,3,FALSE),-VLOOKUP($C23&amp;" "&amp;AN$1,Results!$H:$I,2,FALSE)),"")</f>
        <v/>
      </c>
      <c r="AO23" s="68">
        <f>IFERROR(IFERROR(VLOOKUP($C23&amp;" "&amp;AO$1,Results!$G:$I,3,FALSE),-VLOOKUP($C23&amp;" "&amp;AO$1,Results!$H:$I,2,FALSE)),"")</f>
        <v>34</v>
      </c>
      <c r="AP23" s="69">
        <f>IFERROR(IFERROR(VLOOKUP($C23&amp;" "&amp;AP$1,Results!$G:$I,3,FALSE),-VLOOKUP($C23&amp;" "&amp;AP$1,Results!$H:$I,2,FALSE)),"")</f>
        <v>-134</v>
      </c>
      <c r="AQ23" s="69">
        <f>IFERROR(IFERROR(VLOOKUP($C23&amp;" "&amp;AQ$1,Results!$G:$I,3,FALSE),-VLOOKUP($C23&amp;" "&amp;AQ$1,Results!$H:$I,2,FALSE)),"")</f>
        <v>-93</v>
      </c>
      <c r="AR23" s="35" t="str">
        <f>IFERROR(IFERROR(VLOOKUP($C23&amp;" "&amp;AR$1,Results!$G:$I,3,FALSE),-VLOOKUP($C23&amp;" "&amp;AR$1,Results!$H:$I,2,FALSE)),"")</f>
        <v/>
      </c>
      <c r="AS23" s="14">
        <f>IFERROR(IFERROR(VLOOKUP($C23&amp;" "&amp;AS$1,Results!$G:$I,3,FALSE),-VLOOKUP($C23&amp;" "&amp;AS$1,Results!$H:$I,2,FALSE)),"")</f>
        <v>191.10000000000002</v>
      </c>
      <c r="AT23" s="14">
        <f>IFERROR(IFERROR(VLOOKUP($C23&amp;" "&amp;AT$1,Results!$G:$I,3,FALSE),-VLOOKUP($C23&amp;" "&amp;AT$1,Results!$H:$I,2,FALSE)),"")</f>
        <v>106</v>
      </c>
      <c r="AU23" s="14">
        <f>IFERROR(IFERROR(VLOOKUP($C23&amp;" "&amp;AU$1,Results!$G:$I,3,FALSE),-VLOOKUP($C23&amp;" "&amp;AU$1,Results!$H:$I,2,FALSE)),"")</f>
        <v>98</v>
      </c>
      <c r="AV23" s="14" t="str">
        <f>IFERROR(IFERROR(VLOOKUP($C23&amp;" "&amp;AV$1,Results!$G:$I,3,FALSE),-VLOOKUP($C23&amp;" "&amp;AV$1,Results!$H:$I,2,FALSE)),"")</f>
        <v/>
      </c>
      <c r="AW23" s="14" t="str">
        <f>IFERROR(IFERROR(VLOOKUP($C23&amp;" "&amp;AW$1,Results!$G:$I,3,FALSE),-VLOOKUP($C23&amp;" "&amp;AW$1,Results!$H:$I,2,FALSE)),"")</f>
        <v/>
      </c>
      <c r="AX23" s="14" t="str">
        <f>IFERROR(IFERROR(VLOOKUP($C23&amp;" "&amp;AX$1,Results!$G:$I,3,FALSE),-VLOOKUP($C23&amp;" "&amp;AX$1,Results!$H:$I,2,FALSE)),"")</f>
        <v/>
      </c>
      <c r="AY23" s="14" t="str">
        <f>IFERROR(IFERROR(VLOOKUP($C23&amp;" "&amp;AY$1,Results!$G:$I,3,FALSE),-VLOOKUP($C23&amp;" "&amp;AY$1,Results!$H:$I,2,FALSE)),"")</f>
        <v/>
      </c>
      <c r="AZ23" s="14" t="str">
        <f>IFERROR(IFERROR(VLOOKUP($C23&amp;" "&amp;AZ$1,Results!$G:$I,3,FALSE),-VLOOKUP($C23&amp;" "&amp;AZ$1,Results!$H:$I,2,FALSE)),"")</f>
        <v/>
      </c>
      <c r="BA23" s="14"/>
      <c r="BB23" s="14"/>
      <c r="BC23" s="14"/>
      <c r="BD23" s="14"/>
      <c r="BE23" s="14"/>
      <c r="BF23" s="14"/>
      <c r="BG23" s="14"/>
      <c r="BH23" s="2"/>
      <c r="BI23" s="23"/>
      <c r="BJ23" s="23"/>
      <c r="BK23" s="84">
        <f t="shared" si="5"/>
        <v>202.10000000000002</v>
      </c>
      <c r="BL23" s="15">
        <f t="shared" si="10"/>
        <v>0</v>
      </c>
      <c r="BM23" s="15">
        <f t="shared" si="11"/>
        <v>4</v>
      </c>
      <c r="BN23" s="15">
        <f t="shared" si="12"/>
        <v>4</v>
      </c>
      <c r="BO23" s="90">
        <f t="shared" si="8"/>
        <v>0</v>
      </c>
      <c r="BR23" s="83">
        <f t="shared" si="6"/>
        <v>202.10000000000002</v>
      </c>
      <c r="BT23" s="15">
        <v>16</v>
      </c>
      <c r="BU23" s="15">
        <f t="shared" si="7"/>
        <v>0</v>
      </c>
      <c r="BV23" s="15">
        <f t="shared" si="9"/>
        <v>16</v>
      </c>
    </row>
    <row r="24" spans="1:74" ht="13.5" customHeight="1">
      <c r="B24" s="15">
        <v>21</v>
      </c>
      <c r="C24" s="62" t="s">
        <v>52</v>
      </c>
      <c r="D24" s="62"/>
      <c r="E24" s="8">
        <f>IF(AND(AP24&gt;0,$A24&lt;VLOOKUP(AP$1,$C:$L,10,FALSE)),1,IF(AND(AP24&lt;0,$A24&gt;VLOOKUP(AP$1,$C:$L,10,FALSE)),1,0))</f>
        <v>0</v>
      </c>
      <c r="F24" s="8">
        <f>IF(AND(AQ24&gt;0,$A24&lt;VLOOKUP(AQ$1,$C:$L,10,FALSE)),1,IF(AND(AQ24&lt;0,$A24&gt;VLOOKUP(AQ$1,$C:$L,10,FALSE)),1,0))</f>
        <v>0</v>
      </c>
      <c r="G24" s="8">
        <f>IF(AND(AR24&gt;0,$A24&lt;VLOOKUP(AR$1,$C:$L,10,FALSE)),1,IF(AND(AR24&lt;0,$A24&gt;VLOOKUP(AR$1,$C:$L,10,FALSE)),1,0))</f>
        <v>0</v>
      </c>
      <c r="H24" s="8">
        <f>IF(AND(AT24&gt;0,$A24&lt;VLOOKUP(AT$1,$C:$L,10,FALSE)),1,IF(AND(AT24&lt;0,$A24&gt;VLOOKUP(AT$1,$C:$L,10,FALSE)),1,0))</f>
        <v>0</v>
      </c>
      <c r="I24" s="8">
        <f>IF(AND(AU24&gt;0,$A24&lt;VLOOKUP(AU$1,$C:$L,10,FALSE)),1,IF(AND(AU24&lt;0,$A24&gt;VLOOKUP(AU$1,$C:$L,10,FALSE)),1,0))</f>
        <v>0</v>
      </c>
      <c r="J24" s="8">
        <f>IF(AND(AV24&gt;0,$A24&lt;VLOOKUP(AV$1,$C:$L,10,FALSE)),1,IF(AND(AV24&lt;0,$A24&gt;VLOOKUP(AV$1,$C:$L,10,FALSE)),1,0))</f>
        <v>0</v>
      </c>
      <c r="K24" s="108" t="s">
        <v>135</v>
      </c>
      <c r="L24" s="94">
        <f t="shared" si="0"/>
        <v>0</v>
      </c>
      <c r="M24" s="14"/>
      <c r="N24" s="2">
        <v>6</v>
      </c>
      <c r="O24" s="17">
        <f t="shared" si="1"/>
        <v>3</v>
      </c>
      <c r="P24" s="2">
        <f t="shared" si="2"/>
        <v>3</v>
      </c>
      <c r="Q24" s="2">
        <f t="shared" si="3"/>
        <v>0</v>
      </c>
      <c r="R24" s="18">
        <f>COUNTIF($AS24:$AV24,"&gt;0")</f>
        <v>3</v>
      </c>
      <c r="S24" s="19">
        <f>COUNTIF($AS24:$AV24,"&lt;0")</f>
        <v>0</v>
      </c>
      <c r="T24" s="20">
        <f>COUNTIF($AS24:$AV24,"=0")</f>
        <v>0</v>
      </c>
      <c r="U24" s="2">
        <f t="shared" si="4"/>
        <v>0</v>
      </c>
      <c r="V24" s="2" t="str">
        <f>IFERROR(IFERROR(VLOOKUP($C24&amp;" "&amp;V$1,Results!$G:$I,3,FALSE),-VLOOKUP($C24&amp;" "&amp;V$1,Results!$H:$I,2,FALSE)),"")</f>
        <v/>
      </c>
      <c r="W24" s="2" t="str">
        <f>IFERROR(IFERROR(VLOOKUP($C24&amp;" "&amp;W$1,Results!$G:$I,3,FALSE),-VLOOKUP($C24&amp;" "&amp;W$1,Results!$H:$I,2,FALSE)),"")</f>
        <v/>
      </c>
      <c r="X24" s="2" t="str">
        <f>IFERROR(IFERROR(VLOOKUP($C24&amp;" "&amp;X$1,Results!$G:$I,3,FALSE),-VLOOKUP($C24&amp;" "&amp;X$1,Results!$H:$I,2,FALSE)),"")</f>
        <v/>
      </c>
      <c r="Y24" s="14" t="str">
        <f>IFERROR(IFERROR(VLOOKUP($C24&amp;" "&amp;Y$1,Results!$G:$I,3,FALSE),-VLOOKUP($C24&amp;" "&amp;Y$1,Results!$H:$I,2,FALSE)),"")</f>
        <v/>
      </c>
      <c r="Z24" s="14" t="str">
        <f>IFERROR(IFERROR(VLOOKUP($C24&amp;" "&amp;Z$1,Results!$G:$I,3,FALSE),-VLOOKUP($C24&amp;" "&amp;Z$1,Results!$H:$I,2,FALSE)),"")</f>
        <v/>
      </c>
      <c r="AA24" s="14" t="str">
        <f>IFERROR(IFERROR(VLOOKUP($C24&amp;" "&amp;AA$1,Results!$G:$I,3,FALSE),-VLOOKUP($C24&amp;" "&amp;AA$1,Results!$H:$I,2,FALSE)),"")</f>
        <v/>
      </c>
      <c r="AB24" s="14" t="str">
        <f>IFERROR(IFERROR(VLOOKUP($C24&amp;" "&amp;AB$1,Results!$G:$I,3,FALSE),-VLOOKUP($C24&amp;" "&amp;AB$1,Results!$H:$I,2,FALSE)),"")</f>
        <v/>
      </c>
      <c r="AC24" s="14" t="str">
        <f>IFERROR(IFERROR(VLOOKUP($C24&amp;" "&amp;AC$1,Results!$G:$I,3,FALSE),-VLOOKUP($C24&amp;" "&amp;AC$1,Results!$H:$I,2,FALSE)),"")</f>
        <v/>
      </c>
      <c r="AD24" s="14" t="str">
        <f>IFERROR(IFERROR(VLOOKUP($C24&amp;" "&amp;AD$1,Results!$G:$I,3,FALSE),-VLOOKUP($C24&amp;" "&amp;AD$1,Results!$H:$I,2,FALSE)),"")</f>
        <v/>
      </c>
      <c r="AE24" s="14" t="str">
        <f>IFERROR(IFERROR(VLOOKUP($C24&amp;" "&amp;AE$1,Results!$G:$I,3,FALSE),-VLOOKUP($C24&amp;" "&amp;AE$1,Results!$H:$I,2,FALSE)),"")</f>
        <v/>
      </c>
      <c r="AF24" s="14" t="str">
        <f>IFERROR(IFERROR(VLOOKUP($C24&amp;" "&amp;AF$1,Results!$G:$I,3,FALSE),-VLOOKUP($C24&amp;" "&amp;AF$1,Results!$H:$I,2,FALSE)),"")</f>
        <v/>
      </c>
      <c r="AG24" s="14" t="str">
        <f>IFERROR(IFERROR(VLOOKUP($C24&amp;" "&amp;AG$1,Results!$G:$I,3,FALSE),-VLOOKUP($C24&amp;" "&amp;AG$1,Results!$H:$I,2,FALSE)),"")</f>
        <v/>
      </c>
      <c r="AH24" s="14" t="str">
        <f>IFERROR(IFERROR(VLOOKUP($C24&amp;" "&amp;AH$1,Results!$G:$I,3,FALSE),-VLOOKUP($C24&amp;" "&amp;AH$1,Results!$H:$I,2,FALSE)),"")</f>
        <v/>
      </c>
      <c r="AI24" s="14" t="str">
        <f>IFERROR(IFERROR(VLOOKUP($C24&amp;" "&amp;AI$1,Results!$G:$I,3,FALSE),-VLOOKUP($C24&amp;" "&amp;AI$1,Results!$H:$I,2,FALSE)),"")</f>
        <v/>
      </c>
      <c r="AJ24" s="14" t="str">
        <f>IFERROR(IFERROR(VLOOKUP($C24&amp;" "&amp;AJ$1,Results!$G:$I,3,FALSE),-VLOOKUP($C24&amp;" "&amp;AJ$1,Results!$H:$I,2,FALSE)),"")</f>
        <v/>
      </c>
      <c r="AK24" s="14" t="str">
        <f>IFERROR(IFERROR(VLOOKUP($C24&amp;" "&amp;AK$1,Results!$G:$I,3,FALSE),-VLOOKUP($C24&amp;" "&amp;AK$1,Results!$H:$I,2,FALSE)),"")</f>
        <v/>
      </c>
      <c r="AL24" s="14" t="str">
        <f>IFERROR(IFERROR(VLOOKUP($C24&amp;" "&amp;AL$1,Results!$G:$I,3,FALSE),-VLOOKUP($C24&amp;" "&amp;AL$1,Results!$H:$I,2,FALSE)),"")</f>
        <v/>
      </c>
      <c r="AM24" s="14" t="str">
        <f>IFERROR(IFERROR(VLOOKUP($C24&amp;" "&amp;AM$1,Results!$G:$I,3,FALSE),-VLOOKUP($C24&amp;" "&amp;AM$1,Results!$H:$I,2,FALSE)),"")</f>
        <v/>
      </c>
      <c r="AN24" s="14" t="str">
        <f>IFERROR(IFERROR(VLOOKUP($C24&amp;" "&amp;AN$1,Results!$G:$I,3,FALSE),-VLOOKUP($C24&amp;" "&amp;AN$1,Results!$H:$I,2,FALSE)),"")</f>
        <v/>
      </c>
      <c r="AO24" s="14" t="str">
        <f>IFERROR(IFERROR(VLOOKUP($C24&amp;" "&amp;AO$1,Results!$G:$I,3,FALSE),-VLOOKUP($C24&amp;" "&amp;AO$1,Results!$H:$I,2,FALSE)),"")</f>
        <v/>
      </c>
      <c r="AP24" s="14">
        <f>IFERROR(IFERROR(VLOOKUP($C24&amp;" "&amp;AP$1,Results!$G:$I,3,FALSE),-VLOOKUP($C24&amp;" "&amp;AP$1,Results!$H:$I,2,FALSE)),"")</f>
        <v>-122</v>
      </c>
      <c r="AQ24" s="14">
        <f>IFERROR(IFERROR(VLOOKUP($C24&amp;" "&amp;AQ$1,Results!$G:$I,3,FALSE),-VLOOKUP($C24&amp;" "&amp;AQ$1,Results!$H:$I,2,FALSE)),"")</f>
        <v>-97</v>
      </c>
      <c r="AR24" s="14">
        <f>IFERROR(IFERROR(VLOOKUP($C24&amp;" "&amp;AR$1,Results!$G:$I,3,FALSE),-VLOOKUP($C24&amp;" "&amp;AR$1,Results!$H:$I,2,FALSE)),"")</f>
        <v>-191.10000000000002</v>
      </c>
      <c r="AS24" s="33" t="str">
        <f>IFERROR(IFERROR(VLOOKUP($C24&amp;" "&amp;AS$1,Results!$G:$I,3,FALSE),-VLOOKUP($C24&amp;" "&amp;AS$1,Results!$H:$I,2,FALSE)),"")</f>
        <v/>
      </c>
      <c r="AT24" s="64">
        <f>IFERROR(IFERROR(VLOOKUP($C24&amp;" "&amp;AT$1,Results!$G:$I,3,FALSE),-VLOOKUP($C24&amp;" "&amp;AT$1,Results!$H:$I,2,FALSE)),"")</f>
        <v>129</v>
      </c>
      <c r="AU24" s="64">
        <f>IFERROR(IFERROR(VLOOKUP($C24&amp;" "&amp;AU$1,Results!$G:$I,3,FALSE),-VLOOKUP($C24&amp;" "&amp;AU$1,Results!$H:$I,2,FALSE)),"")</f>
        <v>15</v>
      </c>
      <c r="AV24" s="65">
        <f>IFERROR(IFERROR(VLOOKUP($C24&amp;" "&amp;AV$1,Results!$G:$I,3,FALSE),-VLOOKUP($C24&amp;" "&amp;AV$1,Results!$H:$I,2,FALSE)),"")</f>
        <v>184</v>
      </c>
      <c r="AW24" s="14" t="str">
        <f>IFERROR(IFERROR(VLOOKUP($C24&amp;" "&amp;AW$1,Results!$G:$I,3,FALSE),-VLOOKUP($C24&amp;" "&amp;AW$1,Results!$H:$I,2,FALSE)),"")</f>
        <v/>
      </c>
      <c r="AX24" s="14" t="str">
        <f>IFERROR(IFERROR(VLOOKUP($C24&amp;" "&amp;AX$1,Results!$G:$I,3,FALSE),-VLOOKUP($C24&amp;" "&amp;AX$1,Results!$H:$I,2,FALSE)),"")</f>
        <v/>
      </c>
      <c r="AY24" s="14" t="str">
        <f>IFERROR(IFERROR(VLOOKUP($C24&amp;" "&amp;AY$1,Results!$G:$I,3,FALSE),-VLOOKUP($C24&amp;" "&amp;AY$1,Results!$H:$I,2,FALSE)),"")</f>
        <v/>
      </c>
      <c r="AZ24" s="14" t="str">
        <f>IFERROR(IFERROR(VLOOKUP($C24&amp;" "&amp;AZ$1,Results!$G:$I,3,FALSE),-VLOOKUP($C24&amp;" "&amp;AZ$1,Results!$H:$I,2,FALSE)),"")</f>
        <v/>
      </c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84">
        <f t="shared" si="5"/>
        <v>-82.100000000000023</v>
      </c>
      <c r="BL24" s="15">
        <f t="shared" si="10"/>
        <v>0</v>
      </c>
      <c r="BM24" s="15">
        <f t="shared" si="11"/>
        <v>4</v>
      </c>
      <c r="BN24" s="15">
        <f t="shared" si="12"/>
        <v>4</v>
      </c>
      <c r="BO24" s="90">
        <f t="shared" si="8"/>
        <v>0</v>
      </c>
      <c r="BR24" s="83">
        <f t="shared" si="6"/>
        <v>-82.100000000000023</v>
      </c>
      <c r="BT24" s="15">
        <v>23</v>
      </c>
      <c r="BU24" s="15">
        <f t="shared" si="7"/>
        <v>0</v>
      </c>
      <c r="BV24" s="15">
        <f t="shared" si="9"/>
        <v>23</v>
      </c>
    </row>
    <row r="25" spans="1:74" ht="13.5" customHeight="1">
      <c r="A25" s="8"/>
      <c r="B25" s="8">
        <v>22</v>
      </c>
      <c r="C25" s="62" t="s">
        <v>59</v>
      </c>
      <c r="D25" s="16"/>
      <c r="E25" s="8">
        <f>IF(AND(AQ25&gt;0,$A25&lt;VLOOKUP(AQ$1,$C:$L,10,FALSE)),1,IF(AND(AQ25&lt;0,$A25&gt;VLOOKUP(AQ$1,$C:$L,10,FALSE)),1,0))</f>
        <v>0</v>
      </c>
      <c r="F25" s="8">
        <f>IF(AND(AR25&gt;0,$A25&lt;VLOOKUP(AR$1,$C:$L,10,FALSE)),1,IF(AND(AR25&lt;0,$A25&gt;VLOOKUP(AR$1,$C:$L,10,FALSE)),1,0))</f>
        <v>0</v>
      </c>
      <c r="G25" s="8">
        <f>IF(AND(AS25&gt;0,$A25&lt;VLOOKUP(AS$1,$C:$L,10,FALSE)),1,IF(AND(AS25&lt;0,$A25&gt;VLOOKUP(AS$1,$C:$L,10,FALSE)),1,0))</f>
        <v>0</v>
      </c>
      <c r="H25" s="8">
        <f>IF(AND(AU25&gt;0,$A25&lt;VLOOKUP(AU$1,$C:$L,10,FALSE)),1,IF(AND(AU25&lt;0,$A25&gt;VLOOKUP(AU$1,$C:$L,10,FALSE)),1,0))</f>
        <v>0</v>
      </c>
      <c r="I25" s="8">
        <f>IF(AND(AV25&gt;0,$A25&lt;VLOOKUP(AV$1,$C:$L,10,FALSE)),1,IF(AND(AV25&lt;0,$A25&gt;VLOOKUP(AV$1,$C:$L,10,FALSE)),1,0))</f>
        <v>0</v>
      </c>
      <c r="J25" s="8">
        <f>IF(AND(AW25&gt;0,$A25&lt;VLOOKUP(AW$1,$C:$L,10,FALSE)),1,IF(AND(AW25&lt;0,$A25&gt;VLOOKUP(AW$1,$C:$L,10,FALSE)),1,0))</f>
        <v>0</v>
      </c>
      <c r="K25" s="108" t="s">
        <v>135</v>
      </c>
      <c r="L25" s="94">
        <f t="shared" si="0"/>
        <v>0</v>
      </c>
      <c r="M25" s="14"/>
      <c r="N25" s="2">
        <v>6</v>
      </c>
      <c r="O25" s="17">
        <f t="shared" si="1"/>
        <v>3</v>
      </c>
      <c r="P25" s="2">
        <f t="shared" si="2"/>
        <v>3</v>
      </c>
      <c r="Q25" s="2">
        <f t="shared" si="3"/>
        <v>0</v>
      </c>
      <c r="R25" s="18">
        <f>COUNTIF($AS25:$AV25,"&gt;0")</f>
        <v>2</v>
      </c>
      <c r="S25" s="19">
        <f>COUNTIF($AS25:$AV25,"&lt;0")</f>
        <v>1</v>
      </c>
      <c r="T25" s="20">
        <f>COUNTIF($AS25:$AV25,"=0")</f>
        <v>0</v>
      </c>
      <c r="U25" s="2">
        <f t="shared" si="4"/>
        <v>0</v>
      </c>
      <c r="V25" s="2" t="str">
        <f>IFERROR(IFERROR(VLOOKUP($C25&amp;" "&amp;V$1,Results!$G:$I,3,FALSE),-VLOOKUP($C25&amp;" "&amp;V$1,Results!$H:$I,2,FALSE)),"")</f>
        <v/>
      </c>
      <c r="W25" s="2" t="str">
        <f>IFERROR(IFERROR(VLOOKUP($C25&amp;" "&amp;W$1,Results!$G:$I,3,FALSE),-VLOOKUP($C25&amp;" "&amp;W$1,Results!$H:$I,2,FALSE)),"")</f>
        <v/>
      </c>
      <c r="X25" s="2" t="str">
        <f>IFERROR(IFERROR(VLOOKUP($C25&amp;" "&amp;X$1,Results!$G:$I,3,FALSE),-VLOOKUP($C25&amp;" "&amp;X$1,Results!$H:$I,2,FALSE)),"")</f>
        <v/>
      </c>
      <c r="Y25" s="14" t="str">
        <f>IFERROR(IFERROR(VLOOKUP($C25&amp;" "&amp;Y$1,Results!$G:$I,3,FALSE),-VLOOKUP($C25&amp;" "&amp;Y$1,Results!$H:$I,2,FALSE)),"")</f>
        <v/>
      </c>
      <c r="Z25" s="14" t="str">
        <f>IFERROR(IFERROR(VLOOKUP($C25&amp;" "&amp;Z$1,Results!$G:$I,3,FALSE),-VLOOKUP($C25&amp;" "&amp;Z$1,Results!$H:$I,2,FALSE)),"")</f>
        <v/>
      </c>
      <c r="AA25" s="14" t="str">
        <f>IFERROR(IFERROR(VLOOKUP($C25&amp;" "&amp;AA$1,Results!$G:$I,3,FALSE),-VLOOKUP($C25&amp;" "&amp;AA$1,Results!$H:$I,2,FALSE)),"")</f>
        <v/>
      </c>
      <c r="AB25" s="14" t="str">
        <f>IFERROR(IFERROR(VLOOKUP($C25&amp;" "&amp;AB$1,Results!$G:$I,3,FALSE),-VLOOKUP($C25&amp;" "&amp;AB$1,Results!$H:$I,2,FALSE)),"")</f>
        <v/>
      </c>
      <c r="AC25" s="14" t="str">
        <f>IFERROR(IFERROR(VLOOKUP($C25&amp;" "&amp;AC$1,Results!$G:$I,3,FALSE),-VLOOKUP($C25&amp;" "&amp;AC$1,Results!$H:$I,2,FALSE)),"")</f>
        <v/>
      </c>
      <c r="AD25" s="14" t="str">
        <f>IFERROR(IFERROR(VLOOKUP($C25&amp;" "&amp;AD$1,Results!$G:$I,3,FALSE),-VLOOKUP($C25&amp;" "&amp;AD$1,Results!$H:$I,2,FALSE)),"")</f>
        <v/>
      </c>
      <c r="AE25" s="14" t="str">
        <f>IFERROR(IFERROR(VLOOKUP($C25&amp;" "&amp;AE$1,Results!$G:$I,3,FALSE),-VLOOKUP($C25&amp;" "&amp;AE$1,Results!$H:$I,2,FALSE)),"")</f>
        <v/>
      </c>
      <c r="AF25" s="14" t="str">
        <f>IFERROR(IFERROR(VLOOKUP($C25&amp;" "&amp;AF$1,Results!$G:$I,3,FALSE),-VLOOKUP($C25&amp;" "&amp;AF$1,Results!$H:$I,2,FALSE)),"")</f>
        <v/>
      </c>
      <c r="AG25" s="14" t="str">
        <f>IFERROR(IFERROR(VLOOKUP($C25&amp;" "&amp;AG$1,Results!$G:$I,3,FALSE),-VLOOKUP($C25&amp;" "&amp;AG$1,Results!$H:$I,2,FALSE)),"")</f>
        <v/>
      </c>
      <c r="AH25" s="14" t="str">
        <f>IFERROR(IFERROR(VLOOKUP($C25&amp;" "&amp;AH$1,Results!$G:$I,3,FALSE),-VLOOKUP($C25&amp;" "&amp;AH$1,Results!$H:$I,2,FALSE)),"")</f>
        <v/>
      </c>
      <c r="AI25" s="14" t="str">
        <f>IFERROR(IFERROR(VLOOKUP($C25&amp;" "&amp;AI$1,Results!$G:$I,3,FALSE),-VLOOKUP($C25&amp;" "&amp;AI$1,Results!$H:$I,2,FALSE)),"")</f>
        <v/>
      </c>
      <c r="AJ25" s="14" t="str">
        <f>IFERROR(IFERROR(VLOOKUP($C25&amp;" "&amp;AJ$1,Results!$G:$I,3,FALSE),-VLOOKUP($C25&amp;" "&amp;AJ$1,Results!$H:$I,2,FALSE)),"")</f>
        <v/>
      </c>
      <c r="AK25" s="14" t="str">
        <f>IFERROR(IFERROR(VLOOKUP($C25&amp;" "&amp;AK$1,Results!$G:$I,3,FALSE),-VLOOKUP($C25&amp;" "&amp;AK$1,Results!$H:$I,2,FALSE)),"")</f>
        <v/>
      </c>
      <c r="AL25" s="14" t="str">
        <f>IFERROR(IFERROR(VLOOKUP($C25&amp;" "&amp;AL$1,Results!$G:$I,3,FALSE),-VLOOKUP($C25&amp;" "&amp;AL$1,Results!$H:$I,2,FALSE)),"")</f>
        <v/>
      </c>
      <c r="AM25" s="14" t="str">
        <f>IFERROR(IFERROR(VLOOKUP($C25&amp;" "&amp;AM$1,Results!$G:$I,3,FALSE),-VLOOKUP($C25&amp;" "&amp;AM$1,Results!$H:$I,2,FALSE)),"")</f>
        <v/>
      </c>
      <c r="AN25" s="14" t="str">
        <f>IFERROR(IFERROR(VLOOKUP($C25&amp;" "&amp;AN$1,Results!$G:$I,3,FALSE),-VLOOKUP($C25&amp;" "&amp;AN$1,Results!$H:$I,2,FALSE)),"")</f>
        <v/>
      </c>
      <c r="AO25" s="14" t="str">
        <f>IFERROR(IFERROR(VLOOKUP($C25&amp;" "&amp;AO$1,Results!$G:$I,3,FALSE),-VLOOKUP($C25&amp;" "&amp;AO$1,Results!$H:$I,2,FALSE)),"")</f>
        <v/>
      </c>
      <c r="AP25" s="14" t="str">
        <f>IFERROR(IFERROR(VLOOKUP($C25&amp;" "&amp;AP$1,Results!$G:$I,3,FALSE),-VLOOKUP($C25&amp;" "&amp;AP$1,Results!$H:$I,2,FALSE)),"")</f>
        <v/>
      </c>
      <c r="AQ25" s="14">
        <f>IFERROR(IFERROR(VLOOKUP($C25&amp;" "&amp;AQ$1,Results!$G:$I,3,FALSE),-VLOOKUP($C25&amp;" "&amp;AQ$1,Results!$H:$I,2,FALSE)),"")</f>
        <v>-87</v>
      </c>
      <c r="AR25" s="14">
        <f>IFERROR(IFERROR(VLOOKUP($C25&amp;" "&amp;AR$1,Results!$G:$I,3,FALSE),-VLOOKUP($C25&amp;" "&amp;AR$1,Results!$H:$I,2,FALSE)),"")</f>
        <v>-106</v>
      </c>
      <c r="AS25" s="66">
        <f>IFERROR(IFERROR(VLOOKUP($C25&amp;" "&amp;AS$1,Results!$G:$I,3,FALSE),-VLOOKUP($C25&amp;" "&amp;AS$1,Results!$H:$I,2,FALSE)),"")</f>
        <v>-129</v>
      </c>
      <c r="AT25" s="34" t="str">
        <f>IFERROR(IFERROR(VLOOKUP($C25&amp;" "&amp;AT$1,Results!$G:$I,3,FALSE),-VLOOKUP($C25&amp;" "&amp;AT$1,Results!$H:$I,2,FALSE)),"")</f>
        <v/>
      </c>
      <c r="AU25" s="34">
        <f>IFERROR(IFERROR(VLOOKUP($C25&amp;" "&amp;AU$1,Results!$G:$I,3,FALSE),-VLOOKUP($C25&amp;" "&amp;AU$1,Results!$H:$I,2,FALSE)),"")</f>
        <v>8</v>
      </c>
      <c r="AV25" s="67">
        <f>IFERROR(IFERROR(VLOOKUP($C25&amp;" "&amp;AV$1,Results!$G:$I,3,FALSE),-VLOOKUP($C25&amp;" "&amp;AV$1,Results!$H:$I,2,FALSE)),"")</f>
        <v>185</v>
      </c>
      <c r="AW25" s="14">
        <f>IFERROR(IFERROR(VLOOKUP($C25&amp;" "&amp;AW$1,Results!$G:$I,3,FALSE),-VLOOKUP($C25&amp;" "&amp;AW$1,Results!$H:$I,2,FALSE)),"")</f>
        <v>52</v>
      </c>
      <c r="AX25" s="14" t="str">
        <f>IFERROR(IFERROR(VLOOKUP($C25&amp;" "&amp;AX$1,Results!$G:$I,3,FALSE),-VLOOKUP($C25&amp;" "&amp;AX$1,Results!$H:$I,2,FALSE)),"")</f>
        <v/>
      </c>
      <c r="AY25" s="14" t="str">
        <f>IFERROR(IFERROR(VLOOKUP($C25&amp;" "&amp;AY$1,Results!$G:$I,3,FALSE),-VLOOKUP($C25&amp;" "&amp;AY$1,Results!$H:$I,2,FALSE)),"")</f>
        <v/>
      </c>
      <c r="AZ25" s="14" t="str">
        <f>IFERROR(IFERROR(VLOOKUP($C25&amp;" "&amp;AZ$1,Results!$G:$I,3,FALSE),-VLOOKUP($C25&amp;" "&amp;AZ$1,Results!$H:$I,2,FALSE)),"")</f>
        <v/>
      </c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84">
        <f t="shared" si="5"/>
        <v>-77</v>
      </c>
      <c r="BL25" s="15">
        <f t="shared" si="10"/>
        <v>0</v>
      </c>
      <c r="BM25" s="15">
        <f t="shared" si="11"/>
        <v>4</v>
      </c>
      <c r="BN25" s="15">
        <f t="shared" si="12"/>
        <v>4</v>
      </c>
      <c r="BO25" s="90">
        <f t="shared" si="8"/>
        <v>0</v>
      </c>
      <c r="BR25" s="83">
        <f t="shared" si="6"/>
        <v>-77</v>
      </c>
      <c r="BT25" s="15">
        <v>25</v>
      </c>
      <c r="BU25" s="15">
        <f t="shared" si="7"/>
        <v>0</v>
      </c>
      <c r="BV25" s="15">
        <f t="shared" si="9"/>
        <v>25</v>
      </c>
    </row>
    <row r="26" spans="1:74" ht="13.5" customHeight="1">
      <c r="A26" s="8"/>
      <c r="B26" s="8">
        <v>23</v>
      </c>
      <c r="C26" s="62" t="s">
        <v>51</v>
      </c>
      <c r="D26" s="62"/>
      <c r="E26" s="8">
        <f>IF(AND(AR26&gt;0,$A26&lt;VLOOKUP(AR$1,$C:$L,10,FALSE)),1,IF(AND(AR26&lt;0,$A26&gt;VLOOKUP(AR$1,$C:$L,10,FALSE)),1,0))</f>
        <v>0</v>
      </c>
      <c r="F26" s="8">
        <f>IF(AND(AS26&gt;0,$A26&lt;VLOOKUP(AS$1,$C:$L,10,FALSE)),1,IF(AND(AS26&lt;0,$A26&gt;VLOOKUP(AS$1,$C:$L,10,FALSE)),1,0))</f>
        <v>0</v>
      </c>
      <c r="G26" s="8">
        <f>IF(AND(AT26&gt;0,$A26&lt;VLOOKUP(AT$1,$C:$L,10,FALSE)),1,IF(AND(AT26&lt;0,$A26&gt;VLOOKUP(AT$1,$C:$L,10,FALSE)),1,0))</f>
        <v>0</v>
      </c>
      <c r="H26" s="8">
        <f>IF(AND(AV26&gt;0,$A26&lt;VLOOKUP(AV$1,$C:$L,10,FALSE)),1,IF(AND(AV26&lt;0,$A26&gt;VLOOKUP(AV$1,$C:$L,10,FALSE)),1,0))</f>
        <v>0</v>
      </c>
      <c r="I26" s="8">
        <f>IF(AND(AW26&gt;0,$A26&lt;VLOOKUP(AW$1,$C:$L,10,FALSE)),1,IF(AND(AW26&lt;0,$A26&gt;VLOOKUP(AW$1,$C:$L,10,FALSE)),1,0))</f>
        <v>0</v>
      </c>
      <c r="J26" s="8">
        <f>IF(AND(AX26&gt;0,$A26&lt;VLOOKUP(AX$1,$C:$L,10,FALSE)),1,IF(AND(AX26&lt;0,$A26&gt;VLOOKUP(AX$1,$C:$L,10,FALSE)),1,0))</f>
        <v>0</v>
      </c>
      <c r="K26" s="108" t="s">
        <v>135</v>
      </c>
      <c r="L26" s="94">
        <f t="shared" si="0"/>
        <v>0</v>
      </c>
      <c r="M26" s="2"/>
      <c r="N26" s="2">
        <v>6</v>
      </c>
      <c r="O26" s="17">
        <f t="shared" si="1"/>
        <v>1</v>
      </c>
      <c r="P26" s="2">
        <f t="shared" si="2"/>
        <v>4</v>
      </c>
      <c r="Q26" s="2">
        <f t="shared" si="3"/>
        <v>0</v>
      </c>
      <c r="R26" s="18">
        <f>COUNTIF($AS26:$AV26,"&gt;0")</f>
        <v>1</v>
      </c>
      <c r="S26" s="19">
        <f>COUNTIF($AS26:$AV26,"&lt;0")</f>
        <v>2</v>
      </c>
      <c r="T26" s="20">
        <f>COUNTIF($AS26:$AV26,"=0")</f>
        <v>0</v>
      </c>
      <c r="U26" s="2">
        <f t="shared" si="4"/>
        <v>0</v>
      </c>
      <c r="V26" s="2"/>
      <c r="W26" s="2"/>
      <c r="X26" s="2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 t="str">
        <f>IFERROR(IFERROR(VLOOKUP($C26&amp;" "&amp;AO$1,Results!$G:$I,3,FALSE),-VLOOKUP($C26&amp;" "&amp;AO$1,Results!$H:$I,2,FALSE)),"")</f>
        <v/>
      </c>
      <c r="AP26" s="14" t="str">
        <f>IFERROR(IFERROR(VLOOKUP($C26&amp;" "&amp;AP$1,Results!$G:$I,3,FALSE),-VLOOKUP($C26&amp;" "&amp;AP$1,Results!$H:$I,2,FALSE)),"")</f>
        <v/>
      </c>
      <c r="AQ26" s="14" t="str">
        <f>IFERROR(IFERROR(VLOOKUP($C26&amp;" "&amp;AQ$1,Results!$G:$I,3,FALSE),-VLOOKUP($C26&amp;" "&amp;AQ$1,Results!$H:$I,2,FALSE)),"")</f>
        <v/>
      </c>
      <c r="AR26" s="14">
        <f>IFERROR(IFERROR(VLOOKUP($C26&amp;" "&amp;AR$1,Results!$G:$I,3,FALSE),-VLOOKUP($C26&amp;" "&amp;AR$1,Results!$H:$I,2,FALSE)),"")</f>
        <v>-98</v>
      </c>
      <c r="AS26" s="66">
        <f>IFERROR(IFERROR(VLOOKUP($C26&amp;" "&amp;AS$1,Results!$G:$I,3,FALSE),-VLOOKUP($C26&amp;" "&amp;AS$1,Results!$H:$I,2,FALSE)),"")</f>
        <v>-15</v>
      </c>
      <c r="AT26" s="34">
        <f>IFERROR(IFERROR(VLOOKUP($C26&amp;" "&amp;AT$1,Results!$G:$I,3,FALSE),-VLOOKUP($C26&amp;" "&amp;AT$1,Results!$H:$I,2,FALSE)),"")</f>
        <v>-8</v>
      </c>
      <c r="AU26" s="34" t="str">
        <f>IFERROR(IFERROR(VLOOKUP($C26&amp;" "&amp;AU$1,Results!$G:$I,3,FALSE),-VLOOKUP($C26&amp;" "&amp;AU$1,Results!$H:$I,2,FALSE)),"")</f>
        <v/>
      </c>
      <c r="AV26" s="67">
        <f>IFERROR(IFERROR(VLOOKUP($C26&amp;" "&amp;AV$1,Results!$G:$I,3,FALSE),-VLOOKUP($C26&amp;" "&amp;AV$1,Results!$H:$I,2,FALSE)),"")</f>
        <v>37</v>
      </c>
      <c r="AW26" s="14">
        <f>IFERROR(IFERROR(VLOOKUP($C26&amp;" "&amp;AW$1,Results!$G:$I,3,FALSE),-VLOOKUP($C26&amp;" "&amp;AW$1,Results!$H:$I,2,FALSE)),"")</f>
        <v>-5</v>
      </c>
      <c r="AX26" s="14" t="str">
        <f>IFERROR(IFERROR(VLOOKUP($C26&amp;" "&amp;AX$1,Results!$G:$I,3,FALSE),-VLOOKUP($C26&amp;" "&amp;AX$1,Results!$H:$I,2,FALSE)),"")</f>
        <v/>
      </c>
      <c r="AY26" s="14" t="str">
        <f>IFERROR(IFERROR(VLOOKUP($C26&amp;" "&amp;AY$1,Results!$G:$I,3,FALSE),-VLOOKUP($C26&amp;" "&amp;AY$1,Results!$H:$I,2,FALSE)),"")</f>
        <v/>
      </c>
      <c r="AZ26" s="14" t="str">
        <f>IFERROR(IFERROR(VLOOKUP($C26&amp;" "&amp;AZ$1,Results!$G:$I,3,FALSE),-VLOOKUP($C26&amp;" "&amp;AZ$1,Results!$H:$I,2,FALSE)),"")</f>
        <v/>
      </c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84">
        <f t="shared" si="5"/>
        <v>-89</v>
      </c>
      <c r="BL26" s="15">
        <f t="shared" si="10"/>
        <v>0</v>
      </c>
      <c r="BM26" s="15">
        <f t="shared" si="11"/>
        <v>4</v>
      </c>
      <c r="BN26" s="15">
        <f t="shared" si="12"/>
        <v>4</v>
      </c>
      <c r="BO26" s="90">
        <f t="shared" si="8"/>
        <v>0</v>
      </c>
      <c r="BR26" s="83">
        <f t="shared" si="6"/>
        <v>-89</v>
      </c>
      <c r="BT26" s="15">
        <v>22</v>
      </c>
      <c r="BU26" s="15">
        <f t="shared" si="7"/>
        <v>0</v>
      </c>
      <c r="BV26" s="15">
        <f t="shared" si="9"/>
        <v>22</v>
      </c>
    </row>
    <row r="27" spans="1:74" ht="13.5" customHeight="1" thickBot="1">
      <c r="A27" s="8"/>
      <c r="B27" s="8">
        <v>24</v>
      </c>
      <c r="C27" s="62" t="s">
        <v>58</v>
      </c>
      <c r="D27" s="16"/>
      <c r="E27" s="8">
        <f>IF(AND(AS27&gt;0,$A27&lt;VLOOKUP(AS$1,$C:$L,10,FALSE)),1,IF(AND(AS27&lt;0,$A27&gt;VLOOKUP(AS$1,$C:$L,10,FALSE)),1,0))</f>
        <v>0</v>
      </c>
      <c r="F27" s="8">
        <f>IF(AND(AT27&gt;0,$A27&lt;VLOOKUP(AT$1,$C:$L,10,FALSE)),1,IF(AND(AT27&lt;0,$A27&gt;VLOOKUP(AT$1,$C:$L,10,FALSE)),1,0))</f>
        <v>0</v>
      </c>
      <c r="G27" s="8">
        <f>IF(AND(AU27&gt;0,$A27&lt;VLOOKUP(AU$1,$C:$L,10,FALSE)),1,IF(AND(AU27&lt;0,$A27&gt;VLOOKUP(AU$1,$C:$L,10,FALSE)),1,0))</f>
        <v>0</v>
      </c>
      <c r="H27" s="8">
        <f>IF(AND(AW27&gt;0,$A27&lt;VLOOKUP(AW$1,$C:$L,10,FALSE)),1,IF(AND(AW27&lt;0,$A27&gt;VLOOKUP(AW$1,$C:$L,10,FALSE)),1,0))</f>
        <v>0</v>
      </c>
      <c r="I27" s="8">
        <f>IF(AND(AX27&gt;0,$A27&lt;VLOOKUP(AX$1,$C:$L,10,FALSE)),1,IF(AND(AX27&lt;0,$A27&gt;VLOOKUP(AX$1,$C:$L,10,FALSE)),1,0))</f>
        <v>0</v>
      </c>
      <c r="J27" s="8">
        <f>IF(AND(AY27&gt;0,$A27&lt;VLOOKUP(AY$1,$C:$L,10,FALSE)),1,IF(AND(AY27&lt;0,$A27&gt;VLOOKUP(AY$1,$C:$L,10,FALSE)),1,0))</f>
        <v>0</v>
      </c>
      <c r="K27" s="108" t="s">
        <v>135</v>
      </c>
      <c r="L27" s="94">
        <f t="shared" si="0"/>
        <v>0</v>
      </c>
      <c r="M27" s="14"/>
      <c r="N27" s="2">
        <v>6</v>
      </c>
      <c r="O27" s="17">
        <f t="shared" si="1"/>
        <v>0</v>
      </c>
      <c r="P27" s="2">
        <f t="shared" si="2"/>
        <v>6</v>
      </c>
      <c r="Q27" s="2">
        <f t="shared" si="3"/>
        <v>0</v>
      </c>
      <c r="R27" s="18">
        <f>COUNTIF($AS27:$AV27,"&gt;0")</f>
        <v>0</v>
      </c>
      <c r="S27" s="19">
        <f>COUNTIF($AS27:$AV27,"&lt;0")</f>
        <v>3</v>
      </c>
      <c r="T27" s="20">
        <f>COUNTIF($AS27:$AV27,"=0")</f>
        <v>0</v>
      </c>
      <c r="U27" s="2">
        <f t="shared" si="4"/>
        <v>0</v>
      </c>
      <c r="V27" s="2"/>
      <c r="W27" s="2"/>
      <c r="X27" s="2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 t="str">
        <f>IFERROR(IFERROR(VLOOKUP($C27&amp;" "&amp;AO$1,Results!$G:$I,3,FALSE),-VLOOKUP($C27&amp;" "&amp;AO$1,Results!$H:$I,2,FALSE)),"")</f>
        <v/>
      </c>
      <c r="AP27" s="14" t="str">
        <f>IFERROR(IFERROR(VLOOKUP($C27&amp;" "&amp;AP$1,Results!$G:$I,3,FALSE),-VLOOKUP($C27&amp;" "&amp;AP$1,Results!$H:$I,2,FALSE)),"")</f>
        <v/>
      </c>
      <c r="AQ27" s="14" t="str">
        <f>IFERROR(IFERROR(VLOOKUP($C27&amp;" "&amp;AQ$1,Results!$G:$I,3,FALSE),-VLOOKUP($C27&amp;" "&amp;AQ$1,Results!$H:$I,2,FALSE)),"")</f>
        <v/>
      </c>
      <c r="AR27" s="14" t="str">
        <f>IFERROR(IFERROR(VLOOKUP($C27&amp;" "&amp;AR$1,Results!$G:$I,3,FALSE),-VLOOKUP($C27&amp;" "&amp;AR$1,Results!$H:$I,2,FALSE)),"")</f>
        <v/>
      </c>
      <c r="AS27" s="68">
        <f>IFERROR(IFERROR(VLOOKUP($C27&amp;" "&amp;AS$1,Results!$G:$I,3,FALSE),-VLOOKUP($C27&amp;" "&amp;AS$1,Results!$H:$I,2,FALSE)),"")</f>
        <v>-184</v>
      </c>
      <c r="AT27" s="69">
        <f>IFERROR(IFERROR(VLOOKUP($C27&amp;" "&amp;AT$1,Results!$G:$I,3,FALSE),-VLOOKUP($C27&amp;" "&amp;AT$1,Results!$H:$I,2,FALSE)),"")</f>
        <v>-185</v>
      </c>
      <c r="AU27" s="69">
        <f>IFERROR(IFERROR(VLOOKUP($C27&amp;" "&amp;AU$1,Results!$G:$I,3,FALSE),-VLOOKUP($C27&amp;" "&amp;AU$1,Results!$H:$I,2,FALSE)),"")</f>
        <v>-37</v>
      </c>
      <c r="AV27" s="35" t="str">
        <f>IFERROR(IFERROR(VLOOKUP($C27&amp;" "&amp;AV$1,Results!$G:$I,3,FALSE),-VLOOKUP($C27&amp;" "&amp;AV$1,Results!$H:$I,2,FALSE)),"")</f>
        <v/>
      </c>
      <c r="AW27" s="14">
        <f>IFERROR(IFERROR(VLOOKUP($C27&amp;" "&amp;AW$1,Results!$G:$I,3,FALSE),-VLOOKUP($C27&amp;" "&amp;AW$1,Results!$H:$I,2,FALSE)),"")</f>
        <v>-98</v>
      </c>
      <c r="AX27" s="14">
        <f>IFERROR(IFERROR(VLOOKUP($C27&amp;" "&amp;AX$1,Results!$G:$I,3,FALSE),-VLOOKUP($C27&amp;" "&amp;AX$1,Results!$H:$I,2,FALSE)),"")</f>
        <v>-120</v>
      </c>
      <c r="AY27" s="14">
        <f>IFERROR(IFERROR(VLOOKUP($C27&amp;" "&amp;AY$1,Results!$G:$I,3,FALSE),-VLOOKUP($C27&amp;" "&amp;AY$1,Results!$H:$I,2,FALSE)),"")</f>
        <v>-127</v>
      </c>
      <c r="AZ27" s="14" t="str">
        <f>IFERROR(IFERROR(VLOOKUP($C27&amp;" "&amp;AZ$1,Results!$G:$I,3,FALSE),-VLOOKUP($C27&amp;" "&amp;AZ$1,Results!$H:$I,2,FALSE)),"")</f>
        <v/>
      </c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84">
        <f t="shared" si="5"/>
        <v>-751</v>
      </c>
      <c r="BL27" s="15">
        <f t="shared" si="10"/>
        <v>0</v>
      </c>
      <c r="BM27" s="15">
        <f t="shared" si="11"/>
        <v>4</v>
      </c>
      <c r="BN27" s="15">
        <f t="shared" si="12"/>
        <v>4</v>
      </c>
      <c r="BO27" s="90">
        <f t="shared" si="8"/>
        <v>0</v>
      </c>
      <c r="BR27" s="83">
        <f t="shared" si="6"/>
        <v>-751</v>
      </c>
      <c r="BT27" s="15">
        <v>26</v>
      </c>
      <c r="BU27" s="15">
        <f t="shared" si="7"/>
        <v>0</v>
      </c>
      <c r="BV27" s="15">
        <f t="shared" si="9"/>
        <v>26</v>
      </c>
    </row>
    <row r="28" spans="1:74" ht="13.5" customHeight="1">
      <c r="A28" s="8"/>
      <c r="B28" s="8">
        <v>25</v>
      </c>
      <c r="C28" s="62" t="s">
        <v>70</v>
      </c>
      <c r="D28" s="62"/>
      <c r="E28" s="8">
        <f>IF(AND(AT28&gt;0,$A28&lt;VLOOKUP(AT$1,$C:$L,10,FALSE)),1,IF(AND(AT28&lt;0,$A28&gt;VLOOKUP(AT$1,$C:$L,10,FALSE)),1,0))</f>
        <v>0</v>
      </c>
      <c r="F28" s="8">
        <f>IF(AND(AU28&gt;0,$A28&lt;VLOOKUP(AU$1,$C:$L,10,FALSE)),1,IF(AND(AU28&lt;0,$A28&gt;VLOOKUP(AU$1,$C:$L,10,FALSE)),1,0))</f>
        <v>0</v>
      </c>
      <c r="G28" s="8">
        <f>IF(AND(AV28&gt;0,$A28&lt;VLOOKUP(AV$1,$C:$L,10,FALSE)),1,IF(AND(AV28&lt;0,$A28&gt;VLOOKUP(AV$1,$C:$L,10,FALSE)),1,0))</f>
        <v>0</v>
      </c>
      <c r="H28" s="8">
        <f>IF(AND(AX28&gt;0,$A28&lt;VLOOKUP(AX$1,$C:$L,10,FALSE)),1,IF(AND(AX28&lt;0,$A28&gt;VLOOKUP(AX$1,$C:$L,10,FALSE)),1,0))</f>
        <v>0</v>
      </c>
      <c r="I28" s="8">
        <f>IF(AND(AY28&gt;0,$A28&lt;VLOOKUP(AY$1,$C:$L,10,FALSE)),1,IF(AND(AY28&lt;0,$A28&gt;VLOOKUP(AY$1,$C:$L,10,FALSE)),1,0))</f>
        <v>0</v>
      </c>
      <c r="J28" s="8">
        <f>IF(AND(AZ28&gt;0,$A28&lt;VLOOKUP(AZ$1,$C:$L,10,FALSE)),1,IF(AND(AZ28&lt;0,$A28&gt;VLOOKUP(AZ$1,$C:$L,10,FALSE)),1,0))</f>
        <v>0</v>
      </c>
      <c r="K28" s="108" t="s">
        <v>135</v>
      </c>
      <c r="L28" s="94">
        <f t="shared" si="0"/>
        <v>0</v>
      </c>
      <c r="M28" s="14"/>
      <c r="N28" s="2">
        <v>7</v>
      </c>
      <c r="O28" s="17">
        <f t="shared" si="1"/>
        <v>3</v>
      </c>
      <c r="P28" s="2">
        <f t="shared" si="2"/>
        <v>3</v>
      </c>
      <c r="Q28" s="2">
        <f t="shared" si="3"/>
        <v>0</v>
      </c>
      <c r="R28" s="18">
        <f>COUNTIF($AW28:$AZ28,"&gt;0")</f>
        <v>1</v>
      </c>
      <c r="S28" s="19">
        <f>COUNTIF($AW28:$AZ28,"&lt;0")</f>
        <v>2</v>
      </c>
      <c r="T28" s="20">
        <f>COUNTIF($AW28:$AZ28,"=0")</f>
        <v>0</v>
      </c>
      <c r="U28" s="2">
        <f t="shared" si="4"/>
        <v>0</v>
      </c>
      <c r="V28" s="2"/>
      <c r="W28" s="2"/>
      <c r="X28" s="2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 t="str">
        <f>IFERROR(IFERROR(VLOOKUP($C28&amp;" "&amp;AO$1,Results!$G:$I,3,FALSE),-VLOOKUP($C28&amp;" "&amp;AO$1,Results!$H:$I,2,FALSE)),"")</f>
        <v/>
      </c>
      <c r="AP28" s="14" t="str">
        <f>IFERROR(IFERROR(VLOOKUP($C28&amp;" "&amp;AP$1,Results!$G:$I,3,FALSE),-VLOOKUP($C28&amp;" "&amp;AP$1,Results!$H:$I,2,FALSE)),"")</f>
        <v/>
      </c>
      <c r="AQ28" s="14" t="str">
        <f>IFERROR(IFERROR(VLOOKUP($C28&amp;" "&amp;AQ$1,Results!$G:$I,3,FALSE),-VLOOKUP($C28&amp;" "&amp;AQ$1,Results!$H:$I,2,FALSE)),"")</f>
        <v/>
      </c>
      <c r="AR28" s="14" t="str">
        <f>IFERROR(IFERROR(VLOOKUP($C28&amp;" "&amp;AR$1,Results!$G:$I,3,FALSE),-VLOOKUP($C28&amp;" "&amp;AR$1,Results!$H:$I,2,FALSE)),"")</f>
        <v/>
      </c>
      <c r="AS28" s="14" t="str">
        <f>IFERROR(IFERROR(VLOOKUP($C28&amp;" "&amp;AS$1,Results!$G:$I,3,FALSE),-VLOOKUP($C28&amp;" "&amp;AS$1,Results!$H:$I,2,FALSE)),"")</f>
        <v/>
      </c>
      <c r="AT28" s="14">
        <f>IFERROR(IFERROR(VLOOKUP($C28&amp;" "&amp;AT$1,Results!$G:$I,3,FALSE),-VLOOKUP($C28&amp;" "&amp;AT$1,Results!$H:$I,2,FALSE)),"")</f>
        <v>-52</v>
      </c>
      <c r="AU28" s="14">
        <f>IFERROR(IFERROR(VLOOKUP($C28&amp;" "&amp;AU$1,Results!$G:$I,3,FALSE),-VLOOKUP($C28&amp;" "&amp;AU$1,Results!$H:$I,2,FALSE)),"")</f>
        <v>5</v>
      </c>
      <c r="AV28" s="14">
        <f>IFERROR(IFERROR(VLOOKUP($C28&amp;" "&amp;AV$1,Results!$G:$I,3,FALSE),-VLOOKUP($C28&amp;" "&amp;AV$1,Results!$H:$I,2,FALSE)),"")</f>
        <v>98</v>
      </c>
      <c r="AW28" s="33" t="str">
        <f>IFERROR(IFERROR(VLOOKUP($C28&amp;" "&amp;AW$1,Results!$G:$I,3,FALSE),-VLOOKUP($C28&amp;" "&amp;AW$1,Results!$H:$I,2,FALSE)),"")</f>
        <v/>
      </c>
      <c r="AX28" s="64">
        <f>IFERROR(IFERROR(VLOOKUP($C28&amp;" "&amp;AX$1,Results!$G:$I,3,FALSE),-VLOOKUP($C28&amp;" "&amp;AX$1,Results!$H:$I,2,FALSE)),"")</f>
        <v>-103</v>
      </c>
      <c r="AY28" s="64">
        <f>IFERROR(IFERROR(VLOOKUP($C28&amp;" "&amp;AY$1,Results!$G:$I,3,FALSE),-VLOOKUP($C28&amp;" "&amp;AY$1,Results!$H:$I,2,FALSE)),"")</f>
        <v>-152</v>
      </c>
      <c r="AZ28" s="65">
        <f>IFERROR(IFERROR(VLOOKUP($C28&amp;" "&amp;AZ$1,Results!$G:$I,3,FALSE),-VLOOKUP($C28&amp;" "&amp;AZ$1,Results!$H:$I,2,FALSE)),"")</f>
        <v>83</v>
      </c>
      <c r="BA28" s="14" t="str">
        <f>IFERROR(IFERROR(VLOOKUP($C28&amp;" "&amp;BA$1,Results!$G:$I,3,FALSE),-VLOOKUP($C28&amp;" "&amp;BA$1,Results!$H:$I,2,FALSE)),"")</f>
        <v/>
      </c>
      <c r="BB28" s="14" t="str">
        <f>IFERROR(IFERROR(VLOOKUP($C28&amp;" "&amp;BB$1,Results!$G:$I,3,FALSE),-VLOOKUP($C28&amp;" "&amp;BB$1,Results!$H:$I,2,FALSE)),"")</f>
        <v/>
      </c>
      <c r="BC28" s="14" t="str">
        <f>IFERROR(IFERROR(VLOOKUP($C28&amp;" "&amp;BC$1,Results!$G:$I,3,FALSE),-VLOOKUP($C28&amp;" "&amp;BC$1,Results!$H:$I,2,FALSE)),"")</f>
        <v/>
      </c>
      <c r="BD28" s="14" t="str">
        <f>IFERROR(IFERROR(VLOOKUP($C28&amp;" "&amp;BD$1,Results!$G:$I,3,FALSE),-VLOOKUP($C28&amp;" "&amp;BD$1,Results!$H:$I,2,FALSE)),"")</f>
        <v/>
      </c>
      <c r="BE28" s="14" t="str">
        <f>IFERROR(IFERROR(VLOOKUP($C28&amp;" "&amp;BE$1,Results!$G:$I,3,FALSE),-VLOOKUP($C28&amp;" "&amp;BE$1,Results!$H:$I,2,FALSE)),"")</f>
        <v/>
      </c>
      <c r="BF28" s="14"/>
      <c r="BG28" s="14"/>
      <c r="BH28" s="14"/>
      <c r="BI28" s="14"/>
      <c r="BJ28" s="14"/>
      <c r="BK28" s="84">
        <f t="shared" si="5"/>
        <v>-121</v>
      </c>
      <c r="BL28" s="15">
        <f t="shared" si="10"/>
        <v>0</v>
      </c>
      <c r="BM28" s="15">
        <f t="shared" si="11"/>
        <v>4</v>
      </c>
      <c r="BN28" s="15">
        <f t="shared" si="12"/>
        <v>4</v>
      </c>
      <c r="BO28" s="90">
        <f t="shared" si="8"/>
        <v>0</v>
      </c>
      <c r="BR28" s="83">
        <f t="shared" si="6"/>
        <v>-121</v>
      </c>
      <c r="BT28" s="15">
        <v>31</v>
      </c>
      <c r="BU28" s="15">
        <f t="shared" si="7"/>
        <v>0</v>
      </c>
      <c r="BV28" s="15">
        <f t="shared" si="9"/>
        <v>31</v>
      </c>
    </row>
    <row r="29" spans="1:74" ht="13.5" customHeight="1">
      <c r="A29" s="8"/>
      <c r="B29" s="8">
        <v>26</v>
      </c>
      <c r="C29" s="16" t="s">
        <v>65</v>
      </c>
      <c r="D29" s="62"/>
      <c r="E29" s="8">
        <f>IF(AND(AU29&gt;0,$A29&lt;VLOOKUP(AU$1,$C:$L,10,FALSE)),1,IF(AND(AU29&lt;0,$A29&gt;VLOOKUP(AU$1,$C:$L,10,FALSE)),1,0))</f>
        <v>0</v>
      </c>
      <c r="F29" s="8">
        <f>IF(AND(AV29&gt;0,$A29&lt;VLOOKUP(AV$1,$C:$L,10,FALSE)),1,IF(AND(AV29&lt;0,$A29&gt;VLOOKUP(AV$1,$C:$L,10,FALSE)),1,0))</f>
        <v>0</v>
      </c>
      <c r="G29" s="8">
        <f>IF(AND(AW29&gt;0,$A29&lt;VLOOKUP(AW$1,$C:$L,10,FALSE)),1,IF(AND(AW29&lt;0,$A29&gt;VLOOKUP(AW$1,$C:$L,10,FALSE)),1,0))</f>
        <v>0</v>
      </c>
      <c r="H29" s="8">
        <f>IF(AND(AY29&gt;0,$A29&lt;VLOOKUP(AY$1,$C:$L,10,FALSE)),1,IF(AND(AY29&lt;0,$A29&gt;VLOOKUP(AY$1,$C:$L,10,FALSE)),1,0))</f>
        <v>0</v>
      </c>
      <c r="I29" s="8">
        <f>IF(AND(AZ29&gt;0,$A29&lt;VLOOKUP(AZ$1,$C:$L,10,FALSE)),1,IF(AND(AZ29&lt;0,$A29&gt;VLOOKUP(AZ$1,$C:$L,10,FALSE)),1,0))</f>
        <v>0</v>
      </c>
      <c r="J29" s="8">
        <f>IF(AND(BA29&gt;0,$A29&lt;VLOOKUP(BA$1,$C:$L,10,FALSE)),1,IF(AND(BA29&lt;0,$A29&gt;VLOOKUP(BA$1,$C:$L,10,FALSE)),1,0))</f>
        <v>0</v>
      </c>
      <c r="K29" s="108" t="s">
        <v>135</v>
      </c>
      <c r="L29" s="94">
        <f t="shared" si="0"/>
        <v>0</v>
      </c>
      <c r="M29" s="14"/>
      <c r="N29" s="2">
        <v>7</v>
      </c>
      <c r="O29" s="17">
        <f t="shared" si="1"/>
        <v>5</v>
      </c>
      <c r="P29" s="2">
        <f t="shared" si="2"/>
        <v>0</v>
      </c>
      <c r="Q29" s="2">
        <f t="shared" si="3"/>
        <v>0</v>
      </c>
      <c r="R29" s="18">
        <f>COUNTIF($AW29:$AZ29,"&gt;0")</f>
        <v>3</v>
      </c>
      <c r="S29" s="19">
        <f>COUNTIF($AW29:$AZ29,"&lt;0")</f>
        <v>0</v>
      </c>
      <c r="T29" s="20">
        <f>COUNTIF($AW29:$AZ29,"=0")</f>
        <v>0</v>
      </c>
      <c r="U29" s="2">
        <f t="shared" si="4"/>
        <v>0</v>
      </c>
      <c r="V29" s="2"/>
      <c r="W29" s="2"/>
      <c r="X29" s="2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 t="str">
        <f>IFERROR(IFERROR(VLOOKUP($C29&amp;" "&amp;AO$1,Results!$G:$I,3,FALSE),-VLOOKUP($C29&amp;" "&amp;AO$1,Results!$H:$I,2,FALSE)),"")</f>
        <v/>
      </c>
      <c r="AP29" s="14" t="str">
        <f>IFERROR(IFERROR(VLOOKUP($C29&amp;" "&amp;AP$1,Results!$G:$I,3,FALSE),-VLOOKUP($C29&amp;" "&amp;AP$1,Results!$H:$I,2,FALSE)),"")</f>
        <v/>
      </c>
      <c r="AQ29" s="14" t="str">
        <f>IFERROR(IFERROR(VLOOKUP($C29&amp;" "&amp;AQ$1,Results!$G:$I,3,FALSE),-VLOOKUP($C29&amp;" "&amp;AQ$1,Results!$H:$I,2,FALSE)),"")</f>
        <v/>
      </c>
      <c r="AR29" s="14" t="str">
        <f>IFERROR(IFERROR(VLOOKUP($C29&amp;" "&amp;AR$1,Results!$G:$I,3,FALSE),-VLOOKUP($C29&amp;" "&amp;AR$1,Results!$H:$I,2,FALSE)),"")</f>
        <v/>
      </c>
      <c r="AS29" s="14" t="str">
        <f>IFERROR(IFERROR(VLOOKUP($C29&amp;" "&amp;AS$1,Results!$G:$I,3,FALSE),-VLOOKUP($C29&amp;" "&amp;AS$1,Results!$H:$I,2,FALSE)),"")</f>
        <v/>
      </c>
      <c r="AT29" s="14" t="str">
        <f>IFERROR(IFERROR(VLOOKUP($C29&amp;" "&amp;AT$1,Results!$G:$I,3,FALSE),-VLOOKUP($C29&amp;" "&amp;AT$1,Results!$H:$I,2,FALSE)),"")</f>
        <v/>
      </c>
      <c r="AU29" s="14" t="str">
        <f>IFERROR(IFERROR(VLOOKUP($C29&amp;" "&amp;AU$1,Results!$G:$I,3,FALSE),-VLOOKUP($C29&amp;" "&amp;AU$1,Results!$H:$I,2,FALSE)),"")</f>
        <v/>
      </c>
      <c r="AV29" s="14">
        <f>IFERROR(IFERROR(VLOOKUP($C29&amp;" "&amp;AV$1,Results!$G:$I,3,FALSE),-VLOOKUP($C29&amp;" "&amp;AV$1,Results!$H:$I,2,FALSE)),"")</f>
        <v>120</v>
      </c>
      <c r="AW29" s="66">
        <f>IFERROR(IFERROR(VLOOKUP($C29&amp;" "&amp;AW$1,Results!$G:$I,3,FALSE),-VLOOKUP($C29&amp;" "&amp;AW$1,Results!$H:$I,2,FALSE)),"")</f>
        <v>103</v>
      </c>
      <c r="AX29" s="34" t="str">
        <f>IFERROR(IFERROR(VLOOKUP($C29&amp;" "&amp;AX$1,Results!$G:$I,3,FALSE),-VLOOKUP($C29&amp;" "&amp;AX$1,Results!$H:$I,2,FALSE)),"")</f>
        <v/>
      </c>
      <c r="AY29" s="34">
        <f>IFERROR(IFERROR(VLOOKUP($C29&amp;" "&amp;AY$1,Results!$G:$I,3,FALSE),-VLOOKUP($C29&amp;" "&amp;AY$1,Results!$H:$I,2,FALSE)),"")</f>
        <v>4</v>
      </c>
      <c r="AZ29" s="67">
        <f>IFERROR(IFERROR(VLOOKUP($C29&amp;" "&amp;AZ$1,Results!$G:$I,3,FALSE),-VLOOKUP($C29&amp;" "&amp;AZ$1,Results!$H:$I,2,FALSE)),"")</f>
        <v>121</v>
      </c>
      <c r="BA29" s="14">
        <f>IFERROR(IFERROR(VLOOKUP($C29&amp;" "&amp;BA$1,Results!$G:$I,3,FALSE),-VLOOKUP($C29&amp;" "&amp;BA$1,Results!$H:$I,2,FALSE)),"")</f>
        <v>54</v>
      </c>
      <c r="BB29" s="14" t="str">
        <f>IFERROR(IFERROR(VLOOKUP($C29&amp;" "&amp;BB$1,Results!$G:$I,3,FALSE),-VLOOKUP($C29&amp;" "&amp;BB$1,Results!$H:$I,2,FALSE)),"")</f>
        <v/>
      </c>
      <c r="BC29" s="14" t="str">
        <f>IFERROR(IFERROR(VLOOKUP($C29&amp;" "&amp;BC$1,Results!$G:$I,3,FALSE),-VLOOKUP($C29&amp;" "&amp;BC$1,Results!$H:$I,2,FALSE)),"")</f>
        <v/>
      </c>
      <c r="BD29" s="14" t="str">
        <f>IFERROR(IFERROR(VLOOKUP($C29&amp;" "&amp;BD$1,Results!$G:$I,3,FALSE),-VLOOKUP($C29&amp;" "&amp;BD$1,Results!$H:$I,2,FALSE)),"")</f>
        <v/>
      </c>
      <c r="BE29" s="14" t="str">
        <f>IFERROR(IFERROR(VLOOKUP($C29&amp;" "&amp;BE$1,Results!$G:$I,3,FALSE),-VLOOKUP($C29&amp;" "&amp;BE$1,Results!$H:$I,2,FALSE)),"")</f>
        <v/>
      </c>
      <c r="BF29" s="14"/>
      <c r="BG29" s="14"/>
      <c r="BH29" s="14"/>
      <c r="BI29" s="14"/>
      <c r="BJ29" s="14"/>
      <c r="BK29" s="84">
        <f t="shared" si="5"/>
        <v>402</v>
      </c>
      <c r="BL29" s="15">
        <f t="shared" si="10"/>
        <v>0</v>
      </c>
      <c r="BM29" s="15">
        <f t="shared" si="11"/>
        <v>4</v>
      </c>
      <c r="BN29" s="15">
        <f t="shared" si="12"/>
        <v>4</v>
      </c>
      <c r="BO29" s="90">
        <f t="shared" si="8"/>
        <v>0</v>
      </c>
      <c r="BR29" s="83">
        <f t="shared" si="6"/>
        <v>402</v>
      </c>
      <c r="BT29" s="15">
        <v>21</v>
      </c>
      <c r="BU29" s="15">
        <f t="shared" si="7"/>
        <v>0</v>
      </c>
      <c r="BV29" s="15">
        <f t="shared" si="9"/>
        <v>21</v>
      </c>
    </row>
    <row r="30" spans="1:74">
      <c r="A30" s="8"/>
      <c r="B30" s="8">
        <v>27</v>
      </c>
      <c r="C30" s="62" t="s">
        <v>0</v>
      </c>
      <c r="D30" s="62"/>
      <c r="E30" s="8">
        <f>IF(AND(AV30&gt;0,$A30&lt;VLOOKUP(AV$1,$C:$L,10,FALSE)),1,IF(AND(AV30&lt;0,$A30&gt;VLOOKUP(AV$1,$C:$L,10,FALSE)),1,0))</f>
        <v>0</v>
      </c>
      <c r="F30" s="8">
        <f>IF(AND(AW30&gt;0,$A30&lt;VLOOKUP(AW$1,$C:$L,10,FALSE)),1,IF(AND(AW30&lt;0,$A30&gt;VLOOKUP(AW$1,$C:$L,10,FALSE)),1,0))</f>
        <v>0</v>
      </c>
      <c r="G30" s="8">
        <f>IF(AND(AX30&gt;0,$A30&lt;VLOOKUP(AX$1,$C:$L,10,FALSE)),1,IF(AND(AX30&lt;0,$A30&gt;VLOOKUP(AX$1,$C:$L,10,FALSE)),1,0))</f>
        <v>0</v>
      </c>
      <c r="H30" s="8">
        <f>IF(AND(AZ30&gt;0,$A30&lt;VLOOKUP(AZ$1,$C:$L,10,FALSE)),1,IF(AND(AZ30&lt;0,$A30&gt;VLOOKUP(AZ$1,$C:$L,10,FALSE)),1,0))</f>
        <v>0</v>
      </c>
      <c r="I30" s="8">
        <f>IF(AND(BA30&gt;0,$A30&lt;VLOOKUP(BA$1,$C:$L,10,FALSE)),1,IF(AND(BA30&lt;0,$A30&gt;VLOOKUP(BA$1,$C:$L,10,FALSE)),1,0))</f>
        <v>0</v>
      </c>
      <c r="J30" s="8">
        <f>IF(AND(BB30&gt;0,$A30&lt;VLOOKUP(BB$1,$C:$L,10,FALSE)),1,IF(AND(BB30&lt;0,$A30&gt;VLOOKUP(BB$1,$C:$L,10,FALSE)),1,0))</f>
        <v>0</v>
      </c>
      <c r="K30" s="108" t="s">
        <v>135</v>
      </c>
      <c r="L30" s="94">
        <f t="shared" si="0"/>
        <v>0</v>
      </c>
      <c r="M30" s="14"/>
      <c r="N30" s="2">
        <v>7</v>
      </c>
      <c r="O30" s="17">
        <f t="shared" si="1"/>
        <v>4</v>
      </c>
      <c r="P30" s="2">
        <f t="shared" si="2"/>
        <v>2</v>
      </c>
      <c r="Q30" s="2">
        <f t="shared" si="3"/>
        <v>0</v>
      </c>
      <c r="R30" s="18">
        <f>COUNTIF($AW30:$AZ30,"&gt;0")</f>
        <v>2</v>
      </c>
      <c r="S30" s="19">
        <f>COUNTIF($AW30:$AZ30,"&lt;0")</f>
        <v>1</v>
      </c>
      <c r="T30" s="20">
        <f>COUNTIF($AW30:$AZ30,"=0")</f>
        <v>0</v>
      </c>
      <c r="U30" s="2">
        <f t="shared" si="4"/>
        <v>0</v>
      </c>
      <c r="V30" s="2"/>
      <c r="W30" s="2"/>
      <c r="X30" s="2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 t="str">
        <f>IFERROR(IFERROR(VLOOKUP($C30&amp;" "&amp;AO$1,Results!$G:$I,3,FALSE),-VLOOKUP($C30&amp;" "&amp;AO$1,Results!$H:$I,2,FALSE)),"")</f>
        <v/>
      </c>
      <c r="AP30" s="14" t="str">
        <f>IFERROR(IFERROR(VLOOKUP($C30&amp;" "&amp;AP$1,Results!$G:$I,3,FALSE),-VLOOKUP($C30&amp;" "&amp;AP$1,Results!$H:$I,2,FALSE)),"")</f>
        <v/>
      </c>
      <c r="AQ30" s="14" t="str">
        <f>IFERROR(IFERROR(VLOOKUP($C30&amp;" "&amp;AQ$1,Results!$G:$I,3,FALSE),-VLOOKUP($C30&amp;" "&amp;AQ$1,Results!$H:$I,2,FALSE)),"")</f>
        <v/>
      </c>
      <c r="AR30" s="14" t="str">
        <f>IFERROR(IFERROR(VLOOKUP($C30&amp;" "&amp;AR$1,Results!$G:$I,3,FALSE),-VLOOKUP($C30&amp;" "&amp;AR$1,Results!$H:$I,2,FALSE)),"")</f>
        <v/>
      </c>
      <c r="AS30" s="14" t="str">
        <f>IFERROR(IFERROR(VLOOKUP($C30&amp;" "&amp;AS$1,Results!$G:$I,3,FALSE),-VLOOKUP($C30&amp;" "&amp;AS$1,Results!$H:$I,2,FALSE)),"")</f>
        <v/>
      </c>
      <c r="AT30" s="14" t="str">
        <f>IFERROR(IFERROR(VLOOKUP($C30&amp;" "&amp;AT$1,Results!$G:$I,3,FALSE),-VLOOKUP($C30&amp;" "&amp;AT$1,Results!$H:$I,2,FALSE)),"")</f>
        <v/>
      </c>
      <c r="AU30" s="14" t="str">
        <f>IFERROR(IFERROR(VLOOKUP($C30&amp;" "&amp;AU$1,Results!$G:$I,3,FALSE),-VLOOKUP($C30&amp;" "&amp;AU$1,Results!$H:$I,2,FALSE)),"")</f>
        <v/>
      </c>
      <c r="AV30" s="14">
        <f>IFERROR(IFERROR(VLOOKUP($C30&amp;" "&amp;AV$1,Results!$G:$I,3,FALSE),-VLOOKUP($C30&amp;" "&amp;AV$1,Results!$H:$I,2,FALSE)),"")</f>
        <v>127</v>
      </c>
      <c r="AW30" s="66">
        <f>IFERROR(IFERROR(VLOOKUP($C30&amp;" "&amp;AW$1,Results!$G:$I,3,FALSE),-VLOOKUP($C30&amp;" "&amp;AW$1,Results!$H:$I,2,FALSE)),"")</f>
        <v>152</v>
      </c>
      <c r="AX30" s="34">
        <f>IFERROR(IFERROR(VLOOKUP($C30&amp;" "&amp;AX$1,Results!$G:$I,3,FALSE),-VLOOKUP($C30&amp;" "&amp;AX$1,Results!$H:$I,2,FALSE)),"")</f>
        <v>-4</v>
      </c>
      <c r="AY30" s="34" t="str">
        <f>IFERROR(IFERROR(VLOOKUP($C30&amp;" "&amp;AY$1,Results!$G:$I,3,FALSE),-VLOOKUP($C30&amp;" "&amp;AY$1,Results!$H:$I,2,FALSE)),"")</f>
        <v/>
      </c>
      <c r="AZ30" s="67">
        <f>IFERROR(IFERROR(VLOOKUP($C30&amp;" "&amp;AZ$1,Results!$G:$I,3,FALSE),-VLOOKUP($C30&amp;" "&amp;AZ$1,Results!$H:$I,2,FALSE)),"")</f>
        <v>248</v>
      </c>
      <c r="BA30" s="14">
        <f>IFERROR(IFERROR(VLOOKUP($C30&amp;" "&amp;BA$1,Results!$G:$I,3,FALSE),-VLOOKUP($C30&amp;" "&amp;BA$1,Results!$H:$I,2,FALSE)),"")</f>
        <v>-23</v>
      </c>
      <c r="BB30" s="14">
        <f>IFERROR(IFERROR(VLOOKUP($C30&amp;" "&amp;BB$1,Results!$G:$I,3,FALSE),-VLOOKUP($C30&amp;" "&amp;BB$1,Results!$H:$I,2,FALSE)),"")</f>
        <v>102</v>
      </c>
      <c r="BC30" s="14" t="str">
        <f>IFERROR(IFERROR(VLOOKUP($C30&amp;" "&amp;BC$1,Results!$G:$I,3,FALSE),-VLOOKUP($C30&amp;" "&amp;BC$1,Results!$H:$I,2,FALSE)),"")</f>
        <v/>
      </c>
      <c r="BD30" s="14" t="str">
        <f>IFERROR(IFERROR(VLOOKUP($C30&amp;" "&amp;BD$1,Results!$G:$I,3,FALSE),-VLOOKUP($C30&amp;" "&amp;BD$1,Results!$H:$I,2,FALSE)),"")</f>
        <v/>
      </c>
      <c r="BE30" s="14" t="str">
        <f>IFERROR(IFERROR(VLOOKUP($C30&amp;" "&amp;BE$1,Results!$G:$I,3,FALSE),-VLOOKUP($C30&amp;" "&amp;BE$1,Results!$H:$I,2,FALSE)),"")</f>
        <v/>
      </c>
      <c r="BF30" s="14"/>
      <c r="BG30" s="14"/>
      <c r="BH30" s="14"/>
      <c r="BI30" s="14"/>
      <c r="BJ30" s="14"/>
      <c r="BK30" s="84">
        <f t="shared" si="5"/>
        <v>602</v>
      </c>
      <c r="BL30" s="15">
        <f t="shared" si="10"/>
        <v>0</v>
      </c>
      <c r="BM30" s="15">
        <f t="shared" si="11"/>
        <v>4</v>
      </c>
      <c r="BN30" s="15">
        <f t="shared" si="12"/>
        <v>4</v>
      </c>
      <c r="BO30" s="90">
        <f t="shared" si="8"/>
        <v>0</v>
      </c>
      <c r="BR30" s="83">
        <f t="shared" si="6"/>
        <v>602</v>
      </c>
      <c r="BT30" s="15">
        <v>30</v>
      </c>
      <c r="BU30" s="15">
        <f t="shared" si="7"/>
        <v>0</v>
      </c>
      <c r="BV30" s="15">
        <f t="shared" si="9"/>
        <v>30</v>
      </c>
    </row>
    <row r="31" spans="1:74" ht="13.5" thickBot="1">
      <c r="A31" s="8"/>
      <c r="B31" s="8">
        <v>28</v>
      </c>
      <c r="C31" s="62" t="s">
        <v>86</v>
      </c>
      <c r="D31" s="62"/>
      <c r="E31" s="8">
        <f>IF(AND(AW31&gt;0,$A31&lt;VLOOKUP(AW$1,$C:$L,10,FALSE)),1,IF(AND(AW31&lt;0,$A31&gt;VLOOKUP(AW$1,$C:$L,10,FALSE)),1,0))</f>
        <v>0</v>
      </c>
      <c r="F31" s="8">
        <f>IF(AND(AX31&gt;0,$A31&lt;VLOOKUP(AX$1,$C:$L,10,FALSE)),1,IF(AND(AX31&lt;0,$A31&gt;VLOOKUP(AX$1,$C:$L,10,FALSE)),1,0))</f>
        <v>0</v>
      </c>
      <c r="G31" s="8">
        <f>IF(AND(AY31&gt;0,$A31&lt;VLOOKUP(AY$1,$C:$L,10,FALSE)),1,IF(AND(AY31&lt;0,$A31&gt;VLOOKUP(AY$1,$C:$L,10,FALSE)),1,0))</f>
        <v>0</v>
      </c>
      <c r="H31" s="8">
        <f>IF(AND(BA31&gt;0,$A31&lt;VLOOKUP(BA$1,$C:$L,10,FALSE)),1,IF(AND(BA31&lt;0,$A31&gt;VLOOKUP(BA$1,$C:$L,10,FALSE)),1,0))</f>
        <v>0</v>
      </c>
      <c r="I31" s="8">
        <f>IF(AND(BB31&gt;0,$A31&lt;VLOOKUP(BB$1,$C:$L,10,FALSE)),1,IF(AND(BB31&lt;0,$A31&gt;VLOOKUP(BB$1,$C:$L,10,FALSE)),1,0))</f>
        <v>0</v>
      </c>
      <c r="J31" s="8">
        <f>IF(AND(BC31&gt;0,$A31&lt;VLOOKUP(BC$1,$C:$L,10,FALSE)),1,IF(AND(BC31&lt;0,$A31&gt;VLOOKUP(BC$1,$C:$L,10,FALSE)),1,0))</f>
        <v>0</v>
      </c>
      <c r="K31" s="108" t="s">
        <v>135</v>
      </c>
      <c r="L31" s="94">
        <f t="shared" si="0"/>
        <v>0</v>
      </c>
      <c r="M31" s="2"/>
      <c r="N31" s="2">
        <v>7</v>
      </c>
      <c r="O31" s="17">
        <f t="shared" si="1"/>
        <v>0</v>
      </c>
      <c r="P31" s="2">
        <f t="shared" si="2"/>
        <v>6</v>
      </c>
      <c r="Q31" s="2">
        <f t="shared" si="3"/>
        <v>0</v>
      </c>
      <c r="R31" s="18">
        <f>COUNTIF($AW31:$AZ31,"&gt;0")</f>
        <v>0</v>
      </c>
      <c r="S31" s="19">
        <f>COUNTIF($AW31:$AZ31,"&lt;0")</f>
        <v>3</v>
      </c>
      <c r="T31" s="20">
        <f>COUNTIF($AW31:$AZ31,"=0")</f>
        <v>0</v>
      </c>
      <c r="U31" s="2">
        <f t="shared" si="4"/>
        <v>0</v>
      </c>
      <c r="V31" s="2"/>
      <c r="W31" s="2"/>
      <c r="X31" s="2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 t="str">
        <f>IFERROR(IFERROR(VLOOKUP($C31&amp;" "&amp;AO$1,Results!$G:$I,3,FALSE),-VLOOKUP($C31&amp;" "&amp;AO$1,Results!$H:$I,2,FALSE)),"")</f>
        <v/>
      </c>
      <c r="AP31" s="14" t="str">
        <f>IFERROR(IFERROR(VLOOKUP($C31&amp;" "&amp;AP$1,Results!$G:$I,3,FALSE),-VLOOKUP($C31&amp;" "&amp;AP$1,Results!$H:$I,2,FALSE)),"")</f>
        <v/>
      </c>
      <c r="AQ31" s="14" t="str">
        <f>IFERROR(IFERROR(VLOOKUP($C31&amp;" "&amp;AQ$1,Results!$G:$I,3,FALSE),-VLOOKUP($C31&amp;" "&amp;AQ$1,Results!$H:$I,2,FALSE)),"")</f>
        <v/>
      </c>
      <c r="AR31" s="14" t="str">
        <f>IFERROR(IFERROR(VLOOKUP($C31&amp;" "&amp;AR$1,Results!$G:$I,3,FALSE),-VLOOKUP($C31&amp;" "&amp;AR$1,Results!$H:$I,2,FALSE)),"")</f>
        <v/>
      </c>
      <c r="AS31" s="14" t="str">
        <f>IFERROR(IFERROR(VLOOKUP($C31&amp;" "&amp;AS$1,Results!$G:$I,3,FALSE),-VLOOKUP($C31&amp;" "&amp;AS$1,Results!$H:$I,2,FALSE)),"")</f>
        <v/>
      </c>
      <c r="AT31" s="14" t="str">
        <f>IFERROR(IFERROR(VLOOKUP($C31&amp;" "&amp;AT$1,Results!$G:$I,3,FALSE),-VLOOKUP($C31&amp;" "&amp;AT$1,Results!$H:$I,2,FALSE)),"")</f>
        <v/>
      </c>
      <c r="AU31" s="14" t="str">
        <f>IFERROR(IFERROR(VLOOKUP($C31&amp;" "&amp;AU$1,Results!$G:$I,3,FALSE),-VLOOKUP($C31&amp;" "&amp;AU$1,Results!$H:$I,2,FALSE)),"")</f>
        <v/>
      </c>
      <c r="AV31" s="14" t="str">
        <f>IFERROR(IFERROR(VLOOKUP($C31&amp;" "&amp;AV$1,Results!$G:$I,3,FALSE),-VLOOKUP($C31&amp;" "&amp;AV$1,Results!$H:$I,2,FALSE)),"")</f>
        <v/>
      </c>
      <c r="AW31" s="68">
        <f>IFERROR(IFERROR(VLOOKUP($C31&amp;" "&amp;AW$1,Results!$G:$I,3,FALSE),-VLOOKUP($C31&amp;" "&amp;AW$1,Results!$H:$I,2,FALSE)),"")</f>
        <v>-83</v>
      </c>
      <c r="AX31" s="69">
        <f>IFERROR(IFERROR(VLOOKUP($C31&amp;" "&amp;AX$1,Results!$G:$I,3,FALSE),-VLOOKUP($C31&amp;" "&amp;AX$1,Results!$H:$I,2,FALSE)),"")</f>
        <v>-121</v>
      </c>
      <c r="AY31" s="69">
        <f>IFERROR(IFERROR(VLOOKUP($C31&amp;" "&amp;AY$1,Results!$G:$I,3,FALSE),-VLOOKUP($C31&amp;" "&amp;AY$1,Results!$H:$I,2,FALSE)),"")</f>
        <v>-248</v>
      </c>
      <c r="AZ31" s="35" t="str">
        <f>IFERROR(IFERROR(VLOOKUP($C31&amp;" "&amp;AZ$1,Results!$G:$I,3,FALSE),-VLOOKUP($C31&amp;" "&amp;AZ$1,Results!$H:$I,2,FALSE)),"")</f>
        <v/>
      </c>
      <c r="BA31" s="14">
        <f>IFERROR(IFERROR(VLOOKUP($C31&amp;" "&amp;BA$1,Results!$G:$I,3,FALSE),-VLOOKUP($C31&amp;" "&amp;BA$1,Results!$H:$I,2,FALSE)),"")</f>
        <v>-24</v>
      </c>
      <c r="BB31" s="14">
        <f>IFERROR(IFERROR(VLOOKUP($C31&amp;" "&amp;BB$1,Results!$G:$I,3,FALSE),-VLOOKUP($C31&amp;" "&amp;BB$1,Results!$H:$I,2,FALSE)),"")</f>
        <v>-70</v>
      </c>
      <c r="BC31" s="14">
        <f>IFERROR(IFERROR(VLOOKUP($C31&amp;" "&amp;BC$1,Results!$G:$I,3,FALSE),-VLOOKUP($C31&amp;" "&amp;BC$1,Results!$H:$I,2,FALSE)),"")</f>
        <v>-12</v>
      </c>
      <c r="BD31" s="14" t="str">
        <f>IFERROR(IFERROR(VLOOKUP($C31&amp;" "&amp;BD$1,Results!$G:$I,3,FALSE),-VLOOKUP($C31&amp;" "&amp;BD$1,Results!$H:$I,2,FALSE)),"")</f>
        <v/>
      </c>
      <c r="BE31" s="14" t="str">
        <f>IFERROR(IFERROR(VLOOKUP($C31&amp;" "&amp;BE$1,Results!$G:$I,3,FALSE),-VLOOKUP($C31&amp;" "&amp;BE$1,Results!$H:$I,2,FALSE)),"")</f>
        <v/>
      </c>
      <c r="BF31" s="14"/>
      <c r="BG31" s="14"/>
      <c r="BH31" s="14"/>
      <c r="BI31" s="14"/>
      <c r="BJ31" s="14"/>
      <c r="BK31" s="84">
        <f t="shared" si="5"/>
        <v>-558</v>
      </c>
      <c r="BL31" s="15">
        <f t="shared" si="10"/>
        <v>0</v>
      </c>
      <c r="BM31" s="15">
        <f t="shared" si="11"/>
        <v>4</v>
      </c>
      <c r="BN31" s="15">
        <f t="shared" si="12"/>
        <v>4</v>
      </c>
      <c r="BO31" s="90">
        <f t="shared" si="8"/>
        <v>0</v>
      </c>
      <c r="BR31" s="83">
        <f t="shared" si="6"/>
        <v>-558</v>
      </c>
      <c r="BT31" s="15">
        <v>24</v>
      </c>
      <c r="BU31" s="15">
        <f t="shared" si="7"/>
        <v>0</v>
      </c>
      <c r="BV31" s="15">
        <f t="shared" si="9"/>
        <v>24</v>
      </c>
    </row>
    <row r="32" spans="1:74">
      <c r="A32" s="8"/>
      <c r="B32" s="8">
        <v>29</v>
      </c>
      <c r="C32" s="62" t="s">
        <v>64</v>
      </c>
      <c r="D32" s="62"/>
      <c r="E32" s="8">
        <f>IF(AND(AX32&gt;0,$A32&lt;VLOOKUP(AX$1,$C:$L,10,FALSE)),1,IF(AND(AX32&lt;0,$A32&gt;VLOOKUP(AX$1,$C:$L,10,FALSE)),1,0))</f>
        <v>0</v>
      </c>
      <c r="F32" s="8">
        <f>IF(AND(AY32&gt;0,$A32&lt;VLOOKUP(AY$1,$C:$L,10,FALSE)),1,IF(AND(AY32&lt;0,$A32&gt;VLOOKUP(AY$1,$C:$L,10,FALSE)),1,0))</f>
        <v>0</v>
      </c>
      <c r="G32" s="8">
        <f>IF(AND(AZ32&gt;0,$A32&lt;VLOOKUP(AZ$1,$C:$L,10,FALSE)),1,IF(AND(AZ32&lt;0,$A32&gt;VLOOKUP(AZ$1,$C:$L,10,FALSE)),1,0))</f>
        <v>0</v>
      </c>
      <c r="H32" s="8">
        <f>IF(AND(BB32&gt;0,$A32&lt;VLOOKUP(BB$1,$C:$L,10,FALSE)),1,IF(AND(BB32&lt;0,$A32&gt;VLOOKUP(BB$1,$C:$L,10,FALSE)),1,0))</f>
        <v>0</v>
      </c>
      <c r="I32" s="8">
        <f>IF(AND(BC32&gt;0,$A32&lt;VLOOKUP(BC$1,$C:$L,10,FALSE)),1,IF(AND(BC32&lt;0,$A32&gt;VLOOKUP(BC$1,$C:$L,10,FALSE)),1,0))</f>
        <v>0</v>
      </c>
      <c r="J32" s="8">
        <f>IF(AND(BD32&gt;0,$A32&lt;VLOOKUP(BD$1,$C:$L,10,FALSE)),1,IF(AND(BD32&lt;0,$A32&gt;VLOOKUP(BD$1,$C:$L,10,FALSE)),1,0))</f>
        <v>0</v>
      </c>
      <c r="K32" s="108" t="s">
        <v>135</v>
      </c>
      <c r="L32" s="94">
        <f t="shared" si="0"/>
        <v>0</v>
      </c>
      <c r="M32" s="14"/>
      <c r="N32" s="2">
        <v>8</v>
      </c>
      <c r="O32" s="17">
        <f t="shared" si="1"/>
        <v>5</v>
      </c>
      <c r="P32" s="2">
        <f t="shared" si="2"/>
        <v>1</v>
      </c>
      <c r="Q32" s="2">
        <f t="shared" si="3"/>
        <v>0</v>
      </c>
      <c r="R32" s="18">
        <f>COUNTIF($BA32:$BD32,"&gt;0")</f>
        <v>3</v>
      </c>
      <c r="S32" s="19">
        <f>COUNTIF($BA32:$BD32,"&lt;0")</f>
        <v>0</v>
      </c>
      <c r="T32" s="20">
        <f>COUNTIF($BA32:$BD32,"=0")</f>
        <v>0</v>
      </c>
      <c r="U32" s="2">
        <f t="shared" si="4"/>
        <v>0</v>
      </c>
      <c r="V32" s="2"/>
      <c r="W32" s="2"/>
      <c r="X32" s="2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 t="str">
        <f>IFERROR(IFERROR(VLOOKUP($C32&amp;" "&amp;AW$1,Results!$G:$I,3,FALSE),-VLOOKUP($C32&amp;" "&amp;AW$1,Results!$H:$I,2,FALSE)),"")</f>
        <v/>
      </c>
      <c r="AX32" s="14">
        <f>IFERROR(IFERROR(VLOOKUP($C32&amp;" "&amp;AX$1,Results!$G:$I,3,FALSE),-VLOOKUP($C32&amp;" "&amp;AX$1,Results!$H:$I,2,FALSE)),"")</f>
        <v>-54</v>
      </c>
      <c r="AY32" s="14">
        <f>IFERROR(IFERROR(VLOOKUP($C32&amp;" "&amp;AY$1,Results!$G:$I,3,FALSE),-VLOOKUP($C32&amp;" "&amp;AY$1,Results!$H:$I,2,FALSE)),"")</f>
        <v>23</v>
      </c>
      <c r="AZ32" s="14">
        <f>IFERROR(IFERROR(VLOOKUP($C32&amp;" "&amp;AZ$1,Results!$G:$I,3,FALSE),-VLOOKUP($C32&amp;" "&amp;AZ$1,Results!$H:$I,2,FALSE)),"")</f>
        <v>24</v>
      </c>
      <c r="BA32" s="33" t="str">
        <f>IFERROR(IFERROR(VLOOKUP($C32&amp;" "&amp;BA$1,Results!$G:$I,3,FALSE),-VLOOKUP($C32&amp;" "&amp;BA$1,Results!$H:$I,2,FALSE)),"")</f>
        <v/>
      </c>
      <c r="BB32" s="64">
        <f>IFERROR(IFERROR(VLOOKUP($C32&amp;" "&amp;BB$1,Results!$G:$I,3,FALSE),-VLOOKUP($C32&amp;" "&amp;BB$1,Results!$H:$I,2,FALSE)),"")</f>
        <v>115</v>
      </c>
      <c r="BC32" s="64">
        <f>IFERROR(IFERROR(VLOOKUP($C32&amp;" "&amp;BC$1,Results!$G:$I,3,FALSE),-VLOOKUP($C32&amp;" "&amp;BC$1,Results!$H:$I,2,FALSE)),"")</f>
        <v>3</v>
      </c>
      <c r="BD32" s="65">
        <f>IFERROR(IFERROR(VLOOKUP($C32&amp;" "&amp;BD$1,Results!$G:$I,3,FALSE),-VLOOKUP($C32&amp;" "&amp;BD$1,Results!$H:$I,2,FALSE)),"")</f>
        <v>83</v>
      </c>
      <c r="BE32" s="14" t="str">
        <f>IFERROR(IFERROR(VLOOKUP($C32&amp;" "&amp;BE$1,Results!$G:$I,3,FALSE),-VLOOKUP($C32&amp;" "&amp;BE$1,Results!$H:$I,2,FALSE)),"")</f>
        <v/>
      </c>
      <c r="BF32" s="14" t="str">
        <f>IFERROR(IFERROR(VLOOKUP($C32&amp;" "&amp;BF$1,Results!$G:$I,3,FALSE),-VLOOKUP($C32&amp;" "&amp;BF$1,Results!$H:$I,2,FALSE)),"")</f>
        <v/>
      </c>
      <c r="BG32" s="14" t="str">
        <f>IFERROR(IFERROR(VLOOKUP($C32&amp;" "&amp;BG$1,Results!$G:$I,3,FALSE),-VLOOKUP($C32&amp;" "&amp;BG$1,Results!$H:$I,2,FALSE)),"")</f>
        <v/>
      </c>
      <c r="BH32" s="14" t="str">
        <f>IFERROR(IFERROR(VLOOKUP($C32&amp;" "&amp;BH$1,Results!$G:$I,3,FALSE),-VLOOKUP($C32&amp;" "&amp;BH$1,Results!$H:$I,2,FALSE)),"")</f>
        <v/>
      </c>
      <c r="BI32" s="14" t="str">
        <f>IFERROR(IFERROR(VLOOKUP($C32&amp;" "&amp;BI$1,Results!$G:$I,3,FALSE),-VLOOKUP($C32&amp;" "&amp;BI$1,Results!$H:$I,2,FALSE)),"")</f>
        <v/>
      </c>
      <c r="BJ32" s="14" t="str">
        <f>IFERROR(IFERROR(VLOOKUP($C32&amp;" "&amp;BJ$1,Results!$G:$I,3,FALSE),-VLOOKUP($C32&amp;" "&amp;BJ$1,Results!$H:$I,2,FALSE)),"")</f>
        <v/>
      </c>
      <c r="BK32" s="84">
        <f t="shared" si="5"/>
        <v>194</v>
      </c>
      <c r="BL32" s="15">
        <f t="shared" si="10"/>
        <v>0</v>
      </c>
      <c r="BM32" s="15">
        <f t="shared" si="11"/>
        <v>4</v>
      </c>
      <c r="BN32" s="15">
        <f t="shared" si="12"/>
        <v>4</v>
      </c>
      <c r="BO32" s="90">
        <f t="shared" si="8"/>
        <v>0</v>
      </c>
      <c r="BR32" s="83">
        <f t="shared" si="6"/>
        <v>194</v>
      </c>
      <c r="BT32" s="15">
        <v>29</v>
      </c>
      <c r="BU32" s="15">
        <f t="shared" si="7"/>
        <v>0</v>
      </c>
      <c r="BV32" s="15">
        <f t="shared" si="9"/>
        <v>29</v>
      </c>
    </row>
    <row r="33" spans="1:74">
      <c r="A33" s="8"/>
      <c r="B33" s="8">
        <v>30</v>
      </c>
      <c r="C33" s="62" t="s">
        <v>67</v>
      </c>
      <c r="D33" s="62"/>
      <c r="E33" s="8">
        <f>IF(AND(AY33&gt;0,$A33&lt;VLOOKUP(AY$1,$C:$L,10,FALSE)),1,IF(AND(AY33&lt;0,$A33&gt;VLOOKUP(AY$1,$C:$L,10,FALSE)),1,0))</f>
        <v>0</v>
      </c>
      <c r="F33" s="8">
        <f>IF(AND(AZ33&gt;0,$A33&lt;VLOOKUP(AZ$1,$C:$L,10,FALSE)),1,IF(AND(AZ33&lt;0,$A33&gt;VLOOKUP(AZ$1,$C:$L,10,FALSE)),1,0))</f>
        <v>0</v>
      </c>
      <c r="G33" s="8">
        <f>IF(AND(BA33&gt;0,$A33&lt;VLOOKUP(BA$1,$C:$L,10,FALSE)),1,IF(AND(BA33&lt;0,$A33&gt;VLOOKUP(BA$1,$C:$L,10,FALSE)),1,0))</f>
        <v>0</v>
      </c>
      <c r="H33" s="8">
        <f>IF(AND(BC33&gt;0,$A33&lt;VLOOKUP(BC$1,$C:$L,10,FALSE)),1,IF(AND(BC33&lt;0,$A33&gt;VLOOKUP(BC$1,$C:$L,10,FALSE)),1,0))</f>
        <v>0</v>
      </c>
      <c r="I33" s="8">
        <f>IF(AND(BD33&gt;0,$A33&lt;VLOOKUP(BD$1,$C:$L,10,FALSE)),1,IF(AND(BD33&lt;0,$A33&gt;VLOOKUP(BD$1,$C:$L,10,FALSE)),1,0))</f>
        <v>0</v>
      </c>
      <c r="J33" s="8">
        <f>IF(AND(BI33&gt;0,$A33&lt;VLOOKUP(BI$1,$C:$L,10,FALSE)),1,IF(AND(BI33&lt;0,$A33&gt;VLOOKUP(BI$1,$C:$L,10,FALSE)),1,0))</f>
        <v>0</v>
      </c>
      <c r="K33" s="108" t="s">
        <v>135</v>
      </c>
      <c r="L33" s="94">
        <f t="shared" si="0"/>
        <v>0</v>
      </c>
      <c r="M33" s="14"/>
      <c r="N33" s="2">
        <v>8</v>
      </c>
      <c r="O33" s="17">
        <f t="shared" ref="O33:O41" si="13">COUNTIF($V33:$BJ33,"&gt;0")</f>
        <v>4</v>
      </c>
      <c r="P33" s="2">
        <f t="shared" ref="P33:P41" si="14">COUNTIF($V33:$BJ33,"&lt;0")</f>
        <v>2</v>
      </c>
      <c r="Q33" s="2">
        <f t="shared" ref="Q33:Q41" si="15">COUNTIF($V33:$BJ33,"=0")</f>
        <v>0</v>
      </c>
      <c r="R33" s="18">
        <f>COUNTIF($BA33:$BD33,"&gt;0")</f>
        <v>2</v>
      </c>
      <c r="S33" s="19">
        <f>COUNTIF($BA33:$BD33,"&lt;0")</f>
        <v>1</v>
      </c>
      <c r="T33" s="20">
        <f>COUNTIF($BA33:$BD33,"=0")</f>
        <v>0</v>
      </c>
      <c r="U33" s="2">
        <f t="shared" ref="U33:U41" si="16">COUNTIF(V33:BJ33,"NC")</f>
        <v>0</v>
      </c>
      <c r="V33" s="2"/>
      <c r="W33" s="2"/>
      <c r="X33" s="2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 t="str">
        <f>IFERROR(IFERROR(VLOOKUP($C33&amp;" "&amp;AW$1,Results!$G:$I,3,FALSE),-VLOOKUP($C33&amp;" "&amp;AW$1,Results!$H:$I,2,FALSE)),"")</f>
        <v/>
      </c>
      <c r="AX33" s="14" t="str">
        <f>IFERROR(IFERROR(VLOOKUP($C33&amp;" "&amp;AX$1,Results!$G:$I,3,FALSE),-VLOOKUP($C33&amp;" "&amp;AX$1,Results!$H:$I,2,FALSE)),"")</f>
        <v/>
      </c>
      <c r="AY33" s="14">
        <f>IFERROR(IFERROR(VLOOKUP($C33&amp;" "&amp;AY$1,Results!$G:$I,3,FALSE),-VLOOKUP($C33&amp;" "&amp;AY$1,Results!$H:$I,2,FALSE)),"")</f>
        <v>-102</v>
      </c>
      <c r="AZ33" s="14">
        <f>IFERROR(IFERROR(VLOOKUP($C33&amp;" "&amp;AZ$1,Results!$G:$I,3,FALSE),-VLOOKUP($C33&amp;" "&amp;AZ$1,Results!$H:$I,2,FALSE)),"")</f>
        <v>70</v>
      </c>
      <c r="BA33" s="66">
        <f>IFERROR(IFERROR(VLOOKUP($C33&amp;" "&amp;BA$1,Results!$G:$I,3,FALSE),-VLOOKUP($C33&amp;" "&amp;BA$1,Results!$H:$I,2,FALSE)),"")</f>
        <v>-115</v>
      </c>
      <c r="BB33" s="34" t="str">
        <f>IFERROR(IFERROR(VLOOKUP($C33&amp;" "&amp;BB$1,Results!$G:$I,3,FALSE),-VLOOKUP($C33&amp;" "&amp;BB$1,Results!$H:$I,2,FALSE)),"")</f>
        <v/>
      </c>
      <c r="BC33" s="34">
        <f>IFERROR(IFERROR(VLOOKUP($C33&amp;" "&amp;BC$1,Results!$G:$I,3,FALSE),-VLOOKUP($C33&amp;" "&amp;BC$1,Results!$H:$I,2,FALSE)),"")</f>
        <v>39</v>
      </c>
      <c r="BD33" s="67">
        <f>IFERROR(IFERROR(VLOOKUP($C33&amp;" "&amp;BD$1,Results!$G:$I,3,FALSE),-VLOOKUP($C33&amp;" "&amp;BD$1,Results!$H:$I,2,FALSE)),"")</f>
        <v>170</v>
      </c>
      <c r="BE33" s="14" t="str">
        <f>IFERROR(IFERROR(VLOOKUP($C33&amp;" "&amp;BE$1,Results!$G:$I,3,FALSE),-VLOOKUP($C33&amp;" "&amp;BE$1,Results!$H:$I,2,FALSE)),"")</f>
        <v/>
      </c>
      <c r="BF33" s="14" t="str">
        <f>IFERROR(IFERROR(VLOOKUP($C33&amp;" "&amp;BF$1,Results!$G:$I,3,FALSE),-VLOOKUP($C33&amp;" "&amp;BF$1,Results!$H:$I,2,FALSE)),"")</f>
        <v/>
      </c>
      <c r="BG33" s="14" t="str">
        <f>IFERROR(IFERROR(VLOOKUP($C33&amp;" "&amp;BG$1,Results!$G:$I,3,FALSE),-VLOOKUP($C33&amp;" "&amp;BG$1,Results!$H:$I,2,FALSE)),"")</f>
        <v/>
      </c>
      <c r="BH33" s="14" t="str">
        <f>IFERROR(IFERROR(VLOOKUP($C33&amp;" "&amp;BH$1,Results!$G:$I,3,FALSE),-VLOOKUP($C33&amp;" "&amp;BH$1,Results!$H:$I,2,FALSE)),"")</f>
        <v/>
      </c>
      <c r="BI33" s="14">
        <f>IFERROR(IFERROR(VLOOKUP($C33&amp;" "&amp;BI$1,Results!$G:$I,3,FALSE),-VLOOKUP($C33&amp;" "&amp;BI$1,Results!$H:$I,2,FALSE)),"")</f>
        <v>220</v>
      </c>
      <c r="BJ33" s="14" t="str">
        <f>IFERROR(IFERROR(VLOOKUP($C33&amp;" "&amp;BJ$1,Results!$G:$I,3,FALSE),-VLOOKUP($C33&amp;" "&amp;BJ$1,Results!$H:$I,2,FALSE)),"")</f>
        <v/>
      </c>
      <c r="BK33" s="84">
        <f t="shared" si="5"/>
        <v>282</v>
      </c>
      <c r="BL33" s="15">
        <f t="shared" si="10"/>
        <v>0</v>
      </c>
      <c r="BM33" s="15">
        <f t="shared" si="11"/>
        <v>4</v>
      </c>
      <c r="BN33" s="15">
        <f t="shared" si="12"/>
        <v>4</v>
      </c>
      <c r="BO33" s="90">
        <f t="shared" si="8"/>
        <v>0</v>
      </c>
      <c r="BR33" s="83">
        <f t="shared" si="6"/>
        <v>282</v>
      </c>
      <c r="BT33" s="15">
        <v>28</v>
      </c>
      <c r="BU33" s="15">
        <f t="shared" si="7"/>
        <v>0</v>
      </c>
      <c r="BV33" s="15">
        <f t="shared" si="9"/>
        <v>28</v>
      </c>
    </row>
    <row r="34" spans="1:74">
      <c r="A34" s="8"/>
      <c r="B34" s="8">
        <v>31</v>
      </c>
      <c r="C34" s="62" t="s">
        <v>1</v>
      </c>
      <c r="D34" s="62"/>
      <c r="E34" s="8">
        <f>IF(AND(AZ34&gt;0,$A34&lt;VLOOKUP(AZ$1,$C:$L,10,FALSE)),1,IF(AND(AZ34&lt;0,$A34&gt;VLOOKUP(AZ$1,$C:$L,10,FALSE)),1,0))</f>
        <v>0</v>
      </c>
      <c r="F34" s="8">
        <f>IF(AND(BA34&gt;0,$A34&lt;VLOOKUP(BA$1,$C:$L,10,FALSE)),1,IF(AND(BA34&lt;0,$A34&gt;VLOOKUP(BA$1,$C:$L,10,FALSE)),1,0))</f>
        <v>0</v>
      </c>
      <c r="G34" s="8">
        <f>IF(AND(BB34&gt;0,$A34&lt;VLOOKUP(BB$1,$C:$L,10,FALSE)),1,IF(AND(BB34&lt;0,$A34&gt;VLOOKUP(BB$1,$C:$L,10,FALSE)),1,0))</f>
        <v>0</v>
      </c>
      <c r="H34" s="8">
        <f>IF(AND(BD34&gt;0,$A34&lt;VLOOKUP(BD$1,$C:$L,10,FALSE)),1,IF(AND(BD34&lt;0,$A34&gt;VLOOKUP(BD$1,$C:$L,10,FALSE)),1,0))</f>
        <v>0</v>
      </c>
      <c r="I34" s="8">
        <f>IF(AND(BE34&gt;0,$A34&lt;VLOOKUP(BE$1,$C:$L,10,FALSE)),1,IF(AND(BE34&lt;0,$A34&gt;VLOOKUP(BE$1,$C:$L,10,FALSE)),1,0))</f>
        <v>0</v>
      </c>
      <c r="J34" s="8">
        <f>IF(AND(BH34&gt;0,$A34&lt;VLOOKUP(BH$1,$C:$L,10,FALSE)),1,IF(AND(BH34&lt;0,$A34&gt;VLOOKUP(BH$1,$C:$L,10,FALSE)),1,0))</f>
        <v>0</v>
      </c>
      <c r="K34" s="108" t="s">
        <v>135</v>
      </c>
      <c r="L34" s="94">
        <f t="shared" si="0"/>
        <v>0</v>
      </c>
      <c r="M34" s="14"/>
      <c r="N34" s="2">
        <v>8</v>
      </c>
      <c r="O34" s="17">
        <f t="shared" si="13"/>
        <v>3</v>
      </c>
      <c r="P34" s="2">
        <f t="shared" si="14"/>
        <v>3</v>
      </c>
      <c r="Q34" s="2">
        <f t="shared" si="15"/>
        <v>0</v>
      </c>
      <c r="R34" s="18">
        <f>COUNTIF($BA34:$BD34,"&gt;0")</f>
        <v>1</v>
      </c>
      <c r="S34" s="19">
        <f>COUNTIF($BA34:$BD34,"&lt;0")</f>
        <v>2</v>
      </c>
      <c r="T34" s="20">
        <f>COUNTIF($BA34:$BD34,"=0")</f>
        <v>0</v>
      </c>
      <c r="U34" s="2">
        <f t="shared" si="16"/>
        <v>0</v>
      </c>
      <c r="V34" s="2"/>
      <c r="W34" s="2"/>
      <c r="X34" s="2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 t="str">
        <f>IFERROR(IFERROR(VLOOKUP($C34&amp;" "&amp;AW$1,Results!$G:$I,3,FALSE),-VLOOKUP($C34&amp;" "&amp;AW$1,Results!$H:$I,2,FALSE)),"")</f>
        <v/>
      </c>
      <c r="AX34" s="14" t="str">
        <f>IFERROR(IFERROR(VLOOKUP($C34&amp;" "&amp;AX$1,Results!$G:$I,3,FALSE),-VLOOKUP($C34&amp;" "&amp;AX$1,Results!$H:$I,2,FALSE)),"")</f>
        <v/>
      </c>
      <c r="AY34" s="14" t="str">
        <f>IFERROR(IFERROR(VLOOKUP($C34&amp;" "&amp;AY$1,Results!$G:$I,3,FALSE),-VLOOKUP($C34&amp;" "&amp;AY$1,Results!$H:$I,2,FALSE)),"")</f>
        <v/>
      </c>
      <c r="AZ34" s="14">
        <f>IFERROR(IFERROR(VLOOKUP($C34&amp;" "&amp;AZ$1,Results!$G:$I,3,FALSE),-VLOOKUP($C34&amp;" "&amp;AZ$1,Results!$H:$I,2,FALSE)),"")</f>
        <v>12</v>
      </c>
      <c r="BA34" s="66">
        <f>IFERROR(IFERROR(VLOOKUP($C34&amp;" "&amp;BA$1,Results!$G:$I,3,FALSE),-VLOOKUP($C34&amp;" "&amp;BA$1,Results!$H:$I,2,FALSE)),"")</f>
        <v>-3</v>
      </c>
      <c r="BB34" s="34">
        <f>IFERROR(IFERROR(VLOOKUP($C34&amp;" "&amp;BB$1,Results!$G:$I,3,FALSE),-VLOOKUP($C34&amp;" "&amp;BB$1,Results!$H:$I,2,FALSE)),"")</f>
        <v>-39</v>
      </c>
      <c r="BC34" s="34" t="str">
        <f>IFERROR(IFERROR(VLOOKUP($C34&amp;" "&amp;BC$1,Results!$G:$I,3,FALSE),-VLOOKUP($C34&amp;" "&amp;BC$1,Results!$H:$I,2,FALSE)),"")</f>
        <v/>
      </c>
      <c r="BD34" s="67">
        <f>IFERROR(IFERROR(VLOOKUP($C34&amp;" "&amp;BD$1,Results!$G:$I,3,FALSE),-VLOOKUP($C34&amp;" "&amp;BD$1,Results!$H:$I,2,FALSE)),"")</f>
        <v>79</v>
      </c>
      <c r="BE34" s="14">
        <f>IFERROR(IFERROR(VLOOKUP($C34&amp;" "&amp;BE$1,Results!$G:$I,3,FALSE),-VLOOKUP($C34&amp;" "&amp;BE$1,Results!$H:$I,2,FALSE)),"")</f>
        <v>-29</v>
      </c>
      <c r="BF34" s="14" t="str">
        <f>IFERROR(IFERROR(VLOOKUP($C34&amp;" "&amp;BF$1,Results!$G:$I,3,FALSE),-VLOOKUP($C34&amp;" "&amp;BF$1,Results!$H:$I,2,FALSE)),"")</f>
        <v/>
      </c>
      <c r="BG34" s="14" t="str">
        <f>IFERROR(IFERROR(VLOOKUP($C34&amp;" "&amp;BG$1,Results!$G:$I,3,FALSE),-VLOOKUP($C34&amp;" "&amp;BG$1,Results!$H:$I,2,FALSE)),"")</f>
        <v/>
      </c>
      <c r="BH34" s="14">
        <f>IFERROR(IFERROR(VLOOKUP($C34&amp;" "&amp;BH$1,Results!$G:$I,3,FALSE),-VLOOKUP($C34&amp;" "&amp;BH$1,Results!$H:$I,2,FALSE)),"")</f>
        <v>60</v>
      </c>
      <c r="BI34" s="14" t="str">
        <f>IFERROR(IFERROR(VLOOKUP($C34&amp;" "&amp;BI$1,Results!$G:$I,3,FALSE),-VLOOKUP($C34&amp;" "&amp;BI$1,Results!$H:$I,2,FALSE)),"")</f>
        <v/>
      </c>
      <c r="BJ34" s="14" t="str">
        <f>IFERROR(IFERROR(VLOOKUP($C34&amp;" "&amp;BJ$1,Results!$G:$I,3,FALSE),-VLOOKUP($C34&amp;" "&amp;BJ$1,Results!$H:$I,2,FALSE)),"")</f>
        <v/>
      </c>
      <c r="BK34" s="84">
        <f t="shared" si="5"/>
        <v>80</v>
      </c>
      <c r="BL34" s="15">
        <f t="shared" si="10"/>
        <v>0</v>
      </c>
      <c r="BM34" s="15">
        <f t="shared" si="11"/>
        <v>4</v>
      </c>
      <c r="BN34" s="15">
        <f t="shared" si="12"/>
        <v>4</v>
      </c>
      <c r="BO34" s="90">
        <f t="shared" si="8"/>
        <v>0</v>
      </c>
      <c r="BR34" s="83">
        <f t="shared" si="6"/>
        <v>80</v>
      </c>
      <c r="BT34" s="15">
        <v>27</v>
      </c>
      <c r="BU34" s="15">
        <f t="shared" si="7"/>
        <v>0</v>
      </c>
      <c r="BV34" s="15">
        <f t="shared" si="9"/>
        <v>27</v>
      </c>
    </row>
    <row r="35" spans="1:74" ht="13.5" thickBot="1">
      <c r="A35" s="8"/>
      <c r="B35" s="8">
        <v>32</v>
      </c>
      <c r="C35" s="62" t="s">
        <v>66</v>
      </c>
      <c r="D35" s="62"/>
      <c r="E35" s="8">
        <f>IF(AND(BA35&gt;0,$A35&lt;VLOOKUP(BA$1,$C:$L,10,FALSE)),1,IF(AND(BA35&lt;0,$A35&gt;VLOOKUP(BA$1,$C:$L,10,FALSE)),1,0))</f>
        <v>0</v>
      </c>
      <c r="F35" s="8">
        <f>IF(AND(BB35&gt;0,$A35&lt;VLOOKUP(BB$1,$C:$L,10,FALSE)),1,IF(AND(BB35&lt;0,$A35&gt;VLOOKUP(BB$1,$C:$L,10,FALSE)),1,0))</f>
        <v>0</v>
      </c>
      <c r="G35" s="8">
        <f>IF(AND(BC35&gt;0,$A35&lt;VLOOKUP(BC$1,$C:$L,10,FALSE)),1,IF(AND(BC35&lt;0,$A35&gt;VLOOKUP(BC$1,$C:$L,10,FALSE)),1,0))</f>
        <v>0</v>
      </c>
      <c r="H35" s="8">
        <f>IF(AND(BF35&gt;0,$A35&lt;VLOOKUP(BF$1,$C:$L,10,FALSE)),1,IF(AND(BF35&lt;0,$A35&gt;VLOOKUP(BF$1,$C:$L,10,FALSE)),1,0))</f>
        <v>0</v>
      </c>
      <c r="I35" s="8">
        <f>IF(AND(BG35&gt;0,$A35&lt;VLOOKUP(BG$1,$C:$L,10,FALSE)),1,IF(AND(BG35&lt;0,$A35&gt;VLOOKUP(BG$1,$C:$L,10,FALSE)),1,0))</f>
        <v>0</v>
      </c>
      <c r="J35" s="8">
        <f>IF(AND(BJ35&gt;0,$A35&lt;VLOOKUP(BJ$1,$C:$L,10,FALSE)),1,IF(AND(BJ35&lt;0,$A35&gt;VLOOKUP(BJ$1,$C:$L,10,FALSE)),1,0))</f>
        <v>0</v>
      </c>
      <c r="K35" s="108" t="s">
        <v>135</v>
      </c>
      <c r="L35" s="94">
        <f t="shared" si="0"/>
        <v>0</v>
      </c>
      <c r="M35" s="14"/>
      <c r="N35" s="2">
        <v>8</v>
      </c>
      <c r="O35" s="17">
        <f t="shared" si="13"/>
        <v>3</v>
      </c>
      <c r="P35" s="2">
        <f t="shared" si="14"/>
        <v>3</v>
      </c>
      <c r="Q35" s="2">
        <f t="shared" si="15"/>
        <v>0</v>
      </c>
      <c r="R35" s="18">
        <f>COUNTIF($BA35:$BD35,"&gt;0")</f>
        <v>0</v>
      </c>
      <c r="S35" s="19">
        <f>COUNTIF($BA35:$BD35,"&lt;0")</f>
        <v>3</v>
      </c>
      <c r="T35" s="20">
        <f>COUNTIF($BA35:$BD35,"=0")</f>
        <v>0</v>
      </c>
      <c r="U35" s="2">
        <f t="shared" si="16"/>
        <v>0</v>
      </c>
      <c r="V35" s="2"/>
      <c r="W35" s="2"/>
      <c r="X35" s="2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 t="str">
        <f>IFERROR(IFERROR(VLOOKUP($C35&amp;" "&amp;AW$1,Results!$G:$I,3,FALSE),-VLOOKUP($C35&amp;" "&amp;AW$1,Results!$H:$I,2,FALSE)),"")</f>
        <v/>
      </c>
      <c r="AX35" s="14" t="str">
        <f>IFERROR(IFERROR(VLOOKUP($C35&amp;" "&amp;AX$1,Results!$G:$I,3,FALSE),-VLOOKUP($C35&amp;" "&amp;AX$1,Results!$H:$I,2,FALSE)),"")</f>
        <v/>
      </c>
      <c r="AY35" s="14" t="str">
        <f>IFERROR(IFERROR(VLOOKUP($C35&amp;" "&amp;AY$1,Results!$G:$I,3,FALSE),-VLOOKUP($C35&amp;" "&amp;AY$1,Results!$H:$I,2,FALSE)),"")</f>
        <v/>
      </c>
      <c r="AZ35" s="14" t="str">
        <f>IFERROR(IFERROR(VLOOKUP($C35&amp;" "&amp;AZ$1,Results!$G:$I,3,FALSE),-VLOOKUP($C35&amp;" "&amp;AZ$1,Results!$H:$I,2,FALSE)),"")</f>
        <v/>
      </c>
      <c r="BA35" s="68">
        <f>IFERROR(IFERROR(VLOOKUP($C35&amp;" "&amp;BA$1,Results!$G:$I,3,FALSE),-VLOOKUP($C35&amp;" "&amp;BA$1,Results!$H:$I,2,FALSE)),"")</f>
        <v>-83</v>
      </c>
      <c r="BB35" s="69">
        <f>IFERROR(IFERROR(VLOOKUP($C35&amp;" "&amp;BB$1,Results!$G:$I,3,FALSE),-VLOOKUP($C35&amp;" "&amp;BB$1,Results!$H:$I,2,FALSE)),"")</f>
        <v>-170</v>
      </c>
      <c r="BC35" s="69">
        <f>IFERROR(IFERROR(VLOOKUP($C35&amp;" "&amp;BC$1,Results!$G:$I,3,FALSE),-VLOOKUP($C35&amp;" "&amp;BC$1,Results!$H:$I,2,FALSE)),"")</f>
        <v>-79</v>
      </c>
      <c r="BD35" s="35" t="str">
        <f>IFERROR(IFERROR(VLOOKUP($C35&amp;" "&amp;BD$1,Results!$G:$I,3,FALSE),-VLOOKUP($C35&amp;" "&amp;BD$1,Results!$H:$I,2,FALSE)),"")</f>
        <v/>
      </c>
      <c r="BE35" s="14" t="str">
        <f>IFERROR(IFERROR(VLOOKUP($C35&amp;" "&amp;BE$1,Results!$G:$I,3,FALSE),-VLOOKUP($C35&amp;" "&amp;BE$1,Results!$H:$I,2,FALSE)),"")</f>
        <v/>
      </c>
      <c r="BF35" s="14">
        <f>IFERROR(IFERROR(VLOOKUP($C35&amp;" "&amp;BF$1,Results!$G:$I,3,FALSE),-VLOOKUP($C35&amp;" "&amp;BF$1,Results!$H:$I,2,FALSE)),"")</f>
        <v>74</v>
      </c>
      <c r="BG35" s="14">
        <f>IFERROR(IFERROR(VLOOKUP($C35&amp;" "&amp;BG$1,Results!$G:$I,3,FALSE),-VLOOKUP($C35&amp;" "&amp;BG$1,Results!$H:$I,2,FALSE)),"")</f>
        <v>77</v>
      </c>
      <c r="BH35" s="14" t="str">
        <f>IFERROR(IFERROR(VLOOKUP($C35&amp;" "&amp;BH$1,Results!$G:$I,3,FALSE),-VLOOKUP($C35&amp;" "&amp;BH$1,Results!$H:$I,2,FALSE)),"")</f>
        <v/>
      </c>
      <c r="BI35" s="14" t="str">
        <f>IFERROR(IFERROR(VLOOKUP($C35&amp;" "&amp;BI$1,Results!$G:$I,3,FALSE),-VLOOKUP($C35&amp;" "&amp;BI$1,Results!$H:$I,2,FALSE)),"")</f>
        <v/>
      </c>
      <c r="BJ35" s="14">
        <f>IFERROR(IFERROR(VLOOKUP($C35&amp;" "&amp;BJ$1,Results!$G:$I,3,FALSE),-VLOOKUP($C35&amp;" "&amp;BJ$1,Results!$H:$I,2,FALSE)),"")</f>
        <v>107</v>
      </c>
      <c r="BK35" s="84">
        <f t="shared" si="5"/>
        <v>-181</v>
      </c>
      <c r="BL35" s="15">
        <f>COUNTIF(E35:G35,1)</f>
        <v>0</v>
      </c>
      <c r="BM35" s="15">
        <f>COUNTIF(E35:G35,0)</f>
        <v>3</v>
      </c>
      <c r="BN35" s="15">
        <f>COUNT(E35:G35)</f>
        <v>3</v>
      </c>
      <c r="BO35" s="90">
        <f t="shared" si="8"/>
        <v>0</v>
      </c>
      <c r="BR35" s="83">
        <f t="shared" si="6"/>
        <v>-74</v>
      </c>
      <c r="BT35" s="15">
        <v>34</v>
      </c>
      <c r="BU35" s="15">
        <f t="shared" si="7"/>
        <v>0</v>
      </c>
      <c r="BV35" s="15">
        <f t="shared" si="9"/>
        <v>34</v>
      </c>
    </row>
    <row r="36" spans="1:74">
      <c r="A36" s="8"/>
      <c r="B36" s="8">
        <v>33</v>
      </c>
      <c r="C36" s="62" t="s">
        <v>85</v>
      </c>
      <c r="D36" s="62"/>
      <c r="E36" s="8">
        <f>IF(AND(BC36&gt;0,$A36&lt;VLOOKUP(BC$1,$C:$L,10,FALSE)),1,IF(AND(BC36&lt;0,$A36&gt;VLOOKUP(BC$1,$C:$L,10,FALSE)),1,0))</f>
        <v>0</v>
      </c>
      <c r="F36" s="8">
        <f>IF(AND(BF36&gt;0,$A36&lt;VLOOKUP(BF$1,$C:$L,10,FALSE)),1,IF(AND(BF36&lt;0,$A36&gt;VLOOKUP(BF$1,$C:$L,10,FALSE)),1,0))</f>
        <v>0</v>
      </c>
      <c r="G36" s="8">
        <f>IF(AND(BG36&gt;0,$A36&lt;VLOOKUP(BG$1,$C:$L,10,FALSE)),1,IF(AND(BG36&lt;0,$A36&gt;VLOOKUP(BG$1,$C:$L,10,FALSE)),1,0))</f>
        <v>0</v>
      </c>
      <c r="H36" s="8">
        <f>IF(AND(BH36&gt;0,$A36&lt;VLOOKUP(BH$1,$C:$L,10,FALSE)),1,IF(AND(BH36&lt;0,$A36&gt;VLOOKUP(BH$1,$C:$L,10,FALSE)),1,0))</f>
        <v>0</v>
      </c>
      <c r="I36" s="8">
        <f>IF(AND(BI36&gt;0,$A36&lt;VLOOKUP(BI$1,$C:$L,10,FALSE)),1,IF(AND(BI36&lt;0,$A36&gt;VLOOKUP(BI$1,$C:$L,10,FALSE)),1,0))</f>
        <v>0</v>
      </c>
      <c r="J36" s="8">
        <f t="shared" ref="J36:J40" si="17">IF(AND(BJ36&gt;0,$A36&lt;VLOOKUP(BJ$1,$C:$L,10,FALSE)),1,IF(AND(BJ36&lt;0,$A36&gt;VLOOKUP(BJ$1,$C:$L,10,FALSE)),1,0))</f>
        <v>0</v>
      </c>
      <c r="K36" s="108" t="s">
        <v>135</v>
      </c>
      <c r="L36" s="94">
        <f t="shared" si="0"/>
        <v>0</v>
      </c>
      <c r="M36" s="14"/>
      <c r="N36" s="2">
        <v>9</v>
      </c>
      <c r="O36" s="17">
        <f t="shared" si="13"/>
        <v>6</v>
      </c>
      <c r="P36" s="2">
        <f t="shared" si="14"/>
        <v>0</v>
      </c>
      <c r="Q36" s="2">
        <f t="shared" si="15"/>
        <v>0</v>
      </c>
      <c r="R36" s="18">
        <f>COUNTIF($BE36:$BG36,"&gt;0")</f>
        <v>2</v>
      </c>
      <c r="S36" s="19">
        <f>COUNTIF($BE36:$BG36,"&lt;0")</f>
        <v>0</v>
      </c>
      <c r="T36" s="20">
        <f>COUNTIF($BE36:$BG36,"=0")</f>
        <v>0</v>
      </c>
      <c r="U36" s="2">
        <f t="shared" si="16"/>
        <v>0</v>
      </c>
      <c r="V36" s="2"/>
      <c r="W36" s="2"/>
      <c r="X36" s="2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 t="str">
        <f>IFERROR(IFERROR(VLOOKUP($C36&amp;" "&amp;AW$1,Results!$G:$I,3,FALSE),-VLOOKUP($C36&amp;" "&amp;AW$1,Results!$H:$I,2,FALSE)),"")</f>
        <v/>
      </c>
      <c r="AX36" s="14" t="str">
        <f>IFERROR(IFERROR(VLOOKUP($C36&amp;" "&amp;AX$1,Results!$G:$I,3,FALSE),-VLOOKUP($C36&amp;" "&amp;AX$1,Results!$H:$I,2,FALSE)),"")</f>
        <v/>
      </c>
      <c r="AY36" s="14" t="str">
        <f>IFERROR(IFERROR(VLOOKUP($C36&amp;" "&amp;AY$1,Results!$G:$I,3,FALSE),-VLOOKUP($C36&amp;" "&amp;AY$1,Results!$H:$I,2,FALSE)),"")</f>
        <v/>
      </c>
      <c r="AZ36" s="14" t="str">
        <f>IFERROR(IFERROR(VLOOKUP($C36&amp;" "&amp;AZ$1,Results!$G:$I,3,FALSE),-VLOOKUP($C36&amp;" "&amp;AZ$1,Results!$H:$I,2,FALSE)),"")</f>
        <v/>
      </c>
      <c r="BA36" s="14" t="str">
        <f>IFERROR(IFERROR(VLOOKUP($C36&amp;" "&amp;BA$1,Results!$G:$I,3,FALSE),-VLOOKUP($C36&amp;" "&amp;BA$1,Results!$H:$I,2,FALSE)),"")</f>
        <v/>
      </c>
      <c r="BB36" s="14" t="str">
        <f>IFERROR(IFERROR(VLOOKUP($C36&amp;" "&amp;BB$1,Results!$G:$I,3,FALSE),-VLOOKUP($C36&amp;" "&amp;BB$1,Results!$H:$I,2,FALSE)),"")</f>
        <v/>
      </c>
      <c r="BC36" s="14">
        <f>IFERROR(IFERROR(VLOOKUP($C36&amp;" "&amp;BC$1,Results!$G:$I,3,FALSE),-VLOOKUP($C36&amp;" "&amp;BC$1,Results!$H:$I,2,FALSE)),"")</f>
        <v>29</v>
      </c>
      <c r="BD36" s="14" t="str">
        <f>IFERROR(IFERROR(VLOOKUP($C36&amp;" "&amp;BD$1,Results!$G:$I,3,FALSE),-VLOOKUP($C36&amp;" "&amp;BD$1,Results!$H:$I,2,FALSE)),"")</f>
        <v/>
      </c>
      <c r="BE36" s="56" t="str">
        <f>IFERROR(IFERROR(VLOOKUP($C36&amp;" "&amp;BE$1,Results!$G:$I,3,FALSE),-VLOOKUP($C36&amp;" "&amp;BE$1,Results!$H:$I,2,FALSE)),"")</f>
        <v/>
      </c>
      <c r="BF36" s="73">
        <f>IFERROR(IFERROR(VLOOKUP($C36&amp;" "&amp;BF$1,Results!$G:$I,3,FALSE),-VLOOKUP($C36&amp;" "&amp;BF$1,Results!$H:$I,2,FALSE)),"")</f>
        <v>163</v>
      </c>
      <c r="BG36" s="167">
        <f>IFERROR(IFERROR(VLOOKUP($C36&amp;" "&amp;BG$1,Results!$G:$I,3,FALSE),-VLOOKUP($C36&amp;" "&amp;BG$1,Results!$H:$I,2,FALSE)),"")</f>
        <v>131</v>
      </c>
      <c r="BH36" s="30">
        <f>IFERROR(IFERROR(VLOOKUP($C36&amp;" "&amp;BH$1,Results!$G:$I,3,FALSE),-VLOOKUP($C36&amp;" "&amp;BH$1,Results!$H:$I,2,FALSE)),"")</f>
        <v>42</v>
      </c>
      <c r="BI36" s="169">
        <f>IFERROR(IFERROR(VLOOKUP($C36&amp;" "&amp;BI$1,Results!$G:$I,3,FALSE),-VLOOKUP($C36&amp;" "&amp;BI$1,Results!$H:$I,2,FALSE)),"")</f>
        <v>220</v>
      </c>
      <c r="BJ36" s="14">
        <f>IFERROR(IFERROR(VLOOKUP($C36&amp;" "&amp;BJ$1,Results!$G:$I,3,FALSE),-VLOOKUP($C36&amp;" "&amp;BJ$1,Results!$H:$I,2,FALSE)),"")</f>
        <v>249</v>
      </c>
      <c r="BK36" s="84">
        <f t="shared" si="5"/>
        <v>585</v>
      </c>
      <c r="BL36" s="15">
        <f>COUNTIF(E36:G36,1)</f>
        <v>0</v>
      </c>
      <c r="BM36" s="15">
        <f>COUNTIF(E36:G36,0)</f>
        <v>3</v>
      </c>
      <c r="BN36" s="15">
        <f>COUNT(E36:G36)</f>
        <v>3</v>
      </c>
      <c r="BO36" s="90">
        <f t="shared" si="8"/>
        <v>0</v>
      </c>
      <c r="BR36" s="83">
        <f t="shared" si="6"/>
        <v>834</v>
      </c>
      <c r="BT36" s="15">
        <v>33</v>
      </c>
      <c r="BU36" s="15">
        <f t="shared" si="7"/>
        <v>0</v>
      </c>
      <c r="BV36" s="15">
        <f t="shared" si="9"/>
        <v>33</v>
      </c>
    </row>
    <row r="37" spans="1:74">
      <c r="A37" s="8"/>
      <c r="B37" s="8">
        <v>34</v>
      </c>
      <c r="C37" s="62" t="s">
        <v>60</v>
      </c>
      <c r="D37" s="62"/>
      <c r="E37" s="8">
        <f>IF(AND(BD37&gt;0,$A37&lt;VLOOKUP(BD$1,$C:$L,10,FALSE)),1,IF(AND(BD37&lt;0,$A37&gt;VLOOKUP(BD$1,$C:$L,10,FALSE)),1,0))</f>
        <v>0</v>
      </c>
      <c r="F37" s="8">
        <f>IF(AND(BE37&gt;0,$A37&lt;VLOOKUP(BE$1,$C:$L,10,FALSE)),1,IF(AND(BE37&lt;0,$A37&gt;VLOOKUP(BE$1,$C:$L,10,FALSE)),1,0))</f>
        <v>0</v>
      </c>
      <c r="G37" s="8">
        <f>IF(AND(BG37&gt;0,$A37&lt;VLOOKUP(BG$1,$C:$L,10,FALSE)),1,IF(AND(BG37&lt;0,$A37&gt;VLOOKUP(BG$1,$C:$L,10,FALSE)),1,0))</f>
        <v>0</v>
      </c>
      <c r="H37" s="8">
        <f>IF(AND(BH37&gt;0,$A37&lt;VLOOKUP(BH$1,$C:$L,10,FALSE)),1,IF(AND(BH37&lt;0,$A37&gt;VLOOKUP(BH$1,$C:$L,10,FALSE)),1,0))</f>
        <v>0</v>
      </c>
      <c r="I37" s="8">
        <f>IF(AND(BI37&gt;0,$A37&lt;VLOOKUP(BI$1,$C:$L,10,FALSE)),1,IF(AND(BI37&lt;0,$A37&gt;VLOOKUP(BI$1,$C:$L,10,FALSE)),1,0))</f>
        <v>0</v>
      </c>
      <c r="J37" s="8">
        <f t="shared" si="17"/>
        <v>0</v>
      </c>
      <c r="K37" s="108" t="s">
        <v>135</v>
      </c>
      <c r="L37" s="94">
        <f t="shared" si="0"/>
        <v>0</v>
      </c>
      <c r="M37" s="14"/>
      <c r="N37" s="2">
        <v>9</v>
      </c>
      <c r="O37" s="17">
        <f t="shared" si="13"/>
        <v>3</v>
      </c>
      <c r="P37" s="2">
        <f t="shared" si="14"/>
        <v>3</v>
      </c>
      <c r="Q37" s="2">
        <f t="shared" si="15"/>
        <v>0</v>
      </c>
      <c r="R37" s="18">
        <f>COUNTIF($BE37:$BG37,"&gt;0")</f>
        <v>1</v>
      </c>
      <c r="S37" s="19">
        <f>COUNTIF($BE37:$BG37,"&lt;0")</f>
        <v>1</v>
      </c>
      <c r="T37" s="20">
        <f>COUNTIF($BE37:$BG37,"=0")</f>
        <v>0</v>
      </c>
      <c r="U37" s="2">
        <f t="shared" si="16"/>
        <v>0</v>
      </c>
      <c r="V37" s="2"/>
      <c r="W37" s="2"/>
      <c r="X37" s="2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 t="str">
        <f>IFERROR(IFERROR(VLOOKUP($C37&amp;" "&amp;AW$1,Results!$G:$I,3,FALSE),-VLOOKUP($C37&amp;" "&amp;AW$1,Results!$H:$I,2,FALSE)),"")</f>
        <v/>
      </c>
      <c r="AX37" s="14" t="str">
        <f>IFERROR(IFERROR(VLOOKUP($C37&amp;" "&amp;AX$1,Results!$G:$I,3,FALSE),-VLOOKUP($C37&amp;" "&amp;AX$1,Results!$H:$I,2,FALSE)),"")</f>
        <v/>
      </c>
      <c r="AY37" s="14" t="str">
        <f>IFERROR(IFERROR(VLOOKUP($C37&amp;" "&amp;AY$1,Results!$G:$I,3,FALSE),-VLOOKUP($C37&amp;" "&amp;AY$1,Results!$H:$I,2,FALSE)),"")</f>
        <v/>
      </c>
      <c r="AZ37" s="14" t="str">
        <f>IFERROR(IFERROR(VLOOKUP($C37&amp;" "&amp;AZ$1,Results!$G:$I,3,FALSE),-VLOOKUP($C37&amp;" "&amp;AZ$1,Results!$H:$I,2,FALSE)),"")</f>
        <v/>
      </c>
      <c r="BA37" s="14" t="str">
        <f>IFERROR(IFERROR(VLOOKUP($C37&amp;" "&amp;BA$1,Results!$G:$I,3,FALSE),-VLOOKUP($C37&amp;" "&amp;BA$1,Results!$H:$I,2,FALSE)),"")</f>
        <v/>
      </c>
      <c r="BB37" s="14" t="str">
        <f>IFERROR(IFERROR(VLOOKUP($C37&amp;" "&amp;BB$1,Results!$G:$I,3,FALSE),-VLOOKUP($C37&amp;" "&amp;BB$1,Results!$H:$I,2,FALSE)),"")</f>
        <v/>
      </c>
      <c r="BC37" s="14" t="str">
        <f>IFERROR(IFERROR(VLOOKUP($C37&amp;" "&amp;BC$1,Results!$G:$I,3,FALSE),-VLOOKUP($C37&amp;" "&amp;BC$1,Results!$H:$I,2,FALSE)),"")</f>
        <v/>
      </c>
      <c r="BD37" s="14">
        <f>IFERROR(IFERROR(VLOOKUP($C37&amp;" "&amp;BD$1,Results!$G:$I,3,FALSE),-VLOOKUP($C37&amp;" "&amp;BD$1,Results!$H:$I,2,FALSE)),"")</f>
        <v>-74</v>
      </c>
      <c r="BE37" s="74">
        <f>IFERROR(IFERROR(VLOOKUP($C37&amp;" "&amp;BE$1,Results!$G:$I,3,FALSE),-VLOOKUP($C37&amp;" "&amp;BE$1,Results!$H:$I,2,FALSE)),"")</f>
        <v>-163</v>
      </c>
      <c r="BF37" s="30" t="str">
        <f>IFERROR(IFERROR(VLOOKUP($C37&amp;" "&amp;BF$1,Results!$G:$I,3,FALSE),-VLOOKUP($C37&amp;" "&amp;BF$1,Results!$H:$I,2,FALSE)),"")</f>
        <v/>
      </c>
      <c r="BG37" s="168">
        <f>IFERROR(IFERROR(VLOOKUP($C37&amp;" "&amp;BG$1,Results!$G:$I,3,FALSE),-VLOOKUP($C37&amp;" "&amp;BG$1,Results!$H:$I,2,FALSE)),"")</f>
        <v>21</v>
      </c>
      <c r="BH37" s="30">
        <f>IFERROR(IFERROR(VLOOKUP($C37&amp;" "&amp;BH$1,Results!$G:$I,3,FALSE),-VLOOKUP($C37&amp;" "&amp;BH$1,Results!$H:$I,2,FALSE)),"")</f>
        <v>-39</v>
      </c>
      <c r="BI37" s="169">
        <f>IFERROR(IFERROR(VLOOKUP($C37&amp;" "&amp;BI$1,Results!$G:$I,3,FALSE),-VLOOKUP($C37&amp;" "&amp;BI$1,Results!$H:$I,2,FALSE)),"")</f>
        <v>78</v>
      </c>
      <c r="BJ37" s="14">
        <f>IFERROR(IFERROR(VLOOKUP($C37&amp;" "&amp;BJ$1,Results!$G:$I,3,FALSE),-VLOOKUP($C37&amp;" "&amp;BJ$1,Results!$H:$I,2,FALSE)),"")</f>
        <v>8</v>
      </c>
      <c r="BK37" s="84">
        <f t="shared" si="5"/>
        <v>-177</v>
      </c>
      <c r="BL37" s="15">
        <f>COUNTIF(E37:G37,1)</f>
        <v>0</v>
      </c>
      <c r="BM37" s="15">
        <f>COUNTIF(E37:G37,0)</f>
        <v>3</v>
      </c>
      <c r="BN37" s="15">
        <f>COUNT(E37:G37)</f>
        <v>3</v>
      </c>
      <c r="BO37" s="90">
        <f t="shared" si="8"/>
        <v>0</v>
      </c>
      <c r="BR37" s="83">
        <f t="shared" si="6"/>
        <v>-169</v>
      </c>
      <c r="BT37" s="15">
        <v>32</v>
      </c>
      <c r="BU37" s="15">
        <f t="shared" si="7"/>
        <v>0</v>
      </c>
      <c r="BV37" s="15">
        <f t="shared" si="9"/>
        <v>32</v>
      </c>
    </row>
    <row r="38" spans="1:74" ht="13.5" thickBot="1">
      <c r="A38" s="8"/>
      <c r="B38" s="8">
        <v>35</v>
      </c>
      <c r="C38" s="62" t="s">
        <v>106</v>
      </c>
      <c r="D38" s="62"/>
      <c r="E38" s="8">
        <f>IF(AND(BD38&gt;0,$A38&lt;VLOOKUP(BD$1,$C:$L,10,FALSE)),1,IF(AND(BD38&lt;0,$A38&gt;VLOOKUP(BD$1,$C:$L,10,FALSE)),1,0))</f>
        <v>0</v>
      </c>
      <c r="F38" s="8">
        <f>IF(AND(BE38&gt;0,$A38&lt;VLOOKUP(BE$1,$C:$L,10,FALSE)),1,IF(AND(BE38&lt;0,$A38&gt;VLOOKUP(BE$1,$C:$L,10,FALSE)),1,0))</f>
        <v>0</v>
      </c>
      <c r="G38" s="8">
        <f>IF(AND(BF38&gt;0,$A38&lt;VLOOKUP(BF$1,$C:$L,10,FALSE)),1,IF(AND(BF38&lt;0,$A38&gt;VLOOKUP(BF$1,$C:$L,10,FALSE)),1,0))</f>
        <v>0</v>
      </c>
      <c r="H38" s="8">
        <f>IF(AND(BH38&gt;0,$A38&lt;VLOOKUP(BH$1,$C:$L,10,FALSE)),1,IF(AND(BH38&lt;0,$A38&gt;VLOOKUP(BH$1,$C:$L,10,FALSE)),1,0))</f>
        <v>0</v>
      </c>
      <c r="I38" s="8">
        <f>IF(AND(BI38&gt;0,$A38&lt;VLOOKUP(BI$1,$C:$L,10,FALSE)),1,IF(AND(BI38&lt;0,$A38&gt;VLOOKUP(BI$1,$C:$L,10,FALSE)),1,0))</f>
        <v>0</v>
      </c>
      <c r="J38" s="8">
        <f t="shared" si="17"/>
        <v>0</v>
      </c>
      <c r="K38" s="108" t="s">
        <v>135</v>
      </c>
      <c r="L38" s="94">
        <f t="shared" si="0"/>
        <v>0</v>
      </c>
      <c r="M38" s="14"/>
      <c r="N38" s="2">
        <v>9</v>
      </c>
      <c r="O38" s="17">
        <f t="shared" si="13"/>
        <v>1</v>
      </c>
      <c r="P38" s="2">
        <f t="shared" si="14"/>
        <v>5</v>
      </c>
      <c r="Q38" s="2">
        <f t="shared" si="15"/>
        <v>0</v>
      </c>
      <c r="R38" s="18">
        <f>COUNTIF($BE38:$BG38,"&gt;0")</f>
        <v>0</v>
      </c>
      <c r="S38" s="19">
        <f>COUNTIF($BE38:$BG38,"&lt;0")</f>
        <v>2</v>
      </c>
      <c r="T38" s="20">
        <f>COUNTIF($BE38:$BG38,"=0")</f>
        <v>0</v>
      </c>
      <c r="U38" s="2">
        <f t="shared" si="16"/>
        <v>0</v>
      </c>
      <c r="V38" s="2"/>
      <c r="W38" s="2"/>
      <c r="X38" s="2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 t="str">
        <f>IFERROR(IFERROR(VLOOKUP($C38&amp;" "&amp;AW$1,Results!$G:$I,3,FALSE),-VLOOKUP($C38&amp;" "&amp;AW$1,Results!$H:$I,2,FALSE)),"")</f>
        <v/>
      </c>
      <c r="AX38" s="14" t="str">
        <f>IFERROR(IFERROR(VLOOKUP($C38&amp;" "&amp;AX$1,Results!$G:$I,3,FALSE),-VLOOKUP($C38&amp;" "&amp;AX$1,Results!$H:$I,2,FALSE)),"")</f>
        <v/>
      </c>
      <c r="AY38" s="23" t="str">
        <f>IFERROR(IFERROR(VLOOKUP($C38&amp;" "&amp;AY$1,Results!$G:$I,3,FALSE),-VLOOKUP($C38&amp;" "&amp;AY$1,Results!$H:$I,2,FALSE)),"")</f>
        <v/>
      </c>
      <c r="AZ38" s="23" t="str">
        <f>IFERROR(IFERROR(VLOOKUP($C38&amp;" "&amp;AZ$1,Results!$G:$I,3,FALSE),-VLOOKUP($C38&amp;" "&amp;AZ$1,Results!$H:$I,2,FALSE)),"")</f>
        <v/>
      </c>
      <c r="BA38" s="23" t="str">
        <f>IFERROR(IFERROR(VLOOKUP($C38&amp;" "&amp;BA$1,Results!$G:$I,3,FALSE),-VLOOKUP($C38&amp;" "&amp;BA$1,Results!$H:$I,2,FALSE)),"")</f>
        <v/>
      </c>
      <c r="BB38" s="23" t="str">
        <f>IFERROR(IFERROR(VLOOKUP($C38&amp;" "&amp;BB$1,Results!$G:$I,3,FALSE),-VLOOKUP($C38&amp;" "&amp;BB$1,Results!$H:$I,2,FALSE)),"")</f>
        <v/>
      </c>
      <c r="BC38" s="23" t="str">
        <f>IFERROR(IFERROR(VLOOKUP($C38&amp;" "&amp;BC$1,Results!$G:$I,3,FALSE),-VLOOKUP($C38&amp;" "&amp;BC$1,Results!$H:$I,2,FALSE)),"")</f>
        <v/>
      </c>
      <c r="BD38" s="14">
        <f>IFERROR(IFERROR(VLOOKUP($C38&amp;" "&amp;BD$1,Results!$G:$I,3,FALSE),-VLOOKUP($C38&amp;" "&amp;BD$1,Results!$H:$I,2,FALSE)),"")</f>
        <v>-77</v>
      </c>
      <c r="BE38" s="75">
        <f>IFERROR(IFERROR(VLOOKUP($C38&amp;" "&amp;BE$1,Results!$G:$I,3,FALSE),-VLOOKUP($C38&amp;" "&amp;BE$1,Results!$H:$I,2,FALSE)),"")</f>
        <v>-131</v>
      </c>
      <c r="BF38" s="76">
        <f>IFERROR(IFERROR(VLOOKUP($C38&amp;" "&amp;BF$1,Results!$G:$I,3,FALSE),-VLOOKUP($C38&amp;" "&amp;BF$1,Results!$H:$I,2,FALSE)),"")</f>
        <v>-21</v>
      </c>
      <c r="BG38" s="55" t="str">
        <f>IFERROR(IFERROR(VLOOKUP($C38&amp;" "&amp;BG$1,Results!$G:$I,3,FALSE),-VLOOKUP($C38&amp;" "&amp;BG$1,Results!$H:$I,2,FALSE)),"")</f>
        <v/>
      </c>
      <c r="BH38" s="30">
        <f>IFERROR(IFERROR(VLOOKUP($C38&amp;" "&amp;BH$1,Results!$G:$I,3,FALSE),-VLOOKUP($C38&amp;" "&amp;BH$1,Results!$H:$I,2,FALSE)),"")</f>
        <v>-23</v>
      </c>
      <c r="BI38" s="169">
        <f>IFERROR(IFERROR(VLOOKUP($C38&amp;" "&amp;BI$1,Results!$G:$I,3,FALSE),-VLOOKUP($C38&amp;" "&amp;BI$1,Results!$H:$I,2,FALSE)),"")</f>
        <v>81</v>
      </c>
      <c r="BJ38" s="30">
        <f>IFERROR(IFERROR(VLOOKUP($C38&amp;" "&amp;BJ$1,Results!$G:$I,3,FALSE),-VLOOKUP($C38&amp;" "&amp;BJ$1,Results!$H:$I,2,FALSE)),"")</f>
        <v>-7</v>
      </c>
      <c r="BK38" s="84">
        <f t="shared" si="5"/>
        <v>-171</v>
      </c>
      <c r="BL38" s="15">
        <f>COUNTIF(E38:H38,1)</f>
        <v>0</v>
      </c>
      <c r="BM38" s="15">
        <f>COUNTIF(E38:H38,0)</f>
        <v>4</v>
      </c>
      <c r="BN38" s="15">
        <f>COUNT(E38:H38)</f>
        <v>4</v>
      </c>
      <c r="BO38" s="90">
        <f t="shared" si="8"/>
        <v>0</v>
      </c>
      <c r="BR38" s="83">
        <f t="shared" si="6"/>
        <v>-178</v>
      </c>
      <c r="BT38" s="15">
        <v>35</v>
      </c>
      <c r="BU38" s="15">
        <f t="shared" si="7"/>
        <v>0</v>
      </c>
      <c r="BV38" s="15">
        <f t="shared" si="9"/>
        <v>35</v>
      </c>
    </row>
    <row r="39" spans="1:74">
      <c r="A39" s="59"/>
      <c r="B39" s="59">
        <v>36</v>
      </c>
      <c r="C39" s="62" t="s">
        <v>128</v>
      </c>
      <c r="D39" s="62"/>
      <c r="E39" s="8">
        <f>IF(AND(BC39&gt;0,$A39&lt;VLOOKUP(BC$1,$C:$L,10,FALSE)),1,IF(AND(BC39&lt;0,$A39&gt;VLOOKUP(BC$1,$C:$L,10,FALSE)),1,0))</f>
        <v>0</v>
      </c>
      <c r="F39" s="8">
        <f>IF(AND(BE39&gt;0,$A39&lt;VLOOKUP(BE$1,$C:$L,10,FALSE)),1,IF(AND(BE39&lt;0,$A39&gt;VLOOKUP(BE$1,$C:$L,10,FALSE)),1,0))</f>
        <v>0</v>
      </c>
      <c r="G39" s="8">
        <f>IF(AND(BF39&gt;0,$A39&lt;VLOOKUP(BF$1,$C:$L,10,FALSE)),1,IF(AND(BF39&lt;0,$A39&gt;VLOOKUP(BF$1,$C:$L,10,FALSE)),1,0))</f>
        <v>0</v>
      </c>
      <c r="H39" s="8">
        <f>IF(AND(BG39&gt;0,$A39&lt;VLOOKUP(BG$1,$C:$L,10,FALSE)),1,IF(AND(BG39&lt;0,$A39&gt;VLOOKUP(BG$1,$C:$L,10,FALSE)),1,0))</f>
        <v>0</v>
      </c>
      <c r="I39" s="8">
        <f>IF(AND(BI39&gt;0,$A39&lt;VLOOKUP(BI$1,$C:$L,10,FALSE)),1,IF(AND(BI39&lt;0,$A39&gt;VLOOKUP(BI$1,$C:$L,10,FALSE)),1,0))</f>
        <v>0</v>
      </c>
      <c r="J39" s="8">
        <f t="shared" si="17"/>
        <v>0</v>
      </c>
      <c r="K39" s="108" t="s">
        <v>135</v>
      </c>
      <c r="L39" s="94">
        <f t="shared" si="0"/>
        <v>0</v>
      </c>
      <c r="M39" s="14"/>
      <c r="N39" s="2">
        <v>10</v>
      </c>
      <c r="O39" s="17">
        <f t="shared" si="13"/>
        <v>4</v>
      </c>
      <c r="P39" s="2">
        <f t="shared" si="14"/>
        <v>2</v>
      </c>
      <c r="Q39" s="2">
        <f t="shared" si="15"/>
        <v>0</v>
      </c>
      <c r="R39" s="18">
        <f>COUNTIF($BH39:$BJ39,"&gt;0")</f>
        <v>2</v>
      </c>
      <c r="S39" s="19">
        <f>COUNTIF($BH39:$BJ39,"&lt;0")</f>
        <v>0</v>
      </c>
      <c r="T39" s="20">
        <f>COUNTIF($BH39:$BJ39,"=0")</f>
        <v>0</v>
      </c>
      <c r="U39" s="2">
        <f t="shared" si="16"/>
        <v>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4"/>
      <c r="AS39" s="14"/>
      <c r="AT39" s="14"/>
      <c r="AU39" s="14"/>
      <c r="AV39" s="14"/>
      <c r="AW39" s="14" t="str">
        <f>IFERROR(IFERROR(VLOOKUP($C39&amp;" "&amp;AW$1,Results!$G:$I,3,FALSE),-VLOOKUP($C39&amp;" "&amp;AW$1,Results!$H:$I,2,FALSE)),"")</f>
        <v/>
      </c>
      <c r="AX39" s="14" t="str">
        <f>IFERROR(IFERROR(VLOOKUP($C39&amp;" "&amp;AX$1,Results!$G:$I,3,FALSE),-VLOOKUP($C39&amp;" "&amp;AX$1,Results!$H:$I,2,FALSE)),"")</f>
        <v/>
      </c>
      <c r="AY39" s="14" t="str">
        <f>IFERROR(IFERROR(VLOOKUP($C39&amp;" "&amp;AY$1,Results!$G:$I,3,FALSE),-VLOOKUP($C39&amp;" "&amp;AY$1,Results!$H:$I,2,FALSE)),"")</f>
        <v/>
      </c>
      <c r="AZ39" s="14" t="str">
        <f>IFERROR(IFERROR(VLOOKUP($C39&amp;" "&amp;AZ$1,Results!$G:$I,3,FALSE),-VLOOKUP($C39&amp;" "&amp;AZ$1,Results!$H:$I,2,FALSE)),"")</f>
        <v/>
      </c>
      <c r="BA39" s="14" t="str">
        <f>IFERROR(IFERROR(VLOOKUP($C39&amp;" "&amp;BA$1,Results!$G:$I,3,FALSE),-VLOOKUP($C39&amp;" "&amp;BA$1,Results!$H:$I,2,FALSE)),"")</f>
        <v/>
      </c>
      <c r="BB39" s="14" t="str">
        <f>IFERROR(IFERROR(VLOOKUP($C39&amp;" "&amp;BB$1,Results!$G:$I,3,FALSE),-VLOOKUP($C39&amp;" "&amp;BB$1,Results!$H:$I,2,FALSE)),"")</f>
        <v/>
      </c>
      <c r="BC39" s="14">
        <f>IFERROR(IFERROR(VLOOKUP($C39&amp;" "&amp;BC$1,Results!$G:$I,3,FALSE),-VLOOKUP($C39&amp;" "&amp;BC$1,Results!$H:$I,2,FALSE)),"")</f>
        <v>-60</v>
      </c>
      <c r="BD39" s="14" t="str">
        <f>IFERROR(IFERROR(VLOOKUP($C39&amp;" "&amp;BD$1,Results!$G:$I,3,FALSE),-VLOOKUP($C39&amp;" "&amp;BD$1,Results!$H:$I,2,FALSE)),"")</f>
        <v/>
      </c>
      <c r="BE39" s="73">
        <f>IFERROR(IFERROR(VLOOKUP($C39&amp;" "&amp;BE$1,Results!$G:$I,3,FALSE),-VLOOKUP($C39&amp;" "&amp;BE$1,Results!$H:$I,2,FALSE)),"")</f>
        <v>-42</v>
      </c>
      <c r="BF39" s="73">
        <f>IFERROR(IFERROR(VLOOKUP($C39&amp;" "&amp;BF$1,Results!$G:$I,3,FALSE),-VLOOKUP($C39&amp;" "&amp;BF$1,Results!$H:$I,2,FALSE)),"")</f>
        <v>39</v>
      </c>
      <c r="BG39" s="73">
        <f>IFERROR(IFERROR(VLOOKUP($C39&amp;" "&amp;BG$1,Results!$G:$I,3,FALSE),-VLOOKUP($C39&amp;" "&amp;BG$1,Results!$H:$I,2,FALSE)),"")</f>
        <v>23</v>
      </c>
      <c r="BH39" s="56" t="str">
        <f>IFERROR(IFERROR(VLOOKUP($C39&amp;" "&amp;BH$1,Results!$G:$I,3,FALSE),-VLOOKUP($C39&amp;" "&amp;BH$1,Results!$H:$I,2,FALSE)),"")</f>
        <v/>
      </c>
      <c r="BI39" s="170">
        <f>IFERROR(IFERROR(VLOOKUP($C39&amp;" "&amp;BI$1,Results!$G:$I,3,FALSE),-VLOOKUP($C39&amp;" "&amp;BI$1,Results!$H:$I,2,FALSE)),"")</f>
        <v>93</v>
      </c>
      <c r="BJ39" s="167">
        <f>IFERROR(IFERROR(VLOOKUP($C39&amp;" "&amp;BJ$1,Results!$G:$I,3,FALSE),-VLOOKUP($C39&amp;" "&amp;BJ$1,Results!$H:$I,2,FALSE)),"")</f>
        <v>69</v>
      </c>
      <c r="BK39" s="84">
        <f t="shared" si="5"/>
        <v>53</v>
      </c>
      <c r="BL39" s="15">
        <f>COUNTIF(F39:J39,1)</f>
        <v>0</v>
      </c>
      <c r="BM39" s="15">
        <f>COUNTIF(F39:J39,0)</f>
        <v>5</v>
      </c>
      <c r="BN39" s="15">
        <f>COUNT(F39:J39)</f>
        <v>5</v>
      </c>
      <c r="BO39" s="90">
        <f t="shared" si="8"/>
        <v>0</v>
      </c>
      <c r="BR39" s="83">
        <f t="shared" si="6"/>
        <v>122</v>
      </c>
      <c r="BT39" s="15">
        <v>37</v>
      </c>
      <c r="BU39" s="15">
        <f t="shared" si="7"/>
        <v>0</v>
      </c>
      <c r="BV39" s="15">
        <f t="shared" si="9"/>
        <v>37</v>
      </c>
    </row>
    <row r="40" spans="1:74" ht="12.75" customHeight="1">
      <c r="A40" s="59"/>
      <c r="B40" s="59">
        <v>37</v>
      </c>
      <c r="C40" s="62" t="s">
        <v>118</v>
      </c>
      <c r="D40" s="62"/>
      <c r="E40" s="8">
        <f>IF(AND(BB40&gt;0,$A40&lt;VLOOKUP(BB$1,$C:$L,10,FALSE)),1,IF(AND(BB40&lt;0,$A40&gt;VLOOKUP(BB$1,$C:$L,10,FALSE)),1,0))</f>
        <v>0</v>
      </c>
      <c r="F40" s="8">
        <f>IF(AND(BE40&gt;0,$A40&lt;VLOOKUP(BE$1,$C:$L,10,FALSE)),1,IF(AND(BE40&lt;0,$A40&gt;VLOOKUP(BE$1,$C:$L,10,FALSE)),1,0))</f>
        <v>0</v>
      </c>
      <c r="G40" s="8">
        <f>IF(AND(BF40&gt;0,$A40&lt;VLOOKUP(BF$1,$C:$L,10,FALSE)),1,IF(AND(BF40&lt;0,$A40&gt;VLOOKUP(BF$1,$C:$L,10,FALSE)),1,0))</f>
        <v>0</v>
      </c>
      <c r="H40" s="8">
        <f>IF(AND(BG40&gt;0,$A40&lt;VLOOKUP(BG$1,$C:$L,10,FALSE)),1,IF(AND(BG40&lt;0,$A40&gt;VLOOKUP(BG$1,$C:$L,10,FALSE)),1,0))</f>
        <v>0</v>
      </c>
      <c r="I40" s="8">
        <f>IF(AND(BH40&gt;0,$A40&lt;VLOOKUP(BH$1,$C:$L,10,FALSE)),1,IF(AND(BH40&lt;0,$A40&gt;VLOOKUP(BH$1,$C:$L,10,FALSE)),1,0))</f>
        <v>0</v>
      </c>
      <c r="J40" s="8">
        <f t="shared" si="17"/>
        <v>0</v>
      </c>
      <c r="K40" s="108" t="s">
        <v>135</v>
      </c>
      <c r="L40" s="94">
        <f t="shared" si="0"/>
        <v>0</v>
      </c>
      <c r="M40" s="2"/>
      <c r="N40" s="2">
        <v>10</v>
      </c>
      <c r="O40" s="17">
        <f t="shared" si="13"/>
        <v>1</v>
      </c>
      <c r="P40" s="2">
        <f t="shared" si="14"/>
        <v>5</v>
      </c>
      <c r="Q40" s="2">
        <f t="shared" si="15"/>
        <v>0</v>
      </c>
      <c r="R40" s="18">
        <f>COUNTIF($BH40:$BJ40,"&gt;0")</f>
        <v>1</v>
      </c>
      <c r="S40" s="19">
        <f>COUNTIF($BH40:$BJ40,"&lt;0")</f>
        <v>1</v>
      </c>
      <c r="T40" s="20">
        <f>COUNTIF($BH40:$BJ40,"=0")</f>
        <v>0</v>
      </c>
      <c r="U40" s="2">
        <f t="shared" si="16"/>
        <v>0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4"/>
      <c r="AS40" s="14"/>
      <c r="AT40" s="14"/>
      <c r="AU40" s="14"/>
      <c r="AV40" s="14"/>
      <c r="AW40" s="14" t="str">
        <f>IFERROR(IFERROR(VLOOKUP($C40&amp;" "&amp;AW$1,Results!$G:$I,3,FALSE),-VLOOKUP($C40&amp;" "&amp;AW$1,Results!$H:$I,2,FALSE)),"")</f>
        <v/>
      </c>
      <c r="AX40" s="14" t="str">
        <f>IFERROR(IFERROR(VLOOKUP($C40&amp;" "&amp;AX$1,Results!$G:$I,3,FALSE),-VLOOKUP($C40&amp;" "&amp;AX$1,Results!$H:$I,2,FALSE)),"")</f>
        <v/>
      </c>
      <c r="AY40" s="14" t="str">
        <f>IFERROR(IFERROR(VLOOKUP($C40&amp;" "&amp;AY$1,Results!$G:$I,3,FALSE),-VLOOKUP($C40&amp;" "&amp;AY$1,Results!$H:$I,2,FALSE)),"")</f>
        <v/>
      </c>
      <c r="AZ40" s="14" t="str">
        <f>IFERROR(IFERROR(VLOOKUP($C40&amp;" "&amp;AZ$1,Results!$G:$I,3,FALSE),-VLOOKUP($C40&amp;" "&amp;AZ$1,Results!$H:$I,2,FALSE)),"")</f>
        <v/>
      </c>
      <c r="BA40" s="14" t="str">
        <f>IFERROR(IFERROR(VLOOKUP($C40&amp;" "&amp;BA$1,Results!$G:$I,3,FALSE),-VLOOKUP($C40&amp;" "&amp;BA$1,Results!$H:$I,2,FALSE)),"")</f>
        <v/>
      </c>
      <c r="BB40" s="14">
        <f>IFERROR(IFERROR(VLOOKUP($C40&amp;" "&amp;BB$1,Results!$G:$I,3,FALSE),-VLOOKUP($C40&amp;" "&amp;BB$1,Results!$H:$I,2,FALSE)),"")</f>
        <v>-220</v>
      </c>
      <c r="BC40" s="14" t="str">
        <f>IFERROR(IFERROR(VLOOKUP($C40&amp;" "&amp;BC$1,Results!$G:$I,3,FALSE),-VLOOKUP($C40&amp;" "&amp;BC$1,Results!$H:$I,2,FALSE)),"")</f>
        <v/>
      </c>
      <c r="BD40" s="14" t="str">
        <f>IFERROR(IFERROR(VLOOKUP($C40&amp;" "&amp;BD$1,Results!$G:$I,3,FALSE),-VLOOKUP($C40&amp;" "&amp;BD$1,Results!$H:$I,2,FALSE)),"")</f>
        <v/>
      </c>
      <c r="BE40" s="30">
        <f>IFERROR(IFERROR(VLOOKUP($C40&amp;" "&amp;BE$1,Results!$G:$I,3,FALSE),-VLOOKUP($C40&amp;" "&amp;BE$1,Results!$H:$I,2,FALSE)),"")</f>
        <v>-220</v>
      </c>
      <c r="BF40" s="30">
        <f>IFERROR(IFERROR(VLOOKUP($C40&amp;" "&amp;BF$1,Results!$G:$I,3,FALSE),-VLOOKUP($C40&amp;" "&amp;BF$1,Results!$H:$I,2,FALSE)),"")</f>
        <v>-78</v>
      </c>
      <c r="BG40" s="30">
        <f>IFERROR(IFERROR(VLOOKUP($C40&amp;" "&amp;BG$1,Results!$G:$I,3,FALSE),-VLOOKUP($C40&amp;" "&amp;BG$1,Results!$H:$I,2,FALSE)),"")</f>
        <v>-81</v>
      </c>
      <c r="BH40" s="106">
        <f>IFERROR(IFERROR(VLOOKUP($C40&amp;" "&amp;BH$1,Results!$G:$I,3,FALSE),-VLOOKUP($C40&amp;" "&amp;BH$1,Results!$H:$I,2,FALSE)),"")</f>
        <v>-93</v>
      </c>
      <c r="BI40" s="30" t="str">
        <f>IFERROR(IFERROR(VLOOKUP($C40&amp;" "&amp;BI$1,Results!$G:$I,3,FALSE),-VLOOKUP($C40&amp;" "&amp;BI$1,Results!$H:$I,2,FALSE)),"")</f>
        <v/>
      </c>
      <c r="BJ40" s="168">
        <f>IFERROR(IFERROR(VLOOKUP($C40&amp;" "&amp;BJ$1,Results!$G:$I,3,FALSE),-VLOOKUP($C40&amp;" "&amp;BJ$1,Results!$H:$I,2,FALSE)),"")</f>
        <v>55</v>
      </c>
      <c r="BK40" s="84">
        <f t="shared" si="5"/>
        <v>-692</v>
      </c>
      <c r="BL40" s="15">
        <f>COUNTIF(F40:I40,1)</f>
        <v>0</v>
      </c>
      <c r="BM40" s="15">
        <f>COUNTIF(F40:I40,0)</f>
        <v>4</v>
      </c>
      <c r="BN40" s="15">
        <f>COUNT(F40:I40)</f>
        <v>4</v>
      </c>
      <c r="BO40" s="90">
        <f t="shared" si="8"/>
        <v>0</v>
      </c>
      <c r="BR40" s="83">
        <f t="shared" si="6"/>
        <v>-637</v>
      </c>
      <c r="BT40" s="15">
        <v>36</v>
      </c>
      <c r="BU40" s="15">
        <f t="shared" si="7"/>
        <v>0</v>
      </c>
      <c r="BV40" s="15">
        <f t="shared" si="9"/>
        <v>36</v>
      </c>
    </row>
    <row r="41" spans="1:74" ht="12.75" customHeight="1" thickBot="1">
      <c r="A41" s="8"/>
      <c r="B41" s="8">
        <v>38</v>
      </c>
      <c r="C41" s="63" t="s">
        <v>130</v>
      </c>
      <c r="D41" s="62"/>
      <c r="E41" s="8">
        <f>IF(AND(BD41&gt;0,$A41&lt;VLOOKUP(BD$1,$C:$L,10,FALSE)),1,IF(AND(BD41&lt;0,$A41&gt;VLOOKUP(BD$1,$C:$L,10,FALSE)),1,0))</f>
        <v>0</v>
      </c>
      <c r="F41" s="8">
        <f>IF(AND(BE41&gt;0,$A41&lt;VLOOKUP(BE$1,$C:$L,10,FALSE)),1,IF(AND(BE41&lt;0,$A41&gt;VLOOKUP(BE$1,$C:$L,10,FALSE)),1,0))</f>
        <v>0</v>
      </c>
      <c r="G41" s="8">
        <f>IF(AND(BF41&gt;0,$A41&lt;VLOOKUP(BF$1,$C:$L,10,FALSE)),1,IF(AND(BF41&lt;0,$A41&gt;VLOOKUP(BF$1,$C:$L,10,FALSE)),1,0))</f>
        <v>0</v>
      </c>
      <c r="H41" s="8">
        <f>IF(AND(BG41&gt;0,$A41&lt;VLOOKUP(BG$1,$C:$L,10,FALSE)),1,IF(AND(BG41&lt;0,$A41&gt;VLOOKUP(BG$1,$C:$L,10,FALSE)),1,0))</f>
        <v>0</v>
      </c>
      <c r="I41" s="8">
        <f>IF(AND(BH41&gt;0,$A41&lt;VLOOKUP(BH$1,$C:$L,10,FALSE)),1,IF(AND(BH41&lt;0,$A41&gt;VLOOKUP(BH$1,$C:$L,10,FALSE)),1,0))</f>
        <v>0</v>
      </c>
      <c r="J41" s="8">
        <f>IF(AND(BI41&gt;0,$A41&lt;VLOOKUP(BI$1,$C:$L,10,FALSE)),1,IF(AND(BI41&lt;0,$A41&gt;VLOOKUP(BI$1,$C:$L,10,FALSE)),1,0))</f>
        <v>0</v>
      </c>
      <c r="K41" s="108" t="s">
        <v>135</v>
      </c>
      <c r="L41" s="94">
        <f t="shared" si="0"/>
        <v>0</v>
      </c>
      <c r="M41" s="2"/>
      <c r="N41" s="2">
        <v>10</v>
      </c>
      <c r="O41" s="17">
        <f t="shared" si="13"/>
        <v>1</v>
      </c>
      <c r="P41" s="2">
        <f t="shared" si="14"/>
        <v>5</v>
      </c>
      <c r="Q41" s="2">
        <f t="shared" si="15"/>
        <v>0</v>
      </c>
      <c r="R41" s="18">
        <f>COUNTIF($BH41:$BJ41,"&gt;0")</f>
        <v>0</v>
      </c>
      <c r="S41" s="19">
        <f>COUNTIF($BH41:$BJ41,"&lt;0")</f>
        <v>2</v>
      </c>
      <c r="T41" s="20">
        <f>COUNTIF($BH41:$BJ41,"=0")</f>
        <v>0</v>
      </c>
      <c r="U41" s="2">
        <f t="shared" si="16"/>
        <v>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4"/>
      <c r="AS41" s="14"/>
      <c r="AT41" s="14"/>
      <c r="AU41" s="14"/>
      <c r="AV41" s="14"/>
      <c r="AW41" s="14" t="str">
        <f>IFERROR(IFERROR(VLOOKUP($C41&amp;" "&amp;AW$1,Results!$G:$I,3,FALSE),-VLOOKUP($C41&amp;" "&amp;AW$1,Results!$H:$I,2,FALSE)),"")</f>
        <v/>
      </c>
      <c r="AX41" s="14" t="str">
        <f>IFERROR(IFERROR(VLOOKUP($C41&amp;" "&amp;AX$1,Results!$G:$I,3,FALSE),-VLOOKUP($C41&amp;" "&amp;AX$1,Results!$H:$I,2,FALSE)),"")</f>
        <v/>
      </c>
      <c r="AY41" s="14" t="str">
        <f>IFERROR(IFERROR(VLOOKUP($C41&amp;" "&amp;AY$1,Results!$G:$I,3,FALSE),-VLOOKUP($C41&amp;" "&amp;AY$1,Results!$H:$I,2,FALSE)),"")</f>
        <v/>
      </c>
      <c r="AZ41" s="14" t="str">
        <f>IFERROR(IFERROR(VLOOKUP($C41&amp;" "&amp;AZ$1,Results!$G:$I,3,FALSE),-VLOOKUP($C41&amp;" "&amp;AZ$1,Results!$H:$I,2,FALSE)),"")</f>
        <v/>
      </c>
      <c r="BA41" s="14" t="str">
        <f>IFERROR(IFERROR(VLOOKUP($C41&amp;" "&amp;BA$1,Results!$G:$I,3,FALSE),-VLOOKUP($C41&amp;" "&amp;BA$1,Results!$H:$I,2,FALSE)),"")</f>
        <v/>
      </c>
      <c r="BB41" s="14" t="str">
        <f>IFERROR(IFERROR(VLOOKUP($C41&amp;" "&amp;BB$1,Results!$G:$I,3,FALSE),-VLOOKUP($C41&amp;" "&amp;BB$1,Results!$H:$I,2,FALSE)),"")</f>
        <v/>
      </c>
      <c r="BC41" s="14" t="str">
        <f>IFERROR(IFERROR(VLOOKUP($C41&amp;" "&amp;BC$1,Results!$G:$I,3,FALSE),-VLOOKUP($C41&amp;" "&amp;BC$1,Results!$H:$I,2,FALSE)),"")</f>
        <v/>
      </c>
      <c r="BD41" s="14">
        <f>IFERROR(IFERROR(VLOOKUP($C41&amp;" "&amp;BD$1,Results!$G:$I,3,FALSE),-VLOOKUP($C41&amp;" "&amp;BD$1,Results!$H:$I,2,FALSE)),"")</f>
        <v>-107</v>
      </c>
      <c r="BE41" s="30">
        <f>IFERROR(IFERROR(VLOOKUP($C41&amp;" "&amp;BE$1,Results!$G:$I,3,FALSE),-VLOOKUP($C41&amp;" "&amp;BE$1,Results!$H:$I,2,FALSE)),"")</f>
        <v>-249</v>
      </c>
      <c r="BF41" s="30">
        <f>IFERROR(IFERROR(VLOOKUP($C41&amp;" "&amp;BF$1,Results!$G:$I,3,FALSE),-VLOOKUP($C41&amp;" "&amp;BF$1,Results!$H:$I,2,FALSE)),"")</f>
        <v>-8</v>
      </c>
      <c r="BG41" s="30">
        <f>IFERROR(IFERROR(VLOOKUP($C41&amp;" "&amp;BG$1,Results!$G:$I,3,FALSE),-VLOOKUP($C41&amp;" "&amp;BG$1,Results!$H:$I,2,FALSE)),"")</f>
        <v>7</v>
      </c>
      <c r="BH41" s="107">
        <f>IFERROR(IFERROR(VLOOKUP($C41&amp;" "&amp;BH$1,Results!$G:$I,3,FALSE),-VLOOKUP($C41&amp;" "&amp;BH$1,Results!$H:$I,2,FALSE)),"")</f>
        <v>-69</v>
      </c>
      <c r="BI41" s="76">
        <f>IFERROR(IFERROR(VLOOKUP($C41&amp;" "&amp;BI$1,Results!$G:$I,3,FALSE),-VLOOKUP($C41&amp;" "&amp;BI$1,Results!$H:$I,2,FALSE)),"")</f>
        <v>-55</v>
      </c>
      <c r="BJ41" s="55" t="str">
        <f>IFERROR(IFERROR(VLOOKUP($C41&amp;" "&amp;BJ$1,Results!$G:$I,3,FALSE),-VLOOKUP($C41&amp;" "&amp;BJ$1,Results!$H:$I,2,FALSE)),"")</f>
        <v/>
      </c>
      <c r="BK41" s="84"/>
      <c r="BL41" s="15"/>
      <c r="BM41" s="15"/>
      <c r="BN41" s="15"/>
      <c r="BO41" s="90"/>
      <c r="BU41" s="15">
        <f t="shared" si="7"/>
        <v>0</v>
      </c>
    </row>
    <row r="42" spans="1:74">
      <c r="A42" s="8"/>
      <c r="C42" s="31"/>
      <c r="D42" s="31"/>
      <c r="E42" s="31"/>
      <c r="F42" s="31"/>
      <c r="G42" s="31"/>
      <c r="H42" s="31"/>
      <c r="I42" s="31"/>
      <c r="J42" s="31"/>
      <c r="K42" s="31"/>
      <c r="L42" s="31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30"/>
      <c r="BG42" s="14"/>
      <c r="BH42" s="23"/>
      <c r="BI42" s="23"/>
      <c r="BJ42" s="23"/>
      <c r="BK42" s="84"/>
      <c r="BL42" s="15"/>
      <c r="BM42" s="15"/>
      <c r="BN42" s="15"/>
      <c r="BO42" s="90"/>
    </row>
    <row r="43" spans="1:74">
      <c r="A43" s="8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30"/>
      <c r="BG43" s="14"/>
      <c r="BH43" s="23"/>
      <c r="BI43" s="23"/>
      <c r="BJ43" s="23"/>
      <c r="BK43" s="84"/>
      <c r="BL43" s="15">
        <f>SUM(BL4:BL42)</f>
        <v>0</v>
      </c>
      <c r="BM43" s="15">
        <f>SUM(BM4:BM42)</f>
        <v>152</v>
      </c>
      <c r="BN43" s="15">
        <f>SUM(BN4:BN42)</f>
        <v>152</v>
      </c>
      <c r="BO43" s="90"/>
    </row>
    <row r="44" spans="1:74">
      <c r="A44" s="8"/>
      <c r="BH44" s="28"/>
      <c r="BI44" s="28"/>
      <c r="BJ44" s="28"/>
      <c r="BK44" s="85"/>
      <c r="BL44" s="95">
        <f>BL43/BN43</f>
        <v>0</v>
      </c>
      <c r="BM44" s="15"/>
      <c r="BN44" s="15"/>
      <c r="BO44" s="90"/>
    </row>
    <row r="45" spans="1:74">
      <c r="A45" s="8"/>
      <c r="C45" s="23"/>
      <c r="D45" s="23"/>
      <c r="E45" s="23"/>
      <c r="F45" s="23"/>
      <c r="G45" s="23"/>
      <c r="H45" s="23"/>
      <c r="I45" s="23"/>
      <c r="J45" s="23"/>
      <c r="K45" s="23"/>
      <c r="L45" s="23"/>
      <c r="BK45" s="85"/>
      <c r="BL45" s="15"/>
      <c r="BM45" s="15"/>
      <c r="BN45" s="15"/>
      <c r="BO45" s="90"/>
    </row>
    <row r="46" spans="1:74">
      <c r="A46" s="8"/>
      <c r="C46" s="23"/>
      <c r="D46" s="23"/>
      <c r="E46" s="23"/>
      <c r="F46" s="23"/>
      <c r="G46" s="23"/>
      <c r="H46" s="23"/>
      <c r="I46" s="23"/>
      <c r="J46" s="23"/>
      <c r="K46" s="23"/>
      <c r="L46" s="23"/>
      <c r="BK46" s="85"/>
      <c r="BL46" s="92" t="s">
        <v>117</v>
      </c>
      <c r="BM46" s="15"/>
      <c r="BN46" s="15"/>
      <c r="BO46" s="90"/>
    </row>
    <row r="47" spans="1:74">
      <c r="C47" s="23"/>
      <c r="D47" s="23"/>
      <c r="E47" s="23"/>
      <c r="F47" s="23"/>
      <c r="G47" s="23"/>
      <c r="H47" s="23"/>
      <c r="I47" s="23"/>
      <c r="J47" s="23"/>
      <c r="K47" s="23"/>
      <c r="L47" s="23"/>
      <c r="BK47" s="85"/>
    </row>
    <row r="48" spans="1:74">
      <c r="C48" s="23"/>
      <c r="D48" s="23"/>
      <c r="E48" s="23"/>
      <c r="F48" s="23"/>
      <c r="G48" s="23"/>
      <c r="H48" s="23"/>
      <c r="I48" s="23"/>
      <c r="J48" s="23"/>
      <c r="K48" s="23"/>
      <c r="L48" s="23"/>
      <c r="BK48" s="85"/>
    </row>
    <row r="49" spans="3:12"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3:12"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3:12"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3:12"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3:12"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3:12"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3:12"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spans="3:12"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spans="3:12"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3:12"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3:12"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3:12"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3:12"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3:12"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3:12"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3:12"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3:12"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3:12"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3:12"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3:12"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3:12"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spans="3:12"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spans="3:12"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spans="3:12"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3:12"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3:12"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spans="3:12"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spans="3:12"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3:12"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spans="3:12"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3:12"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spans="3:12"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spans="3:12"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3:12"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spans="3:12"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spans="3:12"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spans="3:12"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spans="3:12"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3:12"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3:12"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spans="3:12"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3:12"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3:12"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spans="3:12"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3:12"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3:12"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3:12"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3:12"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3:12"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3:12"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3:12"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3:12"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3:12"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3:12"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3:12"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3:12"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3:12"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3:12"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3:12"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3:12"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3:12"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3:12"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3:12"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3:12"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3:12"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3:12"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3:12"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3:12"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3:12"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3:12"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3:12"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3:12"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3:12"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3:12"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3:12"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3:12"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3:12"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3:12"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3:12"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3:12"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3:12"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3:12"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3:12"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3:12"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3:12"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3:12"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3:12"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3:12"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3:12"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3:12"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3:12"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3:12"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3:12"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3:12"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3:12"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3:12"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3:12"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3:12"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3:12"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3:12"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3:12"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3:12"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3:12"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spans="3:12"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3:12"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3:12"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3:12"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3:12"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spans="3:12"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3:12"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spans="3:12"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spans="3:12"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spans="3:12"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spans="3:12"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spans="3:12"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spans="3:12"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spans="3:12">
      <c r="C165" s="23"/>
      <c r="D165" s="23"/>
      <c r="E165" s="23"/>
      <c r="F165" s="23"/>
      <c r="G165" s="23"/>
      <c r="H165" s="23"/>
      <c r="I165" s="23"/>
      <c r="J165" s="23"/>
      <c r="K165" s="23"/>
      <c r="L165" s="23"/>
    </row>
    <row r="166" spans="3:12">
      <c r="C166" s="23"/>
      <c r="D166" s="23"/>
      <c r="E166" s="23"/>
      <c r="F166" s="23"/>
      <c r="G166" s="23"/>
      <c r="H166" s="23"/>
      <c r="I166" s="23"/>
      <c r="J166" s="23"/>
      <c r="K166" s="23"/>
      <c r="L166" s="23"/>
    </row>
    <row r="167" spans="3:12"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spans="3:12"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spans="3:12"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 spans="3:12">
      <c r="C170" s="23"/>
      <c r="D170" s="23"/>
      <c r="E170" s="23"/>
      <c r="F170" s="23"/>
      <c r="G170" s="23"/>
      <c r="H170" s="23"/>
      <c r="I170" s="23"/>
      <c r="J170" s="23"/>
      <c r="K170" s="23"/>
      <c r="L170" s="23"/>
    </row>
    <row r="171" spans="3:12">
      <c r="C171" s="23"/>
      <c r="D171" s="23"/>
      <c r="E171" s="23"/>
      <c r="F171" s="23"/>
      <c r="G171" s="23"/>
      <c r="H171" s="23"/>
      <c r="I171" s="23"/>
      <c r="J171" s="23"/>
      <c r="K171" s="23"/>
      <c r="L171" s="23"/>
    </row>
    <row r="172" spans="3:12"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 spans="3:12"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 spans="3:12"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spans="3:12"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spans="3:12"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spans="3:12"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  <row r="178" spans="3:12">
      <c r="C178" s="23"/>
      <c r="D178" s="23"/>
      <c r="E178" s="23"/>
      <c r="F178" s="23"/>
      <c r="G178" s="23"/>
      <c r="H178" s="23"/>
      <c r="I178" s="23"/>
      <c r="J178" s="23"/>
      <c r="K178" s="23"/>
      <c r="L178" s="23"/>
    </row>
    <row r="179" spans="3:12"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spans="3:12">
      <c r="C180" s="23"/>
      <c r="D180" s="23"/>
      <c r="E180" s="23"/>
      <c r="F180" s="23"/>
      <c r="G180" s="23"/>
      <c r="H180" s="23"/>
      <c r="I180" s="23"/>
      <c r="J180" s="23"/>
      <c r="K180" s="23"/>
      <c r="L180" s="23"/>
    </row>
    <row r="181" spans="3:12">
      <c r="C181" s="23"/>
      <c r="D181" s="23"/>
      <c r="E181" s="23"/>
      <c r="F181" s="23"/>
      <c r="G181" s="23"/>
      <c r="H181" s="23"/>
      <c r="I181" s="23"/>
      <c r="J181" s="23"/>
      <c r="K181" s="23"/>
      <c r="L181" s="23"/>
    </row>
    <row r="182" spans="3:12">
      <c r="C182" s="23"/>
      <c r="D182" s="23"/>
      <c r="E182" s="23"/>
      <c r="F182" s="23"/>
      <c r="G182" s="23"/>
      <c r="H182" s="23"/>
      <c r="I182" s="23"/>
      <c r="J182" s="23"/>
      <c r="K182" s="23"/>
      <c r="L182" s="23"/>
    </row>
    <row r="183" spans="3:12">
      <c r="C183" s="23"/>
      <c r="D183" s="23"/>
      <c r="E183" s="23"/>
      <c r="F183" s="23"/>
      <c r="G183" s="23"/>
      <c r="H183" s="23"/>
      <c r="I183" s="23"/>
      <c r="J183" s="23"/>
      <c r="K183" s="23"/>
      <c r="L183" s="23"/>
    </row>
    <row r="184" spans="3:12">
      <c r="C184" s="23"/>
      <c r="D184" s="23"/>
      <c r="E184" s="23"/>
      <c r="F184" s="23"/>
      <c r="G184" s="23"/>
      <c r="H184" s="23"/>
      <c r="I184" s="23"/>
      <c r="J184" s="23"/>
      <c r="K184" s="23"/>
      <c r="L184" s="23"/>
    </row>
    <row r="185" spans="3:12"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spans="3:12"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spans="3:12"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 spans="3:12"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spans="3:12">
      <c r="C189" s="23"/>
      <c r="D189" s="23"/>
      <c r="E189" s="23"/>
      <c r="F189" s="23"/>
      <c r="G189" s="23"/>
      <c r="H189" s="23"/>
      <c r="I189" s="23"/>
      <c r="J189" s="23"/>
      <c r="K189" s="23"/>
      <c r="L189" s="23"/>
    </row>
    <row r="190" spans="3:12">
      <c r="C190" s="23"/>
      <c r="D190" s="23"/>
      <c r="E190" s="23"/>
      <c r="F190" s="23"/>
      <c r="G190" s="23"/>
      <c r="H190" s="23"/>
      <c r="I190" s="23"/>
      <c r="J190" s="23"/>
      <c r="K190" s="23"/>
      <c r="L190" s="23"/>
    </row>
    <row r="191" spans="3:12">
      <c r="C191" s="23"/>
      <c r="D191" s="23"/>
      <c r="E191" s="23"/>
      <c r="F191" s="23"/>
      <c r="G191" s="23"/>
      <c r="H191" s="23"/>
      <c r="I191" s="23"/>
      <c r="J191" s="23"/>
      <c r="K191" s="23"/>
      <c r="L191" s="23"/>
    </row>
    <row r="192" spans="3:12">
      <c r="C192" s="23"/>
      <c r="D192" s="23"/>
      <c r="E192" s="23"/>
      <c r="F192" s="23"/>
      <c r="G192" s="23"/>
      <c r="H192" s="23"/>
      <c r="I192" s="23"/>
      <c r="J192" s="23"/>
      <c r="K192" s="23"/>
      <c r="L192" s="23"/>
    </row>
    <row r="193" spans="3:12"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 spans="3:12">
      <c r="C194" s="23"/>
      <c r="D194" s="23"/>
      <c r="E194" s="23"/>
      <c r="F194" s="23"/>
      <c r="G194" s="23"/>
      <c r="H194" s="23"/>
      <c r="I194" s="23"/>
      <c r="J194" s="23"/>
      <c r="K194" s="23"/>
      <c r="L194" s="23"/>
    </row>
    <row r="195" spans="3:12">
      <c r="C195" s="23"/>
      <c r="D195" s="23"/>
      <c r="E195" s="23"/>
      <c r="F195" s="23"/>
      <c r="G195" s="23"/>
      <c r="H195" s="23"/>
      <c r="I195" s="23"/>
      <c r="J195" s="23"/>
      <c r="K195" s="23"/>
      <c r="L195" s="23"/>
    </row>
    <row r="196" spans="3:12">
      <c r="C196" s="23"/>
      <c r="D196" s="23"/>
      <c r="E196" s="23"/>
      <c r="F196" s="23"/>
      <c r="G196" s="23"/>
      <c r="H196" s="23"/>
      <c r="I196" s="23"/>
      <c r="J196" s="23"/>
      <c r="K196" s="23"/>
      <c r="L196" s="23"/>
    </row>
    <row r="197" spans="3:12"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 spans="3:12">
      <c r="C198" s="23"/>
      <c r="D198" s="23"/>
      <c r="E198" s="23"/>
      <c r="F198" s="23"/>
      <c r="G198" s="23"/>
      <c r="H198" s="23"/>
      <c r="I198" s="23"/>
      <c r="J198" s="23"/>
      <c r="K198" s="23"/>
      <c r="L198" s="23"/>
    </row>
    <row r="199" spans="3:12"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 spans="3:12">
      <c r="C200" s="23"/>
      <c r="D200" s="23"/>
      <c r="E200" s="23"/>
      <c r="F200" s="23"/>
      <c r="G200" s="23"/>
      <c r="H200" s="23"/>
      <c r="I200" s="23"/>
      <c r="J200" s="23"/>
      <c r="K200" s="23"/>
      <c r="L200" s="23"/>
    </row>
    <row r="201" spans="3:12">
      <c r="C201" s="23"/>
      <c r="D201" s="23"/>
      <c r="E201" s="23"/>
      <c r="F201" s="23"/>
      <c r="G201" s="23"/>
      <c r="H201" s="23"/>
      <c r="I201" s="23"/>
      <c r="J201" s="23"/>
      <c r="K201" s="23"/>
      <c r="L201" s="23"/>
    </row>
    <row r="202" spans="3:12"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 spans="3:12">
      <c r="C203" s="23"/>
      <c r="D203" s="23"/>
      <c r="E203" s="23"/>
      <c r="F203" s="23"/>
      <c r="G203" s="23"/>
      <c r="H203" s="23"/>
      <c r="I203" s="23"/>
      <c r="J203" s="23"/>
      <c r="K203" s="23"/>
      <c r="L203" s="23"/>
    </row>
    <row r="204" spans="3:12">
      <c r="C204" s="23"/>
      <c r="D204" s="23"/>
      <c r="E204" s="23"/>
      <c r="F204" s="23"/>
      <c r="G204" s="23"/>
      <c r="H204" s="23"/>
      <c r="I204" s="23"/>
      <c r="J204" s="23"/>
      <c r="K204" s="23"/>
      <c r="L204" s="23"/>
    </row>
    <row r="205" spans="3:12">
      <c r="C205" s="23"/>
      <c r="D205" s="23"/>
      <c r="E205" s="23"/>
      <c r="F205" s="23"/>
      <c r="G205" s="23"/>
      <c r="H205" s="23"/>
      <c r="I205" s="23"/>
      <c r="J205" s="23"/>
      <c r="K205" s="23"/>
      <c r="L205" s="23"/>
    </row>
    <row r="206" spans="3:12">
      <c r="C206" s="23"/>
      <c r="D206" s="23"/>
      <c r="E206" s="23"/>
      <c r="F206" s="23"/>
      <c r="G206" s="23"/>
      <c r="H206" s="23"/>
      <c r="I206" s="23"/>
      <c r="J206" s="23"/>
      <c r="K206" s="23"/>
      <c r="L206" s="23"/>
    </row>
    <row r="207" spans="3:12"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 spans="3:12"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spans="3:12">
      <c r="C209" s="23"/>
      <c r="D209" s="23"/>
      <c r="E209" s="23"/>
      <c r="F209" s="23"/>
      <c r="G209" s="23"/>
      <c r="H209" s="23"/>
      <c r="I209" s="23"/>
      <c r="J209" s="23"/>
      <c r="K209" s="23"/>
      <c r="L209" s="23"/>
    </row>
    <row r="210" spans="3:12">
      <c r="C210" s="23"/>
      <c r="D210" s="23"/>
      <c r="E210" s="23"/>
      <c r="F210" s="23"/>
      <c r="G210" s="23"/>
      <c r="H210" s="23"/>
      <c r="I210" s="23"/>
      <c r="J210" s="23"/>
      <c r="K210" s="23"/>
      <c r="L210" s="23"/>
    </row>
    <row r="211" spans="3:12">
      <c r="C211" s="23"/>
      <c r="D211" s="23"/>
      <c r="E211" s="23"/>
      <c r="F211" s="23"/>
      <c r="G211" s="23"/>
      <c r="H211" s="23"/>
      <c r="I211" s="23"/>
      <c r="J211" s="23"/>
      <c r="K211" s="23"/>
      <c r="L211" s="23"/>
    </row>
    <row r="212" spans="3:12">
      <c r="C212" s="23"/>
      <c r="D212" s="23"/>
      <c r="E212" s="23"/>
      <c r="F212" s="23"/>
      <c r="G212" s="23"/>
      <c r="H212" s="23"/>
      <c r="I212" s="23"/>
      <c r="J212" s="23"/>
      <c r="K212" s="23"/>
      <c r="L212" s="23"/>
    </row>
    <row r="213" spans="3:12"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 spans="3:12"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 spans="3:12">
      <c r="C215" s="23"/>
      <c r="D215" s="23"/>
      <c r="E215" s="23"/>
      <c r="F215" s="23"/>
      <c r="G215" s="23"/>
      <c r="H215" s="23"/>
      <c r="I215" s="23"/>
      <c r="J215" s="23"/>
      <c r="K215" s="23"/>
      <c r="L215" s="23"/>
    </row>
    <row r="216" spans="3:12">
      <c r="C216" s="23"/>
      <c r="D216" s="23"/>
      <c r="E216" s="23"/>
      <c r="F216" s="23"/>
      <c r="G216" s="23"/>
      <c r="H216" s="23"/>
      <c r="I216" s="23"/>
      <c r="J216" s="23"/>
      <c r="K216" s="23"/>
      <c r="L216" s="23"/>
    </row>
    <row r="217" spans="3:12">
      <c r="C217" s="23"/>
      <c r="D217" s="23"/>
      <c r="E217" s="23"/>
      <c r="F217" s="23"/>
      <c r="G217" s="23"/>
      <c r="H217" s="23"/>
      <c r="I217" s="23"/>
      <c r="J217" s="23"/>
      <c r="K217" s="23"/>
      <c r="L217" s="23"/>
    </row>
    <row r="218" spans="3:12">
      <c r="C218" s="23"/>
      <c r="D218" s="23"/>
      <c r="E218" s="23"/>
      <c r="F218" s="23"/>
      <c r="G218" s="23"/>
      <c r="H218" s="23"/>
      <c r="I218" s="23"/>
      <c r="J218" s="23"/>
      <c r="K218" s="23"/>
      <c r="L218" s="23"/>
    </row>
    <row r="219" spans="3:12"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 spans="3:12">
      <c r="C220" s="23"/>
      <c r="D220" s="23"/>
      <c r="E220" s="23"/>
      <c r="F220" s="23"/>
      <c r="G220" s="23"/>
      <c r="H220" s="23"/>
      <c r="I220" s="23"/>
      <c r="J220" s="23"/>
      <c r="K220" s="23"/>
      <c r="L220" s="23"/>
    </row>
    <row r="221" spans="3:12">
      <c r="C221" s="23"/>
      <c r="D221" s="23"/>
      <c r="E221" s="23"/>
      <c r="F221" s="23"/>
      <c r="G221" s="23"/>
      <c r="H221" s="23"/>
      <c r="I221" s="23"/>
      <c r="J221" s="23"/>
      <c r="K221" s="23"/>
      <c r="L221" s="23"/>
    </row>
    <row r="222" spans="3:12">
      <c r="C222" s="23"/>
      <c r="D222" s="23"/>
      <c r="E222" s="23"/>
      <c r="F222" s="23"/>
      <c r="G222" s="23"/>
      <c r="H222" s="23"/>
      <c r="I222" s="23"/>
      <c r="J222" s="23"/>
      <c r="K222" s="23"/>
      <c r="L222" s="23"/>
    </row>
    <row r="223" spans="3:12">
      <c r="C223" s="23"/>
      <c r="D223" s="23"/>
      <c r="E223" s="23"/>
      <c r="F223" s="23"/>
      <c r="G223" s="23"/>
      <c r="H223" s="23"/>
      <c r="I223" s="23"/>
      <c r="J223" s="23"/>
      <c r="K223" s="23"/>
      <c r="L223" s="23"/>
    </row>
    <row r="224" spans="3:12">
      <c r="C224" s="23"/>
      <c r="D224" s="23"/>
      <c r="E224" s="23"/>
      <c r="F224" s="23"/>
      <c r="G224" s="23"/>
      <c r="H224" s="23"/>
      <c r="I224" s="23"/>
      <c r="J224" s="23"/>
      <c r="K224" s="23"/>
      <c r="L224" s="23"/>
    </row>
    <row r="225" spans="3:12">
      <c r="C225" s="23"/>
      <c r="D225" s="23"/>
      <c r="E225" s="23"/>
      <c r="F225" s="23"/>
      <c r="G225" s="23"/>
      <c r="H225" s="23"/>
      <c r="I225" s="23"/>
      <c r="J225" s="23"/>
      <c r="K225" s="23"/>
      <c r="L225" s="23"/>
    </row>
    <row r="226" spans="3:12"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 spans="3:12">
      <c r="C227" s="23"/>
      <c r="D227" s="23"/>
      <c r="E227" s="23"/>
      <c r="F227" s="23"/>
      <c r="G227" s="23"/>
      <c r="H227" s="23"/>
      <c r="I227" s="23"/>
      <c r="J227" s="23"/>
      <c r="K227" s="23"/>
      <c r="L227" s="23"/>
    </row>
    <row r="228" spans="3:12"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  <row r="229" spans="3:12">
      <c r="C229" s="23"/>
      <c r="D229" s="23"/>
      <c r="E229" s="23"/>
      <c r="F229" s="23"/>
      <c r="G229" s="23"/>
      <c r="H229" s="23"/>
      <c r="I229" s="23"/>
      <c r="J229" s="23"/>
      <c r="K229" s="23"/>
      <c r="L229" s="23"/>
    </row>
    <row r="230" spans="3:12">
      <c r="C230" s="23"/>
      <c r="D230" s="23"/>
      <c r="E230" s="23"/>
      <c r="F230" s="23"/>
      <c r="G230" s="23"/>
      <c r="H230" s="23"/>
      <c r="I230" s="23"/>
      <c r="J230" s="23"/>
      <c r="K230" s="23"/>
      <c r="L230" s="23"/>
    </row>
    <row r="231" spans="3:12">
      <c r="C231" s="23"/>
      <c r="D231" s="23"/>
      <c r="E231" s="23"/>
      <c r="F231" s="23"/>
      <c r="G231" s="23"/>
      <c r="H231" s="23"/>
      <c r="I231" s="23"/>
      <c r="J231" s="23"/>
      <c r="K231" s="23"/>
      <c r="L231" s="23"/>
    </row>
    <row r="232" spans="3:12"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 spans="3:12">
      <c r="C233" s="23"/>
      <c r="D233" s="23"/>
      <c r="E233" s="23"/>
      <c r="F233" s="23"/>
      <c r="G233" s="23"/>
      <c r="H233" s="23"/>
      <c r="I233" s="23"/>
      <c r="J233" s="23"/>
      <c r="K233" s="23"/>
      <c r="L233" s="23"/>
    </row>
    <row r="234" spans="3:12">
      <c r="C234" s="23"/>
      <c r="D234" s="23"/>
      <c r="E234" s="23"/>
      <c r="F234" s="23"/>
      <c r="G234" s="23"/>
      <c r="H234" s="23"/>
      <c r="I234" s="23"/>
      <c r="J234" s="23"/>
      <c r="K234" s="23"/>
      <c r="L234" s="23"/>
    </row>
    <row r="235" spans="3:12">
      <c r="C235" s="23"/>
      <c r="D235" s="23"/>
      <c r="E235" s="23"/>
      <c r="F235" s="23"/>
      <c r="G235" s="23"/>
      <c r="H235" s="23"/>
      <c r="I235" s="23"/>
      <c r="J235" s="23"/>
      <c r="K235" s="23"/>
      <c r="L235" s="23"/>
    </row>
    <row r="236" spans="3:12">
      <c r="C236" s="23"/>
      <c r="D236" s="23"/>
      <c r="E236" s="23"/>
      <c r="F236" s="23"/>
      <c r="G236" s="23"/>
      <c r="H236" s="23"/>
      <c r="I236" s="23"/>
      <c r="J236" s="23"/>
      <c r="K236" s="23"/>
      <c r="L236" s="23"/>
    </row>
    <row r="237" spans="3:12">
      <c r="C237" s="23"/>
      <c r="D237" s="23"/>
      <c r="E237" s="23"/>
      <c r="F237" s="23"/>
      <c r="G237" s="23"/>
      <c r="H237" s="23"/>
      <c r="I237" s="23"/>
      <c r="J237" s="23"/>
      <c r="K237" s="23"/>
      <c r="L237" s="23"/>
    </row>
    <row r="238" spans="3:12">
      <c r="C238" s="23"/>
      <c r="D238" s="23"/>
      <c r="E238" s="23"/>
      <c r="F238" s="23"/>
      <c r="G238" s="23"/>
      <c r="H238" s="23"/>
      <c r="I238" s="23"/>
      <c r="J238" s="23"/>
      <c r="K238" s="23"/>
      <c r="L238" s="23"/>
    </row>
    <row r="239" spans="3:12">
      <c r="C239" s="23"/>
      <c r="D239" s="23"/>
      <c r="E239" s="23"/>
      <c r="F239" s="23"/>
      <c r="G239" s="23"/>
      <c r="H239" s="23"/>
      <c r="I239" s="23"/>
      <c r="J239" s="23"/>
      <c r="K239" s="23"/>
      <c r="L239" s="23"/>
    </row>
    <row r="240" spans="3:12">
      <c r="C240" s="23"/>
      <c r="D240" s="23"/>
      <c r="E240" s="23"/>
      <c r="F240" s="23"/>
      <c r="G240" s="23"/>
      <c r="H240" s="23"/>
      <c r="I240" s="23"/>
      <c r="J240" s="23"/>
      <c r="K240" s="23"/>
      <c r="L240" s="23"/>
    </row>
    <row r="241" spans="3:12">
      <c r="C241" s="23"/>
      <c r="D241" s="23"/>
      <c r="E241" s="23"/>
      <c r="F241" s="23"/>
      <c r="G241" s="23"/>
      <c r="H241" s="23"/>
      <c r="I241" s="23"/>
      <c r="J241" s="23"/>
      <c r="K241" s="23"/>
      <c r="L241" s="23"/>
    </row>
    <row r="242" spans="3:12">
      <c r="C242" s="23"/>
      <c r="D242" s="23"/>
      <c r="E242" s="23"/>
      <c r="F242" s="23"/>
      <c r="G242" s="23"/>
      <c r="H242" s="23"/>
      <c r="I242" s="23"/>
      <c r="J242" s="23"/>
      <c r="K242" s="23"/>
      <c r="L242" s="23"/>
    </row>
    <row r="243" spans="3:12">
      <c r="C243" s="23"/>
      <c r="D243" s="23"/>
      <c r="E243" s="23"/>
      <c r="F243" s="23"/>
      <c r="G243" s="23"/>
      <c r="H243" s="23"/>
      <c r="I243" s="23"/>
      <c r="J243" s="23"/>
      <c r="K243" s="23"/>
      <c r="L243" s="23"/>
    </row>
    <row r="244" spans="3:12">
      <c r="C244" s="23"/>
      <c r="D244" s="23"/>
      <c r="E244" s="23"/>
      <c r="F244" s="23"/>
      <c r="G244" s="23"/>
      <c r="H244" s="23"/>
      <c r="I244" s="23"/>
      <c r="J244" s="23"/>
      <c r="K244" s="23"/>
      <c r="L244" s="23"/>
    </row>
    <row r="245" spans="3:12">
      <c r="C245" s="23"/>
      <c r="D245" s="23"/>
      <c r="E245" s="23"/>
      <c r="F245" s="23"/>
      <c r="G245" s="23"/>
      <c r="H245" s="23"/>
      <c r="I245" s="23"/>
      <c r="J245" s="23"/>
      <c r="K245" s="23"/>
      <c r="L245" s="23"/>
    </row>
    <row r="246" spans="3:12">
      <c r="C246" s="23"/>
      <c r="D246" s="23"/>
      <c r="E246" s="23"/>
      <c r="F246" s="23"/>
      <c r="G246" s="23"/>
      <c r="H246" s="23"/>
      <c r="I246" s="23"/>
      <c r="J246" s="23"/>
      <c r="K246" s="23"/>
      <c r="L246" s="23"/>
    </row>
    <row r="247" spans="3:12">
      <c r="C247" s="23"/>
      <c r="D247" s="23"/>
      <c r="E247" s="23"/>
      <c r="F247" s="23"/>
      <c r="G247" s="23"/>
      <c r="H247" s="23"/>
      <c r="I247" s="23"/>
      <c r="J247" s="23"/>
      <c r="K247" s="23"/>
      <c r="L247" s="23"/>
    </row>
    <row r="248" spans="3:12">
      <c r="C248" s="23"/>
      <c r="D248" s="23"/>
      <c r="E248" s="23"/>
      <c r="F248" s="23"/>
      <c r="G248" s="23"/>
      <c r="H248" s="23"/>
      <c r="I248" s="23"/>
      <c r="J248" s="23"/>
      <c r="K248" s="23"/>
      <c r="L248" s="23"/>
    </row>
    <row r="249" spans="3:12">
      <c r="C249" s="23"/>
      <c r="D249" s="23"/>
      <c r="E249" s="23"/>
      <c r="F249" s="23"/>
      <c r="G249" s="23"/>
      <c r="H249" s="23"/>
      <c r="I249" s="23"/>
      <c r="J249" s="23"/>
      <c r="K249" s="23"/>
      <c r="L249" s="23"/>
    </row>
    <row r="250" spans="3:12">
      <c r="C250" s="23"/>
      <c r="D250" s="23"/>
      <c r="E250" s="23"/>
      <c r="F250" s="23"/>
      <c r="G250" s="23"/>
      <c r="H250" s="23"/>
      <c r="I250" s="23"/>
      <c r="J250" s="23"/>
      <c r="K250" s="23"/>
      <c r="L250" s="23"/>
    </row>
    <row r="251" spans="3:12"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 spans="3:12">
      <c r="C252" s="23"/>
      <c r="D252" s="23"/>
      <c r="E252" s="23"/>
      <c r="F252" s="23"/>
      <c r="G252" s="23"/>
      <c r="H252" s="23"/>
      <c r="I252" s="23"/>
      <c r="J252" s="23"/>
      <c r="K252" s="23"/>
      <c r="L252" s="23"/>
    </row>
    <row r="253" spans="3:12">
      <c r="C253" s="23"/>
      <c r="D253" s="23"/>
      <c r="E253" s="23"/>
      <c r="F253" s="23"/>
      <c r="G253" s="23"/>
      <c r="H253" s="23"/>
      <c r="I253" s="23"/>
      <c r="J253" s="23"/>
      <c r="K253" s="23"/>
      <c r="L253" s="23"/>
    </row>
    <row r="254" spans="3:12"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 spans="3:12">
      <c r="C255" s="23"/>
      <c r="D255" s="23"/>
      <c r="E255" s="23"/>
      <c r="F255" s="23"/>
      <c r="G255" s="23"/>
      <c r="H255" s="23"/>
      <c r="I255" s="23"/>
      <c r="J255" s="23"/>
      <c r="K255" s="23"/>
      <c r="L255" s="23"/>
    </row>
    <row r="256" spans="3:12">
      <c r="C256" s="23"/>
      <c r="D256" s="23"/>
      <c r="E256" s="23"/>
      <c r="F256" s="23"/>
      <c r="G256" s="23"/>
      <c r="H256" s="23"/>
      <c r="I256" s="23"/>
      <c r="J256" s="23"/>
      <c r="K256" s="23"/>
      <c r="L256" s="23"/>
    </row>
    <row r="257" spans="3:12">
      <c r="C257" s="23"/>
      <c r="D257" s="23"/>
      <c r="E257" s="23"/>
      <c r="F257" s="23"/>
      <c r="G257" s="23"/>
      <c r="H257" s="23"/>
      <c r="I257" s="23"/>
      <c r="J257" s="23"/>
      <c r="K257" s="23"/>
      <c r="L257" s="23"/>
    </row>
    <row r="258" spans="3:12">
      <c r="C258" s="23"/>
      <c r="D258" s="23"/>
      <c r="E258" s="23"/>
      <c r="F258" s="23"/>
      <c r="G258" s="23"/>
      <c r="H258" s="23"/>
      <c r="I258" s="23"/>
      <c r="J258" s="23"/>
      <c r="K258" s="23"/>
      <c r="L258" s="23"/>
    </row>
    <row r="259" spans="3:12">
      <c r="C259" s="23"/>
      <c r="D259" s="23"/>
      <c r="E259" s="23"/>
      <c r="F259" s="23"/>
      <c r="G259" s="23"/>
      <c r="H259" s="23"/>
      <c r="I259" s="23"/>
      <c r="J259" s="23"/>
      <c r="K259" s="23"/>
      <c r="L259" s="23"/>
    </row>
    <row r="260" spans="3:12">
      <c r="C260" s="23"/>
      <c r="D260" s="23"/>
      <c r="E260" s="23"/>
      <c r="F260" s="23"/>
      <c r="G260" s="23"/>
      <c r="H260" s="23"/>
      <c r="I260" s="23"/>
      <c r="J260" s="23"/>
      <c r="K260" s="23"/>
      <c r="L260" s="23"/>
    </row>
    <row r="261" spans="3:12"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 spans="3:12"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spans="3:12"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spans="3:12"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spans="3:12"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 spans="3:12"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 spans="3:12"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 spans="3:12"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 spans="3:12"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 spans="3:12"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spans="3:12"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 spans="3:12"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 spans="3:12"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 spans="3:12"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 spans="3:12"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 spans="3:12"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 spans="3:12"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 spans="3:12"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 spans="3:12"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 spans="3:12"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 spans="3:12"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 spans="3:12"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 spans="3:12"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 spans="3:12"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 spans="3:12"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 spans="3:12"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 spans="3:12"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 spans="3:12"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 spans="3:12"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3:12"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3:12"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3:12"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3:12"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3:12"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3:12"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3:12"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3:12"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3:12"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3:12"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3:12"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3:12"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3:12"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3:12"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3:12"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3:12"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3:12"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3:12"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3:12"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3:12">
      <c r="C309" s="23"/>
      <c r="D309" s="23"/>
      <c r="E309" s="23"/>
      <c r="F309" s="23"/>
      <c r="G309" s="23"/>
      <c r="H309" s="23"/>
      <c r="I309" s="23"/>
      <c r="J309" s="23"/>
      <c r="K309" s="23"/>
      <c r="L309" s="23"/>
    </row>
    <row r="310" spans="3:12">
      <c r="C310" s="23"/>
      <c r="D310" s="23"/>
      <c r="E310" s="23"/>
      <c r="F310" s="23"/>
      <c r="G310" s="23"/>
      <c r="H310" s="23"/>
      <c r="I310" s="23"/>
      <c r="J310" s="23"/>
      <c r="K310" s="23"/>
      <c r="L310" s="23"/>
    </row>
    <row r="311" spans="3:12">
      <c r="C311" s="23"/>
      <c r="D311" s="23"/>
      <c r="E311" s="23"/>
      <c r="F311" s="23"/>
      <c r="G311" s="23"/>
      <c r="H311" s="23"/>
      <c r="I311" s="23"/>
      <c r="J311" s="23"/>
      <c r="K311" s="23"/>
      <c r="L311" s="23"/>
    </row>
    <row r="312" spans="3:12">
      <c r="C312" s="23"/>
      <c r="D312" s="23"/>
      <c r="E312" s="23"/>
      <c r="F312" s="23"/>
      <c r="G312" s="23"/>
      <c r="H312" s="23"/>
      <c r="I312" s="23"/>
      <c r="J312" s="23"/>
      <c r="K312" s="23"/>
      <c r="L312" s="23"/>
    </row>
    <row r="313" spans="3:12">
      <c r="C313" s="23"/>
      <c r="D313" s="23"/>
      <c r="E313" s="23"/>
      <c r="F313" s="23"/>
      <c r="G313" s="23"/>
      <c r="H313" s="23"/>
      <c r="I313" s="23"/>
      <c r="J313" s="23"/>
      <c r="K313" s="23"/>
      <c r="L313" s="23"/>
    </row>
    <row r="314" spans="3:12">
      <c r="C314" s="23"/>
      <c r="D314" s="23"/>
      <c r="E314" s="23"/>
      <c r="F314" s="23"/>
      <c r="G314" s="23"/>
      <c r="H314" s="23"/>
      <c r="I314" s="23"/>
      <c r="J314" s="23"/>
      <c r="K314" s="23"/>
      <c r="L314" s="23"/>
    </row>
    <row r="315" spans="3:12">
      <c r="C315" s="23"/>
      <c r="D315" s="23"/>
      <c r="E315" s="23"/>
      <c r="F315" s="23"/>
      <c r="G315" s="23"/>
      <c r="H315" s="23"/>
      <c r="I315" s="23"/>
      <c r="J315" s="23"/>
      <c r="K315" s="23"/>
      <c r="L315" s="23"/>
    </row>
    <row r="316" spans="3:12">
      <c r="C316" s="23"/>
      <c r="D316" s="23"/>
      <c r="E316" s="23"/>
      <c r="F316" s="23"/>
      <c r="G316" s="23"/>
      <c r="H316" s="23"/>
      <c r="I316" s="23"/>
      <c r="J316" s="23"/>
      <c r="K316" s="23"/>
      <c r="L316" s="23"/>
    </row>
    <row r="317" spans="3:12">
      <c r="C317" s="23"/>
      <c r="D317" s="23"/>
      <c r="E317" s="23"/>
      <c r="F317" s="23"/>
      <c r="G317" s="23"/>
      <c r="H317" s="23"/>
      <c r="I317" s="23"/>
      <c r="J317" s="23"/>
      <c r="K317" s="23"/>
      <c r="L317" s="23"/>
    </row>
    <row r="318" spans="3:12">
      <c r="C318" s="23"/>
      <c r="D318" s="23"/>
      <c r="E318" s="23"/>
      <c r="F318" s="23"/>
      <c r="G318" s="23"/>
      <c r="H318" s="23"/>
      <c r="I318" s="23"/>
      <c r="J318" s="23"/>
      <c r="K318" s="23"/>
      <c r="L318" s="23"/>
    </row>
    <row r="319" spans="3:12">
      <c r="C319" s="23"/>
      <c r="D319" s="23"/>
      <c r="E319" s="23"/>
      <c r="F319" s="23"/>
      <c r="G319" s="23"/>
      <c r="H319" s="23"/>
      <c r="I319" s="23"/>
      <c r="J319" s="23"/>
      <c r="K319" s="23"/>
      <c r="L319" s="23"/>
    </row>
    <row r="320" spans="3:12">
      <c r="C320" s="23"/>
      <c r="D320" s="23"/>
      <c r="E320" s="23"/>
      <c r="F320" s="23"/>
      <c r="G320" s="23"/>
      <c r="H320" s="23"/>
      <c r="I320" s="23"/>
      <c r="J320" s="23"/>
      <c r="K320" s="23"/>
      <c r="L320" s="23"/>
    </row>
    <row r="321" spans="3:12">
      <c r="C321" s="23"/>
      <c r="D321" s="23"/>
      <c r="E321" s="23"/>
      <c r="F321" s="23"/>
      <c r="G321" s="23"/>
      <c r="H321" s="23"/>
      <c r="I321" s="23"/>
      <c r="J321" s="23"/>
      <c r="K321" s="23"/>
      <c r="L321" s="23"/>
    </row>
    <row r="322" spans="3:12">
      <c r="C322" s="23"/>
      <c r="D322" s="23"/>
      <c r="E322" s="23"/>
      <c r="F322" s="23"/>
      <c r="G322" s="23"/>
      <c r="H322" s="23"/>
      <c r="I322" s="23"/>
      <c r="J322" s="23"/>
      <c r="K322" s="23"/>
      <c r="L322" s="23"/>
    </row>
    <row r="323" spans="3:12">
      <c r="C323" s="23"/>
      <c r="D323" s="23"/>
      <c r="E323" s="23"/>
      <c r="F323" s="23"/>
      <c r="G323" s="23"/>
      <c r="H323" s="23"/>
      <c r="I323" s="23"/>
      <c r="J323" s="23"/>
      <c r="K323" s="23"/>
      <c r="L323" s="23"/>
    </row>
    <row r="324" spans="3:12">
      <c r="C324" s="23"/>
      <c r="D324" s="23"/>
      <c r="E324" s="23"/>
      <c r="F324" s="23"/>
      <c r="G324" s="23"/>
      <c r="H324" s="23"/>
      <c r="I324" s="23"/>
      <c r="J324" s="23"/>
      <c r="K324" s="23"/>
      <c r="L324" s="23"/>
    </row>
    <row r="325" spans="3:12">
      <c r="C325" s="23"/>
      <c r="D325" s="23"/>
      <c r="E325" s="23"/>
      <c r="F325" s="23"/>
      <c r="G325" s="23"/>
      <c r="H325" s="23"/>
      <c r="I325" s="23"/>
      <c r="J325" s="23"/>
      <c r="K325" s="23"/>
      <c r="L325" s="23"/>
    </row>
    <row r="326" spans="3:12">
      <c r="C326" s="23"/>
      <c r="D326" s="23"/>
      <c r="E326" s="23"/>
      <c r="F326" s="23"/>
      <c r="G326" s="23"/>
      <c r="H326" s="23"/>
      <c r="I326" s="23"/>
      <c r="J326" s="23"/>
      <c r="K326" s="23"/>
      <c r="L326" s="23"/>
    </row>
    <row r="327" spans="3:12"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 spans="3:12">
      <c r="C328" s="23"/>
      <c r="D328" s="23"/>
      <c r="E328" s="23"/>
      <c r="F328" s="23"/>
      <c r="G328" s="23"/>
      <c r="H328" s="23"/>
      <c r="I328" s="23"/>
      <c r="J328" s="23"/>
      <c r="K328" s="23"/>
      <c r="L328" s="23"/>
    </row>
    <row r="329" spans="3:12">
      <c r="C329" s="23"/>
      <c r="D329" s="23"/>
      <c r="E329" s="23"/>
      <c r="F329" s="23"/>
      <c r="G329" s="23"/>
      <c r="H329" s="23"/>
      <c r="I329" s="23"/>
      <c r="J329" s="23"/>
      <c r="K329" s="23"/>
      <c r="L329" s="23"/>
    </row>
    <row r="330" spans="3:12">
      <c r="C330" s="23"/>
      <c r="D330" s="23"/>
      <c r="E330" s="23"/>
      <c r="F330" s="23"/>
      <c r="G330" s="23"/>
      <c r="H330" s="23"/>
      <c r="I330" s="23"/>
      <c r="J330" s="23"/>
      <c r="K330" s="23"/>
      <c r="L330" s="23"/>
    </row>
    <row r="331" spans="3:12">
      <c r="C331" s="23"/>
      <c r="D331" s="23"/>
      <c r="E331" s="23"/>
      <c r="F331" s="23"/>
      <c r="G331" s="23"/>
      <c r="H331" s="23"/>
      <c r="I331" s="23"/>
      <c r="J331" s="23"/>
      <c r="K331" s="23"/>
      <c r="L331" s="23"/>
    </row>
    <row r="332" spans="3:12">
      <c r="C332" s="23"/>
      <c r="D332" s="23"/>
      <c r="E332" s="23"/>
      <c r="F332" s="23"/>
      <c r="G332" s="23"/>
      <c r="H332" s="23"/>
      <c r="I332" s="23"/>
      <c r="J332" s="23"/>
      <c r="K332" s="23"/>
      <c r="L332" s="23"/>
    </row>
    <row r="333" spans="3:12">
      <c r="C333" s="23"/>
      <c r="D333" s="23"/>
      <c r="E333" s="23"/>
      <c r="F333" s="23"/>
      <c r="G333" s="23"/>
      <c r="H333" s="23"/>
      <c r="I333" s="23"/>
      <c r="J333" s="23"/>
      <c r="K333" s="23"/>
      <c r="L333" s="23"/>
    </row>
    <row r="334" spans="3:12">
      <c r="C334" s="23"/>
      <c r="D334" s="23"/>
      <c r="E334" s="23"/>
      <c r="F334" s="23"/>
      <c r="G334" s="23"/>
      <c r="H334" s="23"/>
      <c r="I334" s="23"/>
      <c r="J334" s="23"/>
      <c r="K334" s="23"/>
      <c r="L334" s="23"/>
    </row>
    <row r="335" spans="3:12">
      <c r="C335" s="23"/>
      <c r="D335" s="23"/>
      <c r="E335" s="23"/>
      <c r="F335" s="23"/>
      <c r="G335" s="23"/>
      <c r="H335" s="23"/>
      <c r="I335" s="23"/>
      <c r="J335" s="23"/>
      <c r="K335" s="23"/>
      <c r="L335" s="23"/>
    </row>
    <row r="336" spans="3:12">
      <c r="C336" s="23"/>
      <c r="D336" s="23"/>
      <c r="E336" s="23"/>
      <c r="F336" s="23"/>
      <c r="G336" s="23"/>
      <c r="H336" s="23"/>
      <c r="I336" s="23"/>
      <c r="J336" s="23"/>
      <c r="K336" s="23"/>
      <c r="L336" s="23"/>
    </row>
    <row r="337" spans="3:12">
      <c r="C337" s="23"/>
      <c r="D337" s="23"/>
      <c r="E337" s="23"/>
      <c r="F337" s="23"/>
      <c r="G337" s="23"/>
      <c r="H337" s="23"/>
      <c r="I337" s="23"/>
      <c r="J337" s="23"/>
      <c r="K337" s="23"/>
      <c r="L337" s="23"/>
    </row>
    <row r="338" spans="3:12">
      <c r="C338" s="23"/>
      <c r="D338" s="23"/>
      <c r="E338" s="23"/>
      <c r="F338" s="23"/>
      <c r="G338" s="23"/>
      <c r="H338" s="23"/>
      <c r="I338" s="23"/>
      <c r="J338" s="23"/>
      <c r="K338" s="23"/>
      <c r="L338" s="23"/>
    </row>
    <row r="339" spans="3:12">
      <c r="C339" s="23"/>
      <c r="D339" s="23"/>
      <c r="E339" s="23"/>
      <c r="F339" s="23"/>
      <c r="G339" s="23"/>
      <c r="H339" s="23"/>
      <c r="I339" s="23"/>
      <c r="J339" s="23"/>
      <c r="K339" s="23"/>
      <c r="L339" s="23"/>
    </row>
    <row r="340" spans="3:12">
      <c r="C340" s="23"/>
      <c r="D340" s="23"/>
      <c r="E340" s="23"/>
      <c r="F340" s="23"/>
      <c r="G340" s="23"/>
      <c r="H340" s="23"/>
      <c r="I340" s="23"/>
      <c r="J340" s="23"/>
      <c r="K340" s="23"/>
      <c r="L340" s="23"/>
    </row>
    <row r="341" spans="3:12">
      <c r="C341" s="23"/>
      <c r="D341" s="23"/>
      <c r="E341" s="23"/>
      <c r="F341" s="23"/>
      <c r="G341" s="23"/>
      <c r="H341" s="23"/>
      <c r="I341" s="23"/>
      <c r="J341" s="23"/>
      <c r="K341" s="23"/>
      <c r="L341" s="23"/>
    </row>
    <row r="342" spans="3:12">
      <c r="C342" s="23"/>
      <c r="D342" s="23"/>
      <c r="E342" s="23"/>
      <c r="F342" s="23"/>
      <c r="G342" s="23"/>
      <c r="H342" s="23"/>
      <c r="I342" s="23"/>
      <c r="J342" s="23"/>
      <c r="K342" s="23"/>
      <c r="L342" s="23"/>
    </row>
    <row r="343" spans="3:12">
      <c r="C343" s="23"/>
      <c r="D343" s="23"/>
      <c r="E343" s="23"/>
      <c r="F343" s="23"/>
      <c r="G343" s="23"/>
      <c r="H343" s="23"/>
      <c r="I343" s="23"/>
      <c r="J343" s="23"/>
      <c r="K343" s="23"/>
      <c r="L343" s="23"/>
    </row>
    <row r="344" spans="3:12">
      <c r="C344" s="23"/>
      <c r="D344" s="23"/>
      <c r="E344" s="23"/>
      <c r="F344" s="23"/>
      <c r="G344" s="23"/>
      <c r="H344" s="23"/>
      <c r="I344" s="23"/>
      <c r="J344" s="23"/>
      <c r="K344" s="23"/>
      <c r="L344" s="23"/>
    </row>
    <row r="345" spans="3:12">
      <c r="C345" s="23"/>
      <c r="D345" s="23"/>
      <c r="E345" s="23"/>
      <c r="F345" s="23"/>
      <c r="G345" s="23"/>
      <c r="H345" s="23"/>
      <c r="I345" s="23"/>
      <c r="J345" s="23"/>
      <c r="K345" s="23"/>
      <c r="L345" s="23"/>
    </row>
    <row r="346" spans="3:12">
      <c r="C346" s="23"/>
      <c r="D346" s="23"/>
      <c r="E346" s="23"/>
      <c r="F346" s="23"/>
      <c r="G346" s="23"/>
      <c r="H346" s="23"/>
      <c r="I346" s="23"/>
      <c r="J346" s="23"/>
      <c r="K346" s="23"/>
      <c r="L346" s="23"/>
    </row>
    <row r="347" spans="3:12">
      <c r="C347" s="23"/>
      <c r="D347" s="23"/>
      <c r="E347" s="23"/>
      <c r="F347" s="23"/>
      <c r="G347" s="23"/>
      <c r="H347" s="23"/>
      <c r="I347" s="23"/>
      <c r="J347" s="23"/>
      <c r="K347" s="23"/>
      <c r="L347" s="23"/>
    </row>
    <row r="348" spans="3:12">
      <c r="C348" s="23"/>
      <c r="D348" s="23"/>
      <c r="E348" s="23"/>
      <c r="F348" s="23"/>
      <c r="G348" s="23"/>
      <c r="H348" s="23"/>
      <c r="I348" s="23"/>
      <c r="J348" s="23"/>
      <c r="K348" s="23"/>
      <c r="L348" s="23"/>
    </row>
    <row r="349" spans="3:12">
      <c r="C349" s="23"/>
      <c r="D349" s="23"/>
      <c r="E349" s="23"/>
      <c r="F349" s="23"/>
      <c r="G349" s="23"/>
      <c r="H349" s="23"/>
      <c r="I349" s="23"/>
      <c r="J349" s="23"/>
      <c r="K349" s="23"/>
      <c r="L349" s="23"/>
    </row>
    <row r="350" spans="3:12">
      <c r="C350" s="23"/>
      <c r="D350" s="23"/>
      <c r="E350" s="23"/>
      <c r="F350" s="23"/>
      <c r="G350" s="23"/>
      <c r="H350" s="23"/>
      <c r="I350" s="23"/>
      <c r="J350" s="23"/>
      <c r="K350" s="23"/>
      <c r="L350" s="23"/>
    </row>
    <row r="351" spans="3:12">
      <c r="C351" s="23"/>
      <c r="D351" s="23"/>
      <c r="E351" s="23"/>
      <c r="F351" s="23"/>
      <c r="G351" s="23"/>
      <c r="H351" s="23"/>
      <c r="I351" s="23"/>
      <c r="J351" s="23"/>
      <c r="K351" s="23"/>
      <c r="L351" s="23"/>
    </row>
    <row r="352" spans="3:12">
      <c r="C352" s="23"/>
      <c r="D352" s="23"/>
      <c r="E352" s="23"/>
      <c r="F352" s="23"/>
      <c r="G352" s="23"/>
      <c r="H352" s="23"/>
      <c r="I352" s="23"/>
      <c r="J352" s="23"/>
      <c r="K352" s="23"/>
      <c r="L352" s="23"/>
    </row>
    <row r="353" spans="3:12">
      <c r="C353" s="23"/>
      <c r="D353" s="23"/>
      <c r="E353" s="23"/>
      <c r="F353" s="23"/>
      <c r="G353" s="23"/>
      <c r="H353" s="23"/>
      <c r="I353" s="23"/>
      <c r="J353" s="23"/>
      <c r="K353" s="23"/>
      <c r="L353" s="23"/>
    </row>
    <row r="354" spans="3:12">
      <c r="C354" s="23"/>
      <c r="D354" s="23"/>
      <c r="E354" s="23"/>
      <c r="F354" s="23"/>
      <c r="G354" s="23"/>
      <c r="H354" s="23"/>
      <c r="I354" s="23"/>
      <c r="J354" s="23"/>
      <c r="K354" s="23"/>
      <c r="L354" s="23"/>
    </row>
    <row r="355" spans="3:12">
      <c r="C355" s="23"/>
      <c r="D355" s="23"/>
      <c r="E355" s="23"/>
      <c r="F355" s="23"/>
      <c r="G355" s="23"/>
      <c r="H355" s="23"/>
      <c r="I355" s="23"/>
      <c r="J355" s="23"/>
      <c r="K355" s="23"/>
      <c r="L355" s="23"/>
    </row>
    <row r="356" spans="3:12">
      <c r="C356" s="23"/>
      <c r="D356" s="23"/>
      <c r="E356" s="23"/>
      <c r="F356" s="23"/>
      <c r="G356" s="23"/>
      <c r="H356" s="23"/>
      <c r="I356" s="23"/>
      <c r="J356" s="23"/>
      <c r="K356" s="23"/>
      <c r="L356" s="23"/>
    </row>
    <row r="357" spans="3:12">
      <c r="C357" s="23"/>
      <c r="D357" s="23"/>
      <c r="E357" s="23"/>
      <c r="F357" s="23"/>
      <c r="G357" s="23"/>
      <c r="H357" s="23"/>
      <c r="I357" s="23"/>
      <c r="J357" s="23"/>
      <c r="K357" s="23"/>
      <c r="L357" s="23"/>
    </row>
    <row r="358" spans="3:12">
      <c r="C358" s="23"/>
      <c r="D358" s="23"/>
      <c r="E358" s="23"/>
      <c r="F358" s="23"/>
      <c r="G358" s="23"/>
      <c r="H358" s="23"/>
      <c r="I358" s="23"/>
      <c r="J358" s="23"/>
      <c r="K358" s="23"/>
      <c r="L358" s="23"/>
    </row>
    <row r="359" spans="3:12">
      <c r="C359" s="23"/>
      <c r="D359" s="23"/>
      <c r="E359" s="23"/>
      <c r="F359" s="23"/>
      <c r="G359" s="23"/>
      <c r="H359" s="23"/>
      <c r="I359" s="23"/>
      <c r="J359" s="23"/>
      <c r="K359" s="23"/>
      <c r="L359" s="23"/>
    </row>
    <row r="360" spans="3:12">
      <c r="C360" s="23"/>
      <c r="D360" s="23"/>
      <c r="E360" s="23"/>
      <c r="F360" s="23"/>
      <c r="G360" s="23"/>
      <c r="H360" s="23"/>
      <c r="I360" s="23"/>
      <c r="J360" s="23"/>
      <c r="K360" s="23"/>
      <c r="L360" s="23"/>
    </row>
    <row r="361" spans="3:12">
      <c r="C361" s="23"/>
      <c r="D361" s="23"/>
      <c r="E361" s="23"/>
      <c r="F361" s="23"/>
      <c r="G361" s="23"/>
      <c r="H361" s="23"/>
      <c r="I361" s="23"/>
      <c r="J361" s="23"/>
      <c r="K361" s="23"/>
      <c r="L361" s="23"/>
    </row>
    <row r="362" spans="3:12">
      <c r="C362" s="23"/>
      <c r="D362" s="23"/>
      <c r="E362" s="23"/>
      <c r="F362" s="23"/>
      <c r="G362" s="23"/>
      <c r="H362" s="23"/>
      <c r="I362" s="23"/>
      <c r="J362" s="23"/>
      <c r="K362" s="23"/>
      <c r="L362" s="23"/>
    </row>
    <row r="363" spans="3:12">
      <c r="C363" s="23"/>
      <c r="D363" s="23"/>
      <c r="E363" s="23"/>
      <c r="F363" s="23"/>
      <c r="G363" s="23"/>
      <c r="H363" s="23"/>
      <c r="I363" s="23"/>
      <c r="J363" s="23"/>
      <c r="K363" s="23"/>
      <c r="L363" s="23"/>
    </row>
    <row r="364" spans="3:12">
      <c r="C364" s="23"/>
      <c r="D364" s="23"/>
      <c r="E364" s="23"/>
      <c r="F364" s="23"/>
      <c r="G364" s="23"/>
      <c r="H364" s="23"/>
      <c r="I364" s="23"/>
      <c r="J364" s="23"/>
      <c r="K364" s="23"/>
      <c r="L364" s="23"/>
    </row>
    <row r="365" spans="3:12">
      <c r="C365" s="23"/>
      <c r="D365" s="23"/>
      <c r="E365" s="23"/>
      <c r="F365" s="23"/>
      <c r="G365" s="23"/>
      <c r="H365" s="23"/>
      <c r="I365" s="23"/>
      <c r="J365" s="23"/>
      <c r="K365" s="23"/>
      <c r="L365" s="23"/>
    </row>
    <row r="366" spans="3:12">
      <c r="C366" s="23"/>
      <c r="D366" s="23"/>
      <c r="E366" s="23"/>
      <c r="F366" s="23"/>
      <c r="G366" s="23"/>
      <c r="H366" s="23"/>
      <c r="I366" s="23"/>
      <c r="J366" s="23"/>
      <c r="K366" s="23"/>
      <c r="L366" s="23"/>
    </row>
    <row r="367" spans="3:12">
      <c r="C367" s="23"/>
      <c r="D367" s="23"/>
      <c r="E367" s="23"/>
      <c r="F367" s="23"/>
      <c r="G367" s="23"/>
      <c r="H367" s="23"/>
      <c r="I367" s="23"/>
      <c r="J367" s="23"/>
      <c r="K367" s="23"/>
      <c r="L367" s="23"/>
    </row>
    <row r="368" spans="3:12">
      <c r="C368" s="23"/>
      <c r="D368" s="23"/>
      <c r="E368" s="23"/>
      <c r="F368" s="23"/>
      <c r="G368" s="23"/>
      <c r="H368" s="23"/>
      <c r="I368" s="23"/>
      <c r="J368" s="23"/>
      <c r="K368" s="23"/>
      <c r="L368" s="23"/>
    </row>
    <row r="369" spans="3:12">
      <c r="C369" s="23"/>
      <c r="D369" s="23"/>
      <c r="E369" s="23"/>
      <c r="F369" s="23"/>
      <c r="G369" s="23"/>
      <c r="H369" s="23"/>
      <c r="I369" s="23"/>
      <c r="J369" s="23"/>
      <c r="K369" s="23"/>
      <c r="L369" s="23"/>
    </row>
    <row r="370" spans="3:12">
      <c r="C370" s="23"/>
      <c r="D370" s="23"/>
      <c r="E370" s="23"/>
      <c r="F370" s="23"/>
      <c r="G370" s="23"/>
      <c r="H370" s="23"/>
      <c r="I370" s="23"/>
      <c r="J370" s="23"/>
      <c r="K370" s="23"/>
      <c r="L370" s="23"/>
    </row>
    <row r="371" spans="3:12">
      <c r="C371" s="23"/>
      <c r="D371" s="23"/>
      <c r="E371" s="23"/>
      <c r="F371" s="23"/>
      <c r="G371" s="23"/>
      <c r="H371" s="23"/>
      <c r="I371" s="23"/>
      <c r="J371" s="23"/>
      <c r="K371" s="23"/>
      <c r="L371" s="23"/>
    </row>
    <row r="372" spans="3:12">
      <c r="C372" s="23"/>
      <c r="D372" s="23"/>
      <c r="E372" s="23"/>
      <c r="F372" s="23"/>
      <c r="G372" s="23"/>
      <c r="H372" s="23"/>
      <c r="I372" s="23"/>
      <c r="J372" s="23"/>
      <c r="K372" s="23"/>
      <c r="L372" s="23"/>
    </row>
    <row r="373" spans="3:12">
      <c r="C373" s="23"/>
      <c r="D373" s="23"/>
      <c r="E373" s="23"/>
      <c r="F373" s="23"/>
      <c r="G373" s="23"/>
      <c r="H373" s="23"/>
      <c r="I373" s="23"/>
      <c r="J373" s="23"/>
      <c r="K373" s="23"/>
      <c r="L373" s="23"/>
    </row>
    <row r="374" spans="3:12">
      <c r="C374" s="23"/>
      <c r="D374" s="23"/>
      <c r="E374" s="23"/>
      <c r="F374" s="23"/>
      <c r="G374" s="23"/>
      <c r="H374" s="23"/>
      <c r="I374" s="23"/>
      <c r="J374" s="23"/>
      <c r="K374" s="23"/>
      <c r="L374" s="23"/>
    </row>
    <row r="375" spans="3:12">
      <c r="C375" s="23"/>
      <c r="D375" s="23"/>
      <c r="E375" s="23"/>
      <c r="F375" s="23"/>
      <c r="G375" s="23"/>
      <c r="H375" s="23"/>
      <c r="I375" s="23"/>
      <c r="J375" s="23"/>
      <c r="K375" s="23"/>
      <c r="L375" s="23"/>
    </row>
    <row r="376" spans="3:12">
      <c r="C376" s="23"/>
      <c r="D376" s="23"/>
      <c r="E376" s="23"/>
      <c r="F376" s="23"/>
      <c r="G376" s="23"/>
      <c r="H376" s="23"/>
      <c r="I376" s="23"/>
      <c r="J376" s="23"/>
      <c r="K376" s="23"/>
      <c r="L376" s="23"/>
    </row>
    <row r="377" spans="3:12">
      <c r="C377" s="23"/>
      <c r="D377" s="23"/>
      <c r="E377" s="23"/>
      <c r="F377" s="23"/>
      <c r="G377" s="23"/>
      <c r="H377" s="23"/>
      <c r="I377" s="23"/>
      <c r="J377" s="23"/>
      <c r="K377" s="23"/>
      <c r="L377" s="23"/>
    </row>
    <row r="378" spans="3:12">
      <c r="C378" s="23"/>
      <c r="D378" s="23"/>
      <c r="E378" s="23"/>
      <c r="F378" s="23"/>
      <c r="G378" s="23"/>
      <c r="H378" s="23"/>
      <c r="I378" s="23"/>
      <c r="J378" s="23"/>
      <c r="K378" s="23"/>
      <c r="L378" s="23"/>
    </row>
    <row r="379" spans="3:12">
      <c r="C379" s="23"/>
      <c r="D379" s="23"/>
      <c r="E379" s="23"/>
      <c r="F379" s="23"/>
      <c r="G379" s="23"/>
      <c r="H379" s="23"/>
      <c r="I379" s="23"/>
      <c r="J379" s="23"/>
      <c r="K379" s="23"/>
      <c r="L379" s="23"/>
    </row>
    <row r="380" spans="3:12">
      <c r="C380" s="23"/>
      <c r="D380" s="23"/>
      <c r="E380" s="23"/>
      <c r="F380" s="23"/>
      <c r="G380" s="23"/>
      <c r="H380" s="23"/>
      <c r="I380" s="23"/>
      <c r="J380" s="23"/>
      <c r="K380" s="23"/>
      <c r="L380" s="23"/>
    </row>
    <row r="381" spans="3:12">
      <c r="C381" s="23"/>
      <c r="D381" s="23"/>
      <c r="E381" s="23"/>
      <c r="F381" s="23"/>
      <c r="G381" s="23"/>
      <c r="H381" s="23"/>
      <c r="I381" s="23"/>
      <c r="J381" s="23"/>
      <c r="K381" s="23"/>
      <c r="L381" s="23"/>
    </row>
    <row r="382" spans="3:12">
      <c r="C382" s="23"/>
      <c r="D382" s="23"/>
      <c r="E382" s="23"/>
      <c r="F382" s="23"/>
      <c r="G382" s="23"/>
      <c r="H382" s="23"/>
      <c r="I382" s="23"/>
      <c r="J382" s="23"/>
      <c r="K382" s="23"/>
      <c r="L382" s="23"/>
    </row>
    <row r="383" spans="3:12">
      <c r="C383" s="23"/>
      <c r="D383" s="23"/>
      <c r="E383" s="23"/>
      <c r="F383" s="23"/>
      <c r="G383" s="23"/>
      <c r="H383" s="23"/>
      <c r="I383" s="23"/>
      <c r="J383" s="23"/>
      <c r="K383" s="23"/>
      <c r="L383" s="23"/>
    </row>
    <row r="384" spans="3:12">
      <c r="C384" s="23"/>
      <c r="D384" s="23"/>
      <c r="E384" s="23"/>
      <c r="F384" s="23"/>
      <c r="G384" s="23"/>
      <c r="H384" s="23"/>
      <c r="I384" s="23"/>
      <c r="J384" s="23"/>
      <c r="K384" s="23"/>
      <c r="L384" s="23"/>
    </row>
    <row r="385" spans="3:12">
      <c r="C385" s="23"/>
      <c r="D385" s="23"/>
      <c r="E385" s="23"/>
      <c r="F385" s="23"/>
      <c r="G385" s="23"/>
      <c r="H385" s="23"/>
      <c r="I385" s="23"/>
      <c r="J385" s="23"/>
      <c r="K385" s="23"/>
      <c r="L385" s="23"/>
    </row>
    <row r="386" spans="3:12">
      <c r="C386" s="23"/>
      <c r="D386" s="23"/>
      <c r="E386" s="23"/>
      <c r="F386" s="23"/>
      <c r="G386" s="23"/>
      <c r="H386" s="23"/>
      <c r="I386" s="23"/>
      <c r="J386" s="23"/>
      <c r="K386" s="23"/>
      <c r="L386" s="23"/>
    </row>
    <row r="387" spans="3:12">
      <c r="C387" s="23"/>
      <c r="D387" s="23"/>
      <c r="E387" s="23"/>
      <c r="F387" s="23"/>
      <c r="G387" s="23"/>
      <c r="H387" s="23"/>
      <c r="I387" s="23"/>
      <c r="J387" s="23"/>
      <c r="K387" s="23"/>
      <c r="L387" s="23"/>
    </row>
    <row r="388" spans="3:12">
      <c r="C388" s="23"/>
      <c r="D388" s="23"/>
      <c r="E388" s="23"/>
      <c r="F388" s="23"/>
      <c r="G388" s="23"/>
      <c r="H388" s="23"/>
      <c r="I388" s="23"/>
      <c r="J388" s="23"/>
      <c r="K388" s="23"/>
      <c r="L388" s="23"/>
    </row>
    <row r="389" spans="3:12">
      <c r="C389" s="23"/>
      <c r="D389" s="23"/>
      <c r="E389" s="23"/>
      <c r="F389" s="23"/>
      <c r="G389" s="23"/>
      <c r="H389" s="23"/>
      <c r="I389" s="23"/>
      <c r="J389" s="23"/>
      <c r="K389" s="23"/>
      <c r="L389" s="23"/>
    </row>
    <row r="390" spans="3:12">
      <c r="C390" s="23"/>
      <c r="D390" s="23"/>
      <c r="E390" s="23"/>
      <c r="F390" s="23"/>
      <c r="G390" s="23"/>
      <c r="H390" s="23"/>
      <c r="I390" s="23"/>
      <c r="J390" s="23"/>
      <c r="K390" s="23"/>
      <c r="L390" s="23"/>
    </row>
    <row r="391" spans="3:12">
      <c r="C391" s="23"/>
      <c r="D391" s="23"/>
      <c r="E391" s="23"/>
      <c r="F391" s="23"/>
      <c r="G391" s="23"/>
      <c r="H391" s="23"/>
      <c r="I391" s="23"/>
      <c r="J391" s="23"/>
      <c r="K391" s="23"/>
      <c r="L391" s="23"/>
    </row>
    <row r="392" spans="3:12">
      <c r="C392" s="23"/>
      <c r="D392" s="23"/>
      <c r="E392" s="23"/>
      <c r="F392" s="23"/>
      <c r="G392" s="23"/>
      <c r="H392" s="23"/>
      <c r="I392" s="23"/>
      <c r="J392" s="23"/>
      <c r="K392" s="23"/>
      <c r="L392" s="23"/>
    </row>
    <row r="393" spans="3:12">
      <c r="C393" s="23"/>
      <c r="D393" s="23"/>
      <c r="E393" s="23"/>
      <c r="F393" s="23"/>
      <c r="G393" s="23"/>
      <c r="H393" s="23"/>
      <c r="I393" s="23"/>
      <c r="J393" s="23"/>
      <c r="K393" s="23"/>
      <c r="L393" s="23"/>
    </row>
    <row r="394" spans="3:12">
      <c r="C394" s="23"/>
      <c r="D394" s="23"/>
      <c r="E394" s="23"/>
      <c r="F394" s="23"/>
      <c r="G394" s="23"/>
      <c r="H394" s="23"/>
      <c r="I394" s="23"/>
      <c r="J394" s="23"/>
      <c r="K394" s="23"/>
      <c r="L394" s="23"/>
    </row>
    <row r="395" spans="3:12">
      <c r="C395" s="23"/>
      <c r="D395" s="23"/>
      <c r="E395" s="23"/>
      <c r="F395" s="23"/>
      <c r="G395" s="23"/>
      <c r="H395" s="23"/>
      <c r="I395" s="23"/>
      <c r="J395" s="23"/>
      <c r="K395" s="23"/>
      <c r="L395" s="23"/>
    </row>
    <row r="396" spans="3:12">
      <c r="C396" s="23"/>
      <c r="D396" s="23"/>
      <c r="E396" s="23"/>
      <c r="F396" s="23"/>
      <c r="G396" s="23"/>
      <c r="H396" s="23"/>
      <c r="I396" s="23"/>
      <c r="J396" s="23"/>
      <c r="K396" s="23"/>
      <c r="L396" s="23"/>
    </row>
    <row r="397" spans="3:12">
      <c r="C397" s="23"/>
      <c r="D397" s="23"/>
      <c r="E397" s="23"/>
      <c r="F397" s="23"/>
      <c r="G397" s="23"/>
      <c r="H397" s="23"/>
      <c r="I397" s="23"/>
      <c r="J397" s="23"/>
      <c r="K397" s="23"/>
      <c r="L397" s="23"/>
    </row>
    <row r="398" spans="3:12">
      <c r="C398" s="23"/>
      <c r="D398" s="23"/>
      <c r="E398" s="23"/>
      <c r="F398" s="23"/>
      <c r="G398" s="23"/>
      <c r="H398" s="23"/>
      <c r="I398" s="23"/>
      <c r="J398" s="23"/>
      <c r="K398" s="23"/>
      <c r="L398" s="23"/>
    </row>
    <row r="399" spans="3:12">
      <c r="C399" s="23"/>
      <c r="D399" s="23"/>
      <c r="E399" s="23"/>
      <c r="F399" s="23"/>
      <c r="G399" s="23"/>
      <c r="H399" s="23"/>
      <c r="I399" s="23"/>
      <c r="J399" s="23"/>
      <c r="K399" s="23"/>
      <c r="L399" s="23"/>
    </row>
    <row r="400" spans="3:12">
      <c r="C400" s="23"/>
      <c r="D400" s="23"/>
      <c r="E400" s="23"/>
      <c r="F400" s="23"/>
      <c r="G400" s="23"/>
      <c r="H400" s="23"/>
      <c r="I400" s="23"/>
      <c r="J400" s="23"/>
      <c r="K400" s="23"/>
      <c r="L400" s="23"/>
    </row>
    <row r="401" spans="3:12">
      <c r="C401" s="23"/>
      <c r="D401" s="23"/>
      <c r="E401" s="23"/>
      <c r="F401" s="23"/>
      <c r="G401" s="23"/>
      <c r="H401" s="23"/>
      <c r="I401" s="23"/>
      <c r="J401" s="23"/>
      <c r="K401" s="23"/>
      <c r="L401" s="23"/>
    </row>
    <row r="402" spans="3:12">
      <c r="C402" s="23"/>
      <c r="D402" s="23"/>
      <c r="E402" s="23"/>
      <c r="F402" s="23"/>
      <c r="G402" s="23"/>
      <c r="H402" s="23"/>
      <c r="I402" s="23"/>
      <c r="J402" s="23"/>
      <c r="K402" s="23"/>
      <c r="L402" s="23"/>
    </row>
    <row r="403" spans="3:12">
      <c r="C403" s="23"/>
      <c r="D403" s="23"/>
      <c r="E403" s="23"/>
      <c r="F403" s="23"/>
      <c r="G403" s="23"/>
      <c r="H403" s="23"/>
      <c r="I403" s="23"/>
      <c r="J403" s="23"/>
      <c r="K403" s="23"/>
      <c r="L403" s="23"/>
    </row>
    <row r="404" spans="3:12">
      <c r="C404" s="23"/>
      <c r="D404" s="23"/>
      <c r="E404" s="23"/>
      <c r="F404" s="23"/>
      <c r="G404" s="23"/>
      <c r="H404" s="23"/>
      <c r="I404" s="23"/>
      <c r="J404" s="23"/>
      <c r="K404" s="23"/>
      <c r="L404" s="23"/>
    </row>
    <row r="405" spans="3:12">
      <c r="C405" s="23"/>
      <c r="D405" s="23"/>
      <c r="E405" s="23"/>
      <c r="F405" s="23"/>
      <c r="G405" s="23"/>
      <c r="H405" s="23"/>
      <c r="I405" s="23"/>
      <c r="J405" s="23"/>
      <c r="K405" s="23"/>
      <c r="L405" s="23"/>
    </row>
    <row r="406" spans="3:12">
      <c r="C406" s="23"/>
      <c r="D406" s="23"/>
      <c r="E406" s="23"/>
      <c r="F406" s="23"/>
      <c r="G406" s="23"/>
      <c r="H406" s="23"/>
      <c r="I406" s="23"/>
      <c r="J406" s="23"/>
      <c r="K406" s="23"/>
      <c r="L406" s="23"/>
    </row>
    <row r="407" spans="3:12">
      <c r="C407" s="23"/>
      <c r="D407" s="23"/>
      <c r="E407" s="23"/>
      <c r="F407" s="23"/>
      <c r="G407" s="23"/>
      <c r="H407" s="23"/>
      <c r="I407" s="23"/>
      <c r="J407" s="23"/>
      <c r="K407" s="23"/>
      <c r="L407" s="23"/>
    </row>
    <row r="408" spans="3:12">
      <c r="C408" s="23"/>
      <c r="D408" s="23"/>
      <c r="E408" s="23"/>
      <c r="F408" s="23"/>
      <c r="G408" s="23"/>
      <c r="H408" s="23"/>
      <c r="I408" s="23"/>
      <c r="J408" s="23"/>
      <c r="K408" s="23"/>
      <c r="L408" s="23"/>
    </row>
    <row r="409" spans="3:12">
      <c r="C409" s="23"/>
      <c r="D409" s="23"/>
      <c r="E409" s="23"/>
      <c r="F409" s="23"/>
      <c r="G409" s="23"/>
      <c r="H409" s="23"/>
      <c r="I409" s="23"/>
      <c r="J409" s="23"/>
      <c r="K409" s="23"/>
      <c r="L409" s="23"/>
    </row>
    <row r="410" spans="3:12">
      <c r="C410" s="23"/>
      <c r="D410" s="23"/>
      <c r="E410" s="23"/>
      <c r="F410" s="23"/>
      <c r="G410" s="23"/>
      <c r="H410" s="23"/>
      <c r="I410" s="23"/>
      <c r="J410" s="23"/>
      <c r="K410" s="23"/>
      <c r="L410" s="23"/>
    </row>
    <row r="411" spans="3:12">
      <c r="C411" s="23"/>
      <c r="D411" s="23"/>
      <c r="E411" s="23"/>
      <c r="F411" s="23"/>
      <c r="G411" s="23"/>
      <c r="H411" s="23"/>
      <c r="I411" s="23"/>
      <c r="J411" s="23"/>
      <c r="K411" s="23"/>
      <c r="L411" s="23"/>
    </row>
    <row r="412" spans="3:12">
      <c r="C412" s="23"/>
      <c r="D412" s="23"/>
      <c r="E412" s="23"/>
      <c r="F412" s="23"/>
      <c r="G412" s="23"/>
      <c r="H412" s="23"/>
      <c r="I412" s="23"/>
      <c r="J412" s="23"/>
      <c r="K412" s="23"/>
      <c r="L412" s="23"/>
    </row>
    <row r="413" spans="3:12">
      <c r="C413" s="23"/>
      <c r="D413" s="23"/>
      <c r="E413" s="23"/>
      <c r="F413" s="23"/>
      <c r="G413" s="23"/>
      <c r="H413" s="23"/>
      <c r="I413" s="23"/>
      <c r="J413" s="23"/>
      <c r="K413" s="23"/>
      <c r="L413" s="23"/>
    </row>
    <row r="414" spans="3:12">
      <c r="C414" s="23"/>
      <c r="D414" s="23"/>
      <c r="E414" s="23"/>
      <c r="F414" s="23"/>
      <c r="G414" s="23"/>
      <c r="H414" s="23"/>
      <c r="I414" s="23"/>
      <c r="J414" s="23"/>
      <c r="K414" s="23"/>
      <c r="L414" s="23"/>
    </row>
    <row r="415" spans="3:12">
      <c r="C415" s="23"/>
      <c r="D415" s="23"/>
      <c r="E415" s="23"/>
      <c r="F415" s="23"/>
      <c r="G415" s="23"/>
      <c r="H415" s="23"/>
      <c r="I415" s="23"/>
      <c r="J415" s="23"/>
      <c r="K415" s="23"/>
      <c r="L415" s="23"/>
    </row>
    <row r="416" spans="3:12">
      <c r="C416" s="23"/>
      <c r="D416" s="23"/>
      <c r="E416" s="23"/>
      <c r="F416" s="23"/>
      <c r="G416" s="23"/>
      <c r="H416" s="23"/>
      <c r="I416" s="23"/>
      <c r="J416" s="23"/>
      <c r="K416" s="23"/>
      <c r="L416" s="23"/>
    </row>
    <row r="417" spans="3:12">
      <c r="C417" s="23"/>
      <c r="D417" s="23"/>
      <c r="E417" s="23"/>
      <c r="F417" s="23"/>
      <c r="G417" s="23"/>
      <c r="H417" s="23"/>
      <c r="I417" s="23"/>
      <c r="J417" s="23"/>
      <c r="K417" s="23"/>
      <c r="L417" s="23"/>
    </row>
    <row r="418" spans="3:12">
      <c r="C418" s="23"/>
      <c r="D418" s="23"/>
      <c r="E418" s="23"/>
      <c r="F418" s="23"/>
      <c r="G418" s="23"/>
      <c r="H418" s="23"/>
      <c r="I418" s="23"/>
      <c r="J418" s="23"/>
      <c r="K418" s="23"/>
      <c r="L418" s="23"/>
    </row>
    <row r="419" spans="3:12">
      <c r="C419" s="23"/>
      <c r="D419" s="23"/>
      <c r="E419" s="23"/>
      <c r="F419" s="23"/>
      <c r="G419" s="23"/>
      <c r="H419" s="23"/>
      <c r="I419" s="23"/>
      <c r="J419" s="23"/>
      <c r="K419" s="23"/>
      <c r="L419" s="23"/>
    </row>
    <row r="420" spans="3:12">
      <c r="C420" s="23"/>
      <c r="D420" s="23"/>
      <c r="E420" s="23"/>
      <c r="F420" s="23"/>
      <c r="G420" s="23"/>
      <c r="H420" s="23"/>
      <c r="I420" s="23"/>
      <c r="J420" s="23"/>
      <c r="K420" s="23"/>
      <c r="L420" s="23"/>
    </row>
    <row r="421" spans="3:12">
      <c r="C421" s="23"/>
      <c r="D421" s="23"/>
      <c r="E421" s="23"/>
      <c r="F421" s="23"/>
      <c r="G421" s="23"/>
      <c r="H421" s="23"/>
      <c r="I421" s="23"/>
      <c r="J421" s="23"/>
      <c r="K421" s="23"/>
      <c r="L421" s="23"/>
    </row>
    <row r="422" spans="3:12">
      <c r="C422" s="23"/>
      <c r="D422" s="23"/>
      <c r="E422" s="23"/>
      <c r="F422" s="23"/>
      <c r="G422" s="23"/>
      <c r="H422" s="23"/>
      <c r="I422" s="23"/>
      <c r="J422" s="23"/>
      <c r="K422" s="23"/>
      <c r="L422" s="23"/>
    </row>
    <row r="423" spans="3:12">
      <c r="C423" s="23"/>
      <c r="D423" s="23"/>
      <c r="E423" s="23"/>
      <c r="F423" s="23"/>
      <c r="G423" s="23"/>
      <c r="H423" s="23"/>
      <c r="I423" s="23"/>
      <c r="J423" s="23"/>
      <c r="K423" s="23"/>
      <c r="L423" s="23"/>
    </row>
    <row r="424" spans="3:12">
      <c r="C424" s="23"/>
      <c r="D424" s="23"/>
      <c r="E424" s="23"/>
      <c r="F424" s="23"/>
      <c r="G424" s="23"/>
      <c r="H424" s="23"/>
      <c r="I424" s="23"/>
      <c r="J424" s="23"/>
      <c r="K424" s="23"/>
      <c r="L424" s="23"/>
    </row>
  </sheetData>
  <sortState xmlns:xlrd2="http://schemas.microsoft.com/office/spreadsheetml/2017/richdata2" ref="A4:C41">
    <sortCondition ref="A4:A41"/>
  </sortState>
  <customSheetViews>
    <customSheetView guid="{DE7C2479-4243-442D-8A3C-4D0E1EDB2109}" scale="110" showPageBreaks="1" fitToPage="1" printArea="1">
      <pane xSplit="3" ySplit="3" topLeftCell="N18" activePane="bottomRight" state="frozen"/>
      <selection pane="bottomRight" activeCell="AT24" sqref="AT24:BK41"/>
      <pageMargins left="0.23" right="0.2" top="1" bottom="1" header="0.5" footer="0.5"/>
      <printOptions gridLines="1"/>
      <pageSetup paperSize="5" orientation="landscape" r:id="rId1"/>
      <headerFooter alignWithMargins="0">
        <oddHeader xml:space="preserve">&amp;L2014 TSA Dual Meet Results&amp;CNorthern League&amp;R&amp;D
</oddHeader>
      </headerFooter>
    </customSheetView>
    <customSheetView guid="{DEF8AD2E-C46F-4190-A88E-C6B69C1F99BB}" scale="110" showPageBreaks="1" fitToPage="1" printArea="1">
      <pane xSplit="3" ySplit="3" topLeftCell="D10" activePane="bottomRight" state="frozen"/>
      <selection pane="bottomRight" activeCell="G1" sqref="G1"/>
      <pageMargins left="0.23" right="0.2" top="1" bottom="1" header="0.5" footer="0.5"/>
      <printOptions gridLines="1"/>
      <pageSetup paperSize="5" scale="82" orientation="landscape" r:id="rId2"/>
      <headerFooter alignWithMargins="0">
        <oddHeader xml:space="preserve">&amp;L2014 TSA Dual Meet Results&amp;CNorthern League&amp;R&amp;D
</oddHeader>
      </headerFooter>
    </customSheetView>
    <customSheetView guid="{BDC744E3-8A98-4FFB-AA7D-7119F2F68EB6}" scale="110" showPageBreaks="1" fitToPage="1" printArea="1">
      <pane xSplit="3" ySplit="3" topLeftCell="D4" activePane="bottomRight" state="frozen"/>
      <selection pane="bottomRight" activeCell="D4" sqref="D4"/>
      <pageMargins left="0.23" right="0.2" top="1" bottom="1" header="0.5" footer="0.5"/>
      <printOptions gridLines="1"/>
      <pageSetup paperSize="5" orientation="landscape" r:id="rId3"/>
      <headerFooter alignWithMargins="0">
        <oddHeader xml:space="preserve">&amp;L2013 TSA Dual Meet Results&amp;CNorthern League&amp;R&amp;D
</oddHeader>
      </headerFooter>
    </customSheetView>
    <customSheetView guid="{E7597357-F01A-4EC3-9284-2CC61D1CC724}" scale="110" showPageBreaks="1" fitToPage="1" printArea="1">
      <pane xSplit="3" ySplit="3" topLeftCell="N18" activePane="bottomRight" state="frozen"/>
      <selection pane="bottomRight" activeCell="B46" sqref="B46"/>
      <pageMargins left="0.23" right="0.2" top="1" bottom="1" header="0.5" footer="0.5"/>
      <printOptions gridLines="1"/>
      <pageSetup paperSize="5" orientation="landscape" r:id="rId4"/>
      <headerFooter alignWithMargins="0">
        <oddHeader xml:space="preserve">&amp;L2014 TSA Dual Meet Results&amp;CNorthern League&amp;R&amp;D
</oddHeader>
      </headerFooter>
    </customSheetView>
  </customSheetViews>
  <mergeCells count="4">
    <mergeCell ref="O2:Q2"/>
    <mergeCell ref="R2:T2"/>
    <mergeCell ref="E2:J2"/>
    <mergeCell ref="O1:T1"/>
  </mergeCells>
  <conditionalFormatting sqref="C1">
    <cfRule type="cellIs" dxfId="156" priority="835" stopIfTrue="1" operator="equal">
      <formula>0</formula>
    </cfRule>
    <cfRule type="cellIs" dxfId="155" priority="836" stopIfTrue="1" operator="notEqual">
      <formula>0</formula>
    </cfRule>
  </conditionalFormatting>
  <conditionalFormatting sqref="O4:Q41">
    <cfRule type="expression" dxfId="154" priority="842" stopIfTrue="1">
      <formula>SUM($O4:$Q4)=6</formula>
    </cfRule>
  </conditionalFormatting>
  <conditionalFormatting sqref="R4:T35">
    <cfRule type="expression" dxfId="153" priority="829">
      <formula>SUM($R4:$T4)=3</formula>
    </cfRule>
  </conditionalFormatting>
  <conditionalFormatting sqref="R36:T41">
    <cfRule type="expression" dxfId="152" priority="828">
      <formula>SUM($R36:T36)=2</formula>
    </cfRule>
  </conditionalFormatting>
  <conditionalFormatting sqref="BM44:BM46 BM4:BM42">
    <cfRule type="cellIs" dxfId="151" priority="791" operator="greaterThan">
      <formula>0</formula>
    </cfRule>
  </conditionalFormatting>
  <conditionalFormatting sqref="F4:G4 H4:H5 E4:E5 E8 D4:D38 A4:C41 G5:G6 G8 F7:F8 I8 H7:H8 J4:J8 K4:K11 D40:D41 K41 J35 H35 E36:J36 E37 G37 F39:H39 J39 F40:G40 L4:N41">
    <cfRule type="expression" dxfId="150" priority="475">
      <formula>ISEVEN($N4)</formula>
    </cfRule>
    <cfRule type="expression" dxfId="149" priority="476">
      <formula>ISODD($N4)</formula>
    </cfRule>
  </conditionalFormatting>
  <conditionalFormatting sqref="V4:BJ41">
    <cfRule type="expression" dxfId="148" priority="473">
      <formula>ISEVEN($N4)</formula>
    </cfRule>
    <cfRule type="expression" dxfId="147" priority="474">
      <formula>ISODD($N4)</formula>
    </cfRule>
  </conditionalFormatting>
  <conditionalFormatting sqref="BV4:BV41">
    <cfRule type="cellIs" dxfId="146" priority="472" operator="notEqual">
      <formula>0</formula>
    </cfRule>
  </conditionalFormatting>
  <conditionalFormatting sqref="I4">
    <cfRule type="expression" dxfId="145" priority="470">
      <formula>ISEVEN($N4)</formula>
    </cfRule>
    <cfRule type="expression" dxfId="144" priority="471">
      <formula>ISODD($N4)</formula>
    </cfRule>
  </conditionalFormatting>
  <conditionalFormatting sqref="I5">
    <cfRule type="expression" dxfId="143" priority="468">
      <formula>ISEVEN($N5)</formula>
    </cfRule>
    <cfRule type="expression" dxfId="142" priority="469">
      <formula>ISODD($N5)</formula>
    </cfRule>
  </conditionalFormatting>
  <conditionalFormatting sqref="F5">
    <cfRule type="expression" dxfId="141" priority="466">
      <formula>ISEVEN($N5)</formula>
    </cfRule>
    <cfRule type="expression" dxfId="140" priority="467">
      <formula>ISODD($N5)</formula>
    </cfRule>
  </conditionalFormatting>
  <conditionalFormatting sqref="I6">
    <cfRule type="expression" dxfId="139" priority="464">
      <formula>ISEVEN($N6)</formula>
    </cfRule>
    <cfRule type="expression" dxfId="138" priority="465">
      <formula>ISODD($N6)</formula>
    </cfRule>
  </conditionalFormatting>
  <conditionalFormatting sqref="E6">
    <cfRule type="expression" dxfId="137" priority="462">
      <formula>ISEVEN($N6)</formula>
    </cfRule>
    <cfRule type="expression" dxfId="136" priority="463">
      <formula>ISODD($N6)</formula>
    </cfRule>
  </conditionalFormatting>
  <conditionalFormatting sqref="K12">
    <cfRule type="expression" dxfId="135" priority="434">
      <formula>ISEVEN($N12)</formula>
    </cfRule>
    <cfRule type="expression" dxfId="134" priority="435">
      <formula>ISODD($N12)</formula>
    </cfRule>
  </conditionalFormatting>
  <conditionalFormatting sqref="K13">
    <cfRule type="expression" dxfId="133" priority="426">
      <formula>ISEVEN($N13)</formula>
    </cfRule>
    <cfRule type="expression" dxfId="132" priority="427">
      <formula>ISODD($N13)</formula>
    </cfRule>
  </conditionalFormatting>
  <conditionalFormatting sqref="K14">
    <cfRule type="expression" dxfId="131" priority="406">
      <formula>ISEVEN($N14)</formula>
    </cfRule>
    <cfRule type="expression" dxfId="130" priority="407">
      <formula>ISODD($N14)</formula>
    </cfRule>
  </conditionalFormatting>
  <conditionalFormatting sqref="K15">
    <cfRule type="expression" dxfId="129" priority="404">
      <formula>ISEVEN($N15)</formula>
    </cfRule>
    <cfRule type="expression" dxfId="128" priority="405">
      <formula>ISODD($N15)</formula>
    </cfRule>
  </conditionalFormatting>
  <conditionalFormatting sqref="K16">
    <cfRule type="expression" dxfId="127" priority="390">
      <formula>ISEVEN($N16)</formula>
    </cfRule>
    <cfRule type="expression" dxfId="126" priority="391">
      <formula>ISODD($N16)</formula>
    </cfRule>
  </conditionalFormatting>
  <conditionalFormatting sqref="K17">
    <cfRule type="expression" dxfId="125" priority="388">
      <formula>ISEVEN($N17)</formula>
    </cfRule>
    <cfRule type="expression" dxfId="124" priority="389">
      <formula>ISODD($N17)</formula>
    </cfRule>
  </conditionalFormatting>
  <conditionalFormatting sqref="K18">
    <cfRule type="expression" dxfId="123" priority="374">
      <formula>ISEVEN($N18)</formula>
    </cfRule>
    <cfRule type="expression" dxfId="122" priority="375">
      <formula>ISODD($N18)</formula>
    </cfRule>
  </conditionalFormatting>
  <conditionalFormatting sqref="K19:K23">
    <cfRule type="expression" dxfId="121" priority="372">
      <formula>ISEVEN($N19)</formula>
    </cfRule>
    <cfRule type="expression" dxfId="120" priority="373">
      <formula>ISODD($N19)</formula>
    </cfRule>
  </conditionalFormatting>
  <conditionalFormatting sqref="K24:K31">
    <cfRule type="expression" dxfId="119" priority="322">
      <formula>ISEVEN($N24)</formula>
    </cfRule>
    <cfRule type="expression" dxfId="118" priority="323">
      <formula>ISODD($N24)</formula>
    </cfRule>
  </conditionalFormatting>
  <conditionalFormatting sqref="K32">
    <cfRule type="expression" dxfId="117" priority="284">
      <formula>ISEVEN($N32)</formula>
    </cfRule>
    <cfRule type="expression" dxfId="116" priority="285">
      <formula>ISODD($N32)</formula>
    </cfRule>
  </conditionalFormatting>
  <conditionalFormatting sqref="K33">
    <cfRule type="expression" dxfId="115" priority="282">
      <formula>ISEVEN($N33)</formula>
    </cfRule>
    <cfRule type="expression" dxfId="114" priority="283">
      <formula>ISODD($N33)</formula>
    </cfRule>
  </conditionalFormatting>
  <conditionalFormatting sqref="K34">
    <cfRule type="expression" dxfId="113" priority="274">
      <formula>ISEVEN($N34)</formula>
    </cfRule>
    <cfRule type="expression" dxfId="112" priority="275">
      <formula>ISODD($N34)</formula>
    </cfRule>
  </conditionalFormatting>
  <conditionalFormatting sqref="K35">
    <cfRule type="expression" dxfId="111" priority="254">
      <formula>ISEVEN($N35)</formula>
    </cfRule>
    <cfRule type="expression" dxfId="110" priority="255">
      <formula>ISODD($N35)</formula>
    </cfRule>
  </conditionalFormatting>
  <conditionalFormatting sqref="K36">
    <cfRule type="expression" dxfId="109" priority="214">
      <formula>ISEVEN($N36)</formula>
    </cfRule>
    <cfRule type="expression" dxfId="108" priority="215">
      <formula>ISODD($N36)</formula>
    </cfRule>
  </conditionalFormatting>
  <conditionalFormatting sqref="K37">
    <cfRule type="expression" dxfId="107" priority="212">
      <formula>ISEVEN($N37)</formula>
    </cfRule>
    <cfRule type="expression" dxfId="106" priority="213">
      <formula>ISODD($N37)</formula>
    </cfRule>
  </conditionalFormatting>
  <conditionalFormatting sqref="K38">
    <cfRule type="expression" dxfId="105" priority="114">
      <formula>ISEVEN($N38)</formula>
    </cfRule>
    <cfRule type="expression" dxfId="104" priority="115">
      <formula>ISODD($N38)</formula>
    </cfRule>
  </conditionalFormatting>
  <conditionalFormatting sqref="K39">
    <cfRule type="expression" dxfId="103" priority="112">
      <formula>ISEVEN($N39)</formula>
    </cfRule>
    <cfRule type="expression" dxfId="102" priority="113">
      <formula>ISODD($N39)</formula>
    </cfRule>
  </conditionalFormatting>
  <conditionalFormatting sqref="K40">
    <cfRule type="expression" dxfId="101" priority="110">
      <formula>ISEVEN($N40)</formula>
    </cfRule>
    <cfRule type="expression" dxfId="100" priority="111">
      <formula>ISODD($N40)</formula>
    </cfRule>
  </conditionalFormatting>
  <conditionalFormatting sqref="K41">
    <cfRule type="expression" dxfId="99" priority="108">
      <formula>ISEVEN($N41)</formula>
    </cfRule>
    <cfRule type="expression" dxfId="98" priority="109">
      <formula>ISODD($N41)</formula>
    </cfRule>
  </conditionalFormatting>
  <conditionalFormatting sqref="H6">
    <cfRule type="expression" dxfId="97" priority="103">
      <formula>ISEVEN($N6)</formula>
    </cfRule>
    <cfRule type="expression" dxfId="96" priority="104">
      <formula>ISODD($N6)</formula>
    </cfRule>
  </conditionalFormatting>
  <conditionalFormatting sqref="F6">
    <cfRule type="expression" dxfId="95" priority="101">
      <formula>ISEVEN($N6)</formula>
    </cfRule>
    <cfRule type="expression" dxfId="94" priority="102">
      <formula>ISODD($N6)</formula>
    </cfRule>
  </conditionalFormatting>
  <conditionalFormatting sqref="G7">
    <cfRule type="expression" dxfId="93" priority="95">
      <formula>ISEVEN($N7)</formula>
    </cfRule>
    <cfRule type="expression" dxfId="92" priority="96">
      <formula>ISODD($N7)</formula>
    </cfRule>
  </conditionalFormatting>
  <conditionalFormatting sqref="E7">
    <cfRule type="expression" dxfId="91" priority="97">
      <formula>ISEVEN($N7)</formula>
    </cfRule>
    <cfRule type="expression" dxfId="90" priority="98">
      <formula>ISODD($N7)</formula>
    </cfRule>
  </conditionalFormatting>
  <conditionalFormatting sqref="I7">
    <cfRule type="expression" dxfId="89" priority="93">
      <formula>ISEVEN($N7)</formula>
    </cfRule>
    <cfRule type="expression" dxfId="88" priority="94">
      <formula>ISODD($N7)</formula>
    </cfRule>
  </conditionalFormatting>
  <conditionalFormatting sqref="E9:J9">
    <cfRule type="expression" dxfId="87" priority="91">
      <formula>ISEVEN($N9)</formula>
    </cfRule>
    <cfRule type="expression" dxfId="86" priority="92">
      <formula>ISODD($N9)</formula>
    </cfRule>
  </conditionalFormatting>
  <conditionalFormatting sqref="E10:J10">
    <cfRule type="expression" dxfId="85" priority="89">
      <formula>ISEVEN($N10)</formula>
    </cfRule>
    <cfRule type="expression" dxfId="84" priority="90">
      <formula>ISODD($N10)</formula>
    </cfRule>
  </conditionalFormatting>
  <conditionalFormatting sqref="E11:J11">
    <cfRule type="expression" dxfId="83" priority="87">
      <formula>ISEVEN($N11)</formula>
    </cfRule>
    <cfRule type="expression" dxfId="82" priority="88">
      <formula>ISODD($N11)</formula>
    </cfRule>
  </conditionalFormatting>
  <conditionalFormatting sqref="E12:J12">
    <cfRule type="expression" dxfId="81" priority="85">
      <formula>ISEVEN($N12)</formula>
    </cfRule>
    <cfRule type="expression" dxfId="80" priority="86">
      <formula>ISODD($N12)</formula>
    </cfRule>
  </conditionalFormatting>
  <conditionalFormatting sqref="E13:J13">
    <cfRule type="expression" dxfId="79" priority="83">
      <formula>ISEVEN($N13)</formula>
    </cfRule>
    <cfRule type="expression" dxfId="78" priority="84">
      <formula>ISODD($N13)</formula>
    </cfRule>
  </conditionalFormatting>
  <conditionalFormatting sqref="E14:J14">
    <cfRule type="expression" dxfId="77" priority="81">
      <formula>ISEVEN($N14)</formula>
    </cfRule>
    <cfRule type="expression" dxfId="76" priority="82">
      <formula>ISODD($N14)</formula>
    </cfRule>
  </conditionalFormatting>
  <conditionalFormatting sqref="E15:J15">
    <cfRule type="expression" dxfId="75" priority="79">
      <formula>ISEVEN($N15)</formula>
    </cfRule>
    <cfRule type="expression" dxfId="74" priority="80">
      <formula>ISODD($N15)</formula>
    </cfRule>
  </conditionalFormatting>
  <conditionalFormatting sqref="E16:J16">
    <cfRule type="expression" dxfId="73" priority="77">
      <formula>ISEVEN($N16)</formula>
    </cfRule>
    <cfRule type="expression" dxfId="72" priority="78">
      <formula>ISODD($N16)</formula>
    </cfRule>
  </conditionalFormatting>
  <conditionalFormatting sqref="E17:J17">
    <cfRule type="expression" dxfId="71" priority="75">
      <formula>ISEVEN($N17)</formula>
    </cfRule>
    <cfRule type="expression" dxfId="70" priority="76">
      <formula>ISODD($N17)</formula>
    </cfRule>
  </conditionalFormatting>
  <conditionalFormatting sqref="E18:J18">
    <cfRule type="expression" dxfId="69" priority="73">
      <formula>ISEVEN($N18)</formula>
    </cfRule>
    <cfRule type="expression" dxfId="68" priority="74">
      <formula>ISODD($N18)</formula>
    </cfRule>
  </conditionalFormatting>
  <conditionalFormatting sqref="E19:J19">
    <cfRule type="expression" dxfId="67" priority="71">
      <formula>ISEVEN($N19)</formula>
    </cfRule>
    <cfRule type="expression" dxfId="66" priority="72">
      <formula>ISODD($N19)</formula>
    </cfRule>
  </conditionalFormatting>
  <conditionalFormatting sqref="E20:J20">
    <cfRule type="expression" dxfId="65" priority="69">
      <formula>ISEVEN($N20)</formula>
    </cfRule>
    <cfRule type="expression" dxfId="64" priority="70">
      <formula>ISODD($N20)</formula>
    </cfRule>
  </conditionalFormatting>
  <conditionalFormatting sqref="E21:J21">
    <cfRule type="expression" dxfId="63" priority="67">
      <formula>ISEVEN($N21)</formula>
    </cfRule>
    <cfRule type="expression" dxfId="62" priority="68">
      <formula>ISODD($N21)</formula>
    </cfRule>
  </conditionalFormatting>
  <conditionalFormatting sqref="E22:J22">
    <cfRule type="expression" dxfId="61" priority="65">
      <formula>ISEVEN($N22)</formula>
    </cfRule>
    <cfRule type="expression" dxfId="60" priority="66">
      <formula>ISODD($N22)</formula>
    </cfRule>
  </conditionalFormatting>
  <conditionalFormatting sqref="E23:J23">
    <cfRule type="expression" dxfId="59" priority="63">
      <formula>ISEVEN($N23)</formula>
    </cfRule>
    <cfRule type="expression" dxfId="58" priority="64">
      <formula>ISODD($N23)</formula>
    </cfRule>
  </conditionalFormatting>
  <conditionalFormatting sqref="E24:J24">
    <cfRule type="expression" dxfId="57" priority="61">
      <formula>ISEVEN($N24)</formula>
    </cfRule>
    <cfRule type="expression" dxfId="56" priority="62">
      <formula>ISODD($N24)</formula>
    </cfRule>
  </conditionalFormatting>
  <conditionalFormatting sqref="E25:J25">
    <cfRule type="expression" dxfId="55" priority="59">
      <formula>ISEVEN($N25)</formula>
    </cfRule>
    <cfRule type="expression" dxfId="54" priority="60">
      <formula>ISODD($N25)</formula>
    </cfRule>
  </conditionalFormatting>
  <conditionalFormatting sqref="E26:J26">
    <cfRule type="expression" dxfId="53" priority="57">
      <formula>ISEVEN($N26)</formula>
    </cfRule>
    <cfRule type="expression" dxfId="52" priority="58">
      <formula>ISODD($N26)</formula>
    </cfRule>
  </conditionalFormatting>
  <conditionalFormatting sqref="E27:J27">
    <cfRule type="expression" dxfId="51" priority="55">
      <formula>ISEVEN($N27)</formula>
    </cfRule>
    <cfRule type="expression" dxfId="50" priority="56">
      <formula>ISODD($N27)</formula>
    </cfRule>
  </conditionalFormatting>
  <conditionalFormatting sqref="E28:J28">
    <cfRule type="expression" dxfId="49" priority="53">
      <formula>ISEVEN($N28)</formula>
    </cfRule>
    <cfRule type="expression" dxfId="48" priority="54">
      <formula>ISODD($N28)</formula>
    </cfRule>
  </conditionalFormatting>
  <conditionalFormatting sqref="E29:J29">
    <cfRule type="expression" dxfId="47" priority="51">
      <formula>ISEVEN($N29)</formula>
    </cfRule>
    <cfRule type="expression" dxfId="46" priority="52">
      <formula>ISODD($N29)</formula>
    </cfRule>
  </conditionalFormatting>
  <conditionalFormatting sqref="E30:J30">
    <cfRule type="expression" dxfId="45" priority="49">
      <formula>ISEVEN($N30)</formula>
    </cfRule>
    <cfRule type="expression" dxfId="44" priority="50">
      <formula>ISODD($N30)</formula>
    </cfRule>
  </conditionalFormatting>
  <conditionalFormatting sqref="E31:J31">
    <cfRule type="expression" dxfId="43" priority="47">
      <formula>ISEVEN($N31)</formula>
    </cfRule>
    <cfRule type="expression" dxfId="42" priority="48">
      <formula>ISODD($N31)</formula>
    </cfRule>
  </conditionalFormatting>
  <conditionalFormatting sqref="E32:J32">
    <cfRule type="expression" dxfId="41" priority="45">
      <formula>ISEVEN($N32)</formula>
    </cfRule>
    <cfRule type="expression" dxfId="40" priority="46">
      <formula>ISODD($N32)</formula>
    </cfRule>
  </conditionalFormatting>
  <conditionalFormatting sqref="E33:J33">
    <cfRule type="expression" dxfId="39" priority="43">
      <formula>ISEVEN($N33)</formula>
    </cfRule>
    <cfRule type="expression" dxfId="38" priority="44">
      <formula>ISODD($N33)</formula>
    </cfRule>
  </conditionalFormatting>
  <conditionalFormatting sqref="E34:J34">
    <cfRule type="expression" dxfId="37" priority="41">
      <formula>ISEVEN($N34)</formula>
    </cfRule>
    <cfRule type="expression" dxfId="36" priority="42">
      <formula>ISODD($N34)</formula>
    </cfRule>
  </conditionalFormatting>
  <conditionalFormatting sqref="E35:G35">
    <cfRule type="expression" dxfId="35" priority="39">
      <formula>ISEVEN($N35)</formula>
    </cfRule>
    <cfRule type="expression" dxfId="34" priority="40">
      <formula>ISODD($N35)</formula>
    </cfRule>
  </conditionalFormatting>
  <conditionalFormatting sqref="E38:J38">
    <cfRule type="expression" dxfId="33" priority="33">
      <formula>ISEVEN($N38)</formula>
    </cfRule>
    <cfRule type="expression" dxfId="32" priority="34">
      <formula>ISODD($N38)</formula>
    </cfRule>
  </conditionalFormatting>
  <conditionalFormatting sqref="H41:J41">
    <cfRule type="expression" dxfId="31" priority="27">
      <formula>ISEVEN($N41)</formula>
    </cfRule>
    <cfRule type="expression" dxfId="30" priority="28">
      <formula>ISODD($N41)</formula>
    </cfRule>
  </conditionalFormatting>
  <conditionalFormatting sqref="I35">
    <cfRule type="expression" dxfId="29" priority="25">
      <formula>ISEVEN($N35)</formula>
    </cfRule>
    <cfRule type="expression" dxfId="28" priority="26">
      <formula>ISODD($N35)</formula>
    </cfRule>
  </conditionalFormatting>
  <conditionalFormatting sqref="F37">
    <cfRule type="expression" dxfId="27" priority="23">
      <formula>ISEVEN($N37)</formula>
    </cfRule>
    <cfRule type="expression" dxfId="26" priority="24">
      <formula>ISODD($N37)</formula>
    </cfRule>
  </conditionalFormatting>
  <conditionalFormatting sqref="H37:J37">
    <cfRule type="expression" dxfId="25" priority="21">
      <formula>ISEVEN($N37)</formula>
    </cfRule>
    <cfRule type="expression" dxfId="24" priority="22">
      <formula>ISODD($N37)</formula>
    </cfRule>
  </conditionalFormatting>
  <conditionalFormatting sqref="I39">
    <cfRule type="expression" dxfId="23" priority="19">
      <formula>ISEVEN($N39)</formula>
    </cfRule>
    <cfRule type="expression" dxfId="22" priority="20">
      <formula>ISODD($N39)</formula>
    </cfRule>
  </conditionalFormatting>
  <conditionalFormatting sqref="E39">
    <cfRule type="expression" dxfId="21" priority="17">
      <formula>ISEVEN($N39)</formula>
    </cfRule>
    <cfRule type="expression" dxfId="20" priority="18">
      <formula>ISODD($N39)</formula>
    </cfRule>
  </conditionalFormatting>
  <conditionalFormatting sqref="D39">
    <cfRule type="expression" dxfId="19" priority="15">
      <formula>ISEVEN($N39)</formula>
    </cfRule>
    <cfRule type="expression" dxfId="18" priority="16">
      <formula>ISODD($N39)</formula>
    </cfRule>
  </conditionalFormatting>
  <conditionalFormatting sqref="H40">
    <cfRule type="expression" dxfId="17" priority="13">
      <formula>ISEVEN($N40)</formula>
    </cfRule>
    <cfRule type="expression" dxfId="16" priority="14">
      <formula>ISODD($N40)</formula>
    </cfRule>
  </conditionalFormatting>
  <conditionalFormatting sqref="I40">
    <cfRule type="expression" dxfId="15" priority="11">
      <formula>ISEVEN($N40)</formula>
    </cfRule>
    <cfRule type="expression" dxfId="14" priority="12">
      <formula>ISODD($N40)</formula>
    </cfRule>
  </conditionalFormatting>
  <conditionalFormatting sqref="E40">
    <cfRule type="expression" dxfId="13" priority="9">
      <formula>ISEVEN($N40)</formula>
    </cfRule>
    <cfRule type="expression" dxfId="12" priority="10">
      <formula>ISODD($N40)</formula>
    </cfRule>
  </conditionalFormatting>
  <conditionalFormatting sqref="J40">
    <cfRule type="expression" dxfId="11" priority="7">
      <formula>ISEVEN($N40)</formula>
    </cfRule>
    <cfRule type="expression" dxfId="10" priority="8">
      <formula>ISODD($N40)</formula>
    </cfRule>
  </conditionalFormatting>
  <conditionalFormatting sqref="G41">
    <cfRule type="expression" dxfId="9" priority="5">
      <formula>ISEVEN($N41)</formula>
    </cfRule>
    <cfRule type="expression" dxfId="8" priority="6">
      <formula>ISODD($N41)</formula>
    </cfRule>
  </conditionalFormatting>
  <conditionalFormatting sqref="F41">
    <cfRule type="expression" dxfId="7" priority="3">
      <formula>ISEVEN($N41)</formula>
    </cfRule>
    <cfRule type="expression" dxfId="6" priority="4">
      <formula>ISODD($N41)</formula>
    </cfRule>
  </conditionalFormatting>
  <conditionalFormatting sqref="E41">
    <cfRule type="expression" dxfId="5" priority="1">
      <formula>ISEVEN($N41)</formula>
    </cfRule>
    <cfRule type="expression" dxfId="4" priority="2">
      <formula>ISODD($N41)</formula>
    </cfRule>
  </conditionalFormatting>
  <printOptions gridLines="1"/>
  <pageMargins left="0.25" right="0.25" top="0.75" bottom="0.75" header="0.3" footer="0.3"/>
  <pageSetup scale="46" fitToHeight="0" orientation="landscape" r:id="rId5"/>
  <headerFooter alignWithMargins="0">
    <oddHeader xml:space="preserve">&amp;L2018 TSA Dual Meet Results&amp;CNorthern League&amp;R&amp;D
</oddHeader>
  </headerFooter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0E9B-F4B4-42B8-90AF-EA0B3B0F283C}">
  <dimension ref="A1:I258"/>
  <sheetViews>
    <sheetView workbookViewId="0">
      <selection activeCell="A3" sqref="A3"/>
    </sheetView>
  </sheetViews>
  <sheetFormatPr defaultRowHeight="15"/>
  <cols>
    <col min="1" max="1" width="10.42578125" bestFit="1" customWidth="1"/>
    <col min="2" max="2" width="22.28515625" bestFit="1" customWidth="1"/>
    <col min="3" max="3" width="7.28515625" bestFit="1" customWidth="1"/>
    <col min="4" max="4" width="30.140625" bestFit="1" customWidth="1"/>
    <col min="5" max="5" width="6.28515625" bestFit="1" customWidth="1"/>
    <col min="6" max="6" width="23.7109375" bestFit="1" customWidth="1"/>
    <col min="7" max="7" width="44.28515625" bestFit="1" customWidth="1"/>
    <col min="8" max="8" width="43.85546875" bestFit="1" customWidth="1"/>
    <col min="9" max="9" width="8.5703125" bestFit="1" customWidth="1"/>
  </cols>
  <sheetData>
    <row r="1" spans="1:9">
      <c r="A1" s="183" t="s">
        <v>174</v>
      </c>
      <c r="B1" s="183" t="s">
        <v>175</v>
      </c>
      <c r="C1" s="183" t="s">
        <v>176</v>
      </c>
      <c r="D1" s="183" t="s">
        <v>177</v>
      </c>
      <c r="E1" s="183" t="s">
        <v>178</v>
      </c>
      <c r="F1" s="183" t="s">
        <v>179</v>
      </c>
      <c r="G1" s="183" t="s">
        <v>180</v>
      </c>
      <c r="H1" s="183" t="s">
        <v>181</v>
      </c>
      <c r="I1" s="183" t="s">
        <v>182</v>
      </c>
    </row>
    <row r="2" spans="1:9">
      <c r="A2" t="s">
        <v>183</v>
      </c>
      <c r="B2" t="s">
        <v>20</v>
      </c>
      <c r="C2">
        <v>290</v>
      </c>
      <c r="D2" t="s">
        <v>184</v>
      </c>
      <c r="E2">
        <v>219</v>
      </c>
      <c r="F2" t="s">
        <v>185</v>
      </c>
      <c r="G2" t="s">
        <v>186</v>
      </c>
      <c r="H2" t="s">
        <v>187</v>
      </c>
      <c r="I2">
        <v>71</v>
      </c>
    </row>
    <row r="3" spans="1:9">
      <c r="A3" t="s">
        <v>183</v>
      </c>
      <c r="B3" t="s">
        <v>4</v>
      </c>
      <c r="C3">
        <v>307</v>
      </c>
      <c r="D3" t="s">
        <v>188</v>
      </c>
      <c r="E3">
        <v>207</v>
      </c>
      <c r="F3" t="s">
        <v>185</v>
      </c>
      <c r="G3" t="s">
        <v>189</v>
      </c>
      <c r="H3" t="s">
        <v>190</v>
      </c>
      <c r="I3">
        <v>100</v>
      </c>
    </row>
    <row r="4" spans="1:9">
      <c r="A4" t="s">
        <v>183</v>
      </c>
      <c r="B4" t="s">
        <v>54</v>
      </c>
      <c r="C4">
        <v>358</v>
      </c>
      <c r="D4" t="s">
        <v>191</v>
      </c>
      <c r="E4">
        <v>152</v>
      </c>
      <c r="F4" t="s">
        <v>185</v>
      </c>
      <c r="G4" t="s">
        <v>192</v>
      </c>
      <c r="H4" t="s">
        <v>193</v>
      </c>
      <c r="I4">
        <v>206</v>
      </c>
    </row>
    <row r="5" spans="1:9">
      <c r="A5" t="s">
        <v>183</v>
      </c>
      <c r="B5" t="s">
        <v>129</v>
      </c>
      <c r="C5">
        <v>260</v>
      </c>
      <c r="D5" t="s">
        <v>194</v>
      </c>
      <c r="E5">
        <v>204</v>
      </c>
      <c r="F5" t="s">
        <v>195</v>
      </c>
      <c r="G5" t="s">
        <v>196</v>
      </c>
      <c r="H5" t="s">
        <v>197</v>
      </c>
      <c r="I5">
        <v>56</v>
      </c>
    </row>
    <row r="6" spans="1:9">
      <c r="A6" t="s">
        <v>183</v>
      </c>
      <c r="B6" t="s">
        <v>95</v>
      </c>
      <c r="C6">
        <v>344</v>
      </c>
      <c r="D6" t="s">
        <v>198</v>
      </c>
      <c r="E6">
        <v>162</v>
      </c>
      <c r="F6" t="s">
        <v>185</v>
      </c>
      <c r="G6" t="s">
        <v>199</v>
      </c>
      <c r="H6" t="s">
        <v>200</v>
      </c>
      <c r="I6">
        <v>182</v>
      </c>
    </row>
    <row r="7" spans="1:9">
      <c r="A7" t="s">
        <v>183</v>
      </c>
      <c r="B7" t="s">
        <v>26</v>
      </c>
      <c r="C7">
        <v>298</v>
      </c>
      <c r="D7" t="s">
        <v>201</v>
      </c>
      <c r="E7">
        <v>215</v>
      </c>
      <c r="F7" t="s">
        <v>185</v>
      </c>
      <c r="G7" t="s">
        <v>202</v>
      </c>
      <c r="H7" t="s">
        <v>203</v>
      </c>
      <c r="I7">
        <v>83</v>
      </c>
    </row>
    <row r="8" spans="1:9">
      <c r="A8" t="s">
        <v>183</v>
      </c>
      <c r="B8" t="s">
        <v>15</v>
      </c>
      <c r="C8">
        <v>336</v>
      </c>
      <c r="D8" t="s">
        <v>204</v>
      </c>
      <c r="E8">
        <v>177</v>
      </c>
      <c r="F8" t="s">
        <v>185</v>
      </c>
      <c r="G8" t="s">
        <v>205</v>
      </c>
      <c r="H8" t="s">
        <v>206</v>
      </c>
      <c r="I8">
        <v>159</v>
      </c>
    </row>
    <row r="9" spans="1:9">
      <c r="A9" t="s">
        <v>183</v>
      </c>
      <c r="B9" t="s">
        <v>73</v>
      </c>
      <c r="C9">
        <v>263</v>
      </c>
      <c r="D9" t="s">
        <v>207</v>
      </c>
      <c r="E9">
        <v>240</v>
      </c>
      <c r="F9" t="s">
        <v>185</v>
      </c>
      <c r="G9" t="s">
        <v>208</v>
      </c>
      <c r="H9" t="s">
        <v>209</v>
      </c>
      <c r="I9">
        <v>23</v>
      </c>
    </row>
    <row r="10" spans="1:9">
      <c r="A10" t="s">
        <v>183</v>
      </c>
      <c r="B10" t="s">
        <v>67</v>
      </c>
      <c r="C10">
        <v>290</v>
      </c>
      <c r="D10" t="s">
        <v>210</v>
      </c>
      <c r="E10">
        <v>220</v>
      </c>
      <c r="F10" t="s">
        <v>185</v>
      </c>
      <c r="G10" t="s">
        <v>211</v>
      </c>
      <c r="H10" t="s">
        <v>212</v>
      </c>
      <c r="I10">
        <v>70</v>
      </c>
    </row>
    <row r="11" spans="1:9">
      <c r="A11" t="s">
        <v>183</v>
      </c>
      <c r="B11" t="s">
        <v>34</v>
      </c>
      <c r="C11">
        <v>335</v>
      </c>
      <c r="D11" t="s">
        <v>213</v>
      </c>
      <c r="E11">
        <v>154</v>
      </c>
      <c r="F11" t="s">
        <v>185</v>
      </c>
      <c r="G11" t="s">
        <v>214</v>
      </c>
      <c r="H11" t="s">
        <v>215</v>
      </c>
      <c r="I11">
        <v>181</v>
      </c>
    </row>
    <row r="12" spans="1:9">
      <c r="A12" t="s">
        <v>183</v>
      </c>
      <c r="B12" t="s">
        <v>22</v>
      </c>
      <c r="C12">
        <v>270</v>
      </c>
      <c r="D12" t="s">
        <v>216</v>
      </c>
      <c r="E12">
        <v>244</v>
      </c>
      <c r="F12" t="s">
        <v>185</v>
      </c>
      <c r="G12" t="s">
        <v>217</v>
      </c>
      <c r="H12" t="s">
        <v>218</v>
      </c>
      <c r="I12">
        <v>26</v>
      </c>
    </row>
    <row r="13" spans="1:9">
      <c r="A13" t="s">
        <v>183</v>
      </c>
      <c r="B13" t="s">
        <v>65</v>
      </c>
      <c r="C13">
        <v>307</v>
      </c>
      <c r="D13" t="s">
        <v>219</v>
      </c>
      <c r="E13">
        <v>187</v>
      </c>
      <c r="F13" t="s">
        <v>185</v>
      </c>
      <c r="G13" t="s">
        <v>220</v>
      </c>
      <c r="H13" t="s">
        <v>221</v>
      </c>
      <c r="I13">
        <v>120</v>
      </c>
    </row>
    <row r="14" spans="1:9">
      <c r="A14" t="s">
        <v>183</v>
      </c>
      <c r="B14" t="s">
        <v>2</v>
      </c>
      <c r="C14">
        <v>283</v>
      </c>
      <c r="D14" t="s">
        <v>222</v>
      </c>
      <c r="E14">
        <v>228</v>
      </c>
      <c r="F14" t="s">
        <v>185</v>
      </c>
      <c r="G14" t="s">
        <v>223</v>
      </c>
      <c r="H14" t="s">
        <v>224</v>
      </c>
      <c r="I14">
        <v>55</v>
      </c>
    </row>
    <row r="15" spans="1:9">
      <c r="A15" t="s">
        <v>183</v>
      </c>
      <c r="B15" t="s">
        <v>105</v>
      </c>
      <c r="C15">
        <v>383</v>
      </c>
      <c r="D15" t="s">
        <v>225</v>
      </c>
      <c r="E15">
        <v>119</v>
      </c>
      <c r="F15" t="s">
        <v>185</v>
      </c>
      <c r="G15" t="s">
        <v>226</v>
      </c>
      <c r="H15" t="s">
        <v>227</v>
      </c>
      <c r="I15">
        <v>264</v>
      </c>
    </row>
    <row r="16" spans="1:9">
      <c r="A16" t="s">
        <v>183</v>
      </c>
      <c r="B16" t="s">
        <v>99</v>
      </c>
      <c r="C16">
        <v>317</v>
      </c>
      <c r="D16" t="s">
        <v>228</v>
      </c>
      <c r="E16">
        <v>174</v>
      </c>
      <c r="F16" t="s">
        <v>185</v>
      </c>
      <c r="G16" t="s">
        <v>229</v>
      </c>
      <c r="H16" t="s">
        <v>230</v>
      </c>
      <c r="I16">
        <v>143</v>
      </c>
    </row>
    <row r="17" spans="1:9">
      <c r="A17" t="s">
        <v>183</v>
      </c>
      <c r="B17" t="s">
        <v>63</v>
      </c>
      <c r="C17">
        <v>357</v>
      </c>
      <c r="D17" t="s">
        <v>231</v>
      </c>
      <c r="E17">
        <v>157</v>
      </c>
      <c r="F17" t="s">
        <v>185</v>
      </c>
      <c r="G17" t="s">
        <v>232</v>
      </c>
      <c r="H17" t="s">
        <v>233</v>
      </c>
      <c r="I17">
        <v>200</v>
      </c>
    </row>
    <row r="18" spans="1:9">
      <c r="A18" t="s">
        <v>183</v>
      </c>
      <c r="B18" t="s">
        <v>62</v>
      </c>
      <c r="C18">
        <v>289</v>
      </c>
      <c r="D18" t="s">
        <v>234</v>
      </c>
      <c r="E18">
        <v>215</v>
      </c>
      <c r="F18" t="s">
        <v>185</v>
      </c>
      <c r="G18" t="s">
        <v>235</v>
      </c>
      <c r="H18" t="s">
        <v>236</v>
      </c>
      <c r="I18">
        <v>74</v>
      </c>
    </row>
    <row r="19" spans="1:9">
      <c r="A19" t="s">
        <v>183</v>
      </c>
      <c r="B19" t="s">
        <v>64</v>
      </c>
      <c r="C19">
        <v>261</v>
      </c>
      <c r="D19" t="s">
        <v>237</v>
      </c>
      <c r="E19">
        <v>238</v>
      </c>
      <c r="F19" t="s">
        <v>185</v>
      </c>
      <c r="G19" t="s">
        <v>238</v>
      </c>
      <c r="H19" t="s">
        <v>239</v>
      </c>
      <c r="I19">
        <v>23</v>
      </c>
    </row>
    <row r="20" spans="1:9">
      <c r="A20" t="s">
        <v>183</v>
      </c>
      <c r="B20" t="s">
        <v>61</v>
      </c>
      <c r="C20">
        <v>310</v>
      </c>
      <c r="D20" t="s">
        <v>240</v>
      </c>
      <c r="E20">
        <v>204</v>
      </c>
      <c r="F20" t="s">
        <v>185</v>
      </c>
      <c r="G20" t="s">
        <v>241</v>
      </c>
      <c r="H20" t="s">
        <v>242</v>
      </c>
      <c r="I20">
        <v>106</v>
      </c>
    </row>
    <row r="21" spans="1:9">
      <c r="A21" t="s">
        <v>183</v>
      </c>
      <c r="B21" t="s">
        <v>161</v>
      </c>
      <c r="C21">
        <v>305.5</v>
      </c>
      <c r="D21" t="s">
        <v>243</v>
      </c>
      <c r="E21">
        <v>208.5</v>
      </c>
      <c r="F21" t="s">
        <v>185</v>
      </c>
      <c r="G21" t="s">
        <v>244</v>
      </c>
      <c r="H21" t="s">
        <v>245</v>
      </c>
      <c r="I21">
        <v>97</v>
      </c>
    </row>
    <row r="22" spans="1:9">
      <c r="A22" t="s">
        <v>183</v>
      </c>
      <c r="B22" t="s">
        <v>37</v>
      </c>
      <c r="C22">
        <v>287</v>
      </c>
      <c r="D22" t="s">
        <v>246</v>
      </c>
      <c r="E22">
        <v>223</v>
      </c>
      <c r="F22" t="s">
        <v>185</v>
      </c>
      <c r="G22" t="s">
        <v>247</v>
      </c>
      <c r="H22" t="s">
        <v>248</v>
      </c>
      <c r="I22">
        <v>64</v>
      </c>
    </row>
    <row r="23" spans="1:9">
      <c r="A23" t="s">
        <v>183</v>
      </c>
      <c r="B23" t="s">
        <v>83</v>
      </c>
      <c r="C23">
        <v>233</v>
      </c>
      <c r="D23" t="s">
        <v>249</v>
      </c>
      <c r="E23">
        <v>227</v>
      </c>
      <c r="F23" t="s">
        <v>185</v>
      </c>
      <c r="G23" t="s">
        <v>250</v>
      </c>
      <c r="H23" t="s">
        <v>251</v>
      </c>
      <c r="I23">
        <v>6</v>
      </c>
    </row>
    <row r="24" spans="1:9">
      <c r="A24" t="s">
        <v>183</v>
      </c>
      <c r="B24" t="s">
        <v>57</v>
      </c>
      <c r="C24">
        <v>305</v>
      </c>
      <c r="D24" t="s">
        <v>252</v>
      </c>
      <c r="E24">
        <v>207</v>
      </c>
      <c r="F24" t="s">
        <v>185</v>
      </c>
      <c r="G24" t="s">
        <v>253</v>
      </c>
      <c r="H24" t="s">
        <v>254</v>
      </c>
      <c r="I24">
        <v>98</v>
      </c>
    </row>
    <row r="25" spans="1:9">
      <c r="A25" t="s">
        <v>183</v>
      </c>
      <c r="B25" t="s">
        <v>128</v>
      </c>
      <c r="C25">
        <v>279</v>
      </c>
      <c r="D25" t="s">
        <v>255</v>
      </c>
      <c r="E25">
        <v>186</v>
      </c>
      <c r="F25" t="s">
        <v>185</v>
      </c>
      <c r="G25" t="s">
        <v>256</v>
      </c>
      <c r="H25" t="s">
        <v>257</v>
      </c>
      <c r="I25">
        <v>93</v>
      </c>
    </row>
    <row r="26" spans="1:9">
      <c r="A26" t="s">
        <v>183</v>
      </c>
      <c r="B26" t="s">
        <v>104</v>
      </c>
      <c r="C26">
        <v>303</v>
      </c>
      <c r="D26" t="s">
        <v>258</v>
      </c>
      <c r="E26">
        <v>211</v>
      </c>
      <c r="F26" t="s">
        <v>185</v>
      </c>
      <c r="G26" t="s">
        <v>259</v>
      </c>
      <c r="H26" t="s">
        <v>260</v>
      </c>
      <c r="I26">
        <v>92</v>
      </c>
    </row>
    <row r="27" spans="1:9">
      <c r="A27" t="s">
        <v>183</v>
      </c>
      <c r="B27" t="s">
        <v>12</v>
      </c>
      <c r="C27">
        <v>260</v>
      </c>
      <c r="D27" t="s">
        <v>261</v>
      </c>
      <c r="E27">
        <v>247</v>
      </c>
      <c r="F27" t="s">
        <v>185</v>
      </c>
      <c r="G27" t="s">
        <v>262</v>
      </c>
      <c r="H27" t="s">
        <v>263</v>
      </c>
      <c r="I27">
        <v>13</v>
      </c>
    </row>
    <row r="28" spans="1:9">
      <c r="A28" t="s">
        <v>183</v>
      </c>
      <c r="B28" t="s">
        <v>56</v>
      </c>
      <c r="C28">
        <v>281</v>
      </c>
      <c r="D28" t="s">
        <v>264</v>
      </c>
      <c r="E28">
        <v>233</v>
      </c>
      <c r="F28" t="s">
        <v>185</v>
      </c>
      <c r="G28" t="s">
        <v>265</v>
      </c>
      <c r="H28" t="s">
        <v>266</v>
      </c>
      <c r="I28">
        <v>48</v>
      </c>
    </row>
    <row r="29" spans="1:9">
      <c r="A29" t="s">
        <v>183</v>
      </c>
      <c r="B29" t="s">
        <v>85</v>
      </c>
      <c r="C29">
        <v>271</v>
      </c>
      <c r="D29" t="s">
        <v>267</v>
      </c>
      <c r="E29">
        <v>242</v>
      </c>
      <c r="F29" t="s">
        <v>185</v>
      </c>
      <c r="G29" t="s">
        <v>268</v>
      </c>
      <c r="H29" t="s">
        <v>269</v>
      </c>
      <c r="I29">
        <v>29</v>
      </c>
    </row>
    <row r="30" spans="1:9">
      <c r="A30" t="s">
        <v>183</v>
      </c>
      <c r="B30" t="s">
        <v>82</v>
      </c>
      <c r="C30">
        <v>264</v>
      </c>
      <c r="D30" t="s">
        <v>270</v>
      </c>
      <c r="E30">
        <v>248</v>
      </c>
      <c r="F30" t="s">
        <v>185</v>
      </c>
      <c r="G30" t="s">
        <v>271</v>
      </c>
      <c r="H30" t="s">
        <v>272</v>
      </c>
      <c r="I30">
        <v>16</v>
      </c>
    </row>
    <row r="31" spans="1:9">
      <c r="A31" t="s">
        <v>183</v>
      </c>
      <c r="B31" t="s">
        <v>30</v>
      </c>
      <c r="C31">
        <v>282</v>
      </c>
      <c r="D31" t="s">
        <v>273</v>
      </c>
      <c r="E31">
        <v>222</v>
      </c>
      <c r="F31" t="s">
        <v>185</v>
      </c>
      <c r="G31" t="s">
        <v>274</v>
      </c>
      <c r="H31" t="s">
        <v>275</v>
      </c>
      <c r="I31">
        <v>60</v>
      </c>
    </row>
    <row r="32" spans="1:9">
      <c r="A32" t="s">
        <v>183</v>
      </c>
      <c r="B32" t="s">
        <v>66</v>
      </c>
      <c r="C32">
        <v>275</v>
      </c>
      <c r="D32" t="s">
        <v>276</v>
      </c>
      <c r="E32">
        <v>198</v>
      </c>
      <c r="F32" t="s">
        <v>185</v>
      </c>
      <c r="G32" t="s">
        <v>277</v>
      </c>
      <c r="H32" t="s">
        <v>278</v>
      </c>
      <c r="I32">
        <v>77</v>
      </c>
    </row>
    <row r="33" spans="1:9">
      <c r="A33" t="s">
        <v>183</v>
      </c>
      <c r="B33" t="s">
        <v>50</v>
      </c>
      <c r="C33">
        <v>289</v>
      </c>
      <c r="D33" t="s">
        <v>279</v>
      </c>
      <c r="E33">
        <v>224</v>
      </c>
      <c r="F33" t="s">
        <v>185</v>
      </c>
      <c r="G33" t="s">
        <v>280</v>
      </c>
      <c r="H33" t="s">
        <v>281</v>
      </c>
      <c r="I33">
        <v>65</v>
      </c>
    </row>
    <row r="34" spans="1:9">
      <c r="A34" t="s">
        <v>183</v>
      </c>
      <c r="B34" t="s">
        <v>14</v>
      </c>
      <c r="C34">
        <v>285</v>
      </c>
      <c r="D34" t="s">
        <v>282</v>
      </c>
      <c r="E34">
        <v>222</v>
      </c>
      <c r="F34" t="s">
        <v>185</v>
      </c>
      <c r="G34" t="s">
        <v>283</v>
      </c>
      <c r="H34" t="s">
        <v>284</v>
      </c>
      <c r="I34">
        <v>63</v>
      </c>
    </row>
    <row r="35" spans="1:9">
      <c r="A35" t="s">
        <v>183</v>
      </c>
      <c r="B35" t="s">
        <v>19</v>
      </c>
      <c r="C35">
        <v>260</v>
      </c>
      <c r="D35" t="s">
        <v>285</v>
      </c>
      <c r="E35">
        <v>244</v>
      </c>
      <c r="F35" t="s">
        <v>185</v>
      </c>
      <c r="G35" t="s">
        <v>286</v>
      </c>
      <c r="H35" t="s">
        <v>287</v>
      </c>
      <c r="I35">
        <v>16</v>
      </c>
    </row>
    <row r="36" spans="1:9">
      <c r="A36" t="s">
        <v>183</v>
      </c>
      <c r="B36" t="s">
        <v>8</v>
      </c>
      <c r="C36">
        <v>357</v>
      </c>
      <c r="D36" t="s">
        <v>288</v>
      </c>
      <c r="E36">
        <v>157</v>
      </c>
      <c r="F36" t="s">
        <v>185</v>
      </c>
      <c r="G36" t="s">
        <v>289</v>
      </c>
      <c r="H36" t="s">
        <v>290</v>
      </c>
      <c r="I36">
        <v>200</v>
      </c>
    </row>
    <row r="37" spans="1:9">
      <c r="A37" t="s">
        <v>183</v>
      </c>
      <c r="B37" t="s">
        <v>60</v>
      </c>
      <c r="C37">
        <v>248</v>
      </c>
      <c r="D37" t="s">
        <v>291</v>
      </c>
      <c r="E37">
        <v>240</v>
      </c>
      <c r="F37" t="s">
        <v>185</v>
      </c>
      <c r="G37" t="s">
        <v>292</v>
      </c>
      <c r="H37" t="s">
        <v>293</v>
      </c>
      <c r="I37">
        <v>8</v>
      </c>
    </row>
    <row r="38" spans="1:9">
      <c r="A38" t="s">
        <v>183</v>
      </c>
      <c r="B38" t="s">
        <v>70</v>
      </c>
      <c r="C38">
        <v>247</v>
      </c>
      <c r="D38" t="s">
        <v>294</v>
      </c>
      <c r="E38">
        <v>242</v>
      </c>
      <c r="F38" t="s">
        <v>185</v>
      </c>
      <c r="G38" t="s">
        <v>295</v>
      </c>
      <c r="H38" t="s">
        <v>296</v>
      </c>
      <c r="I38">
        <v>5</v>
      </c>
    </row>
    <row r="39" spans="1:9">
      <c r="A39" t="s">
        <v>183</v>
      </c>
      <c r="B39" t="s">
        <v>18</v>
      </c>
      <c r="C39">
        <v>192</v>
      </c>
      <c r="D39" t="s">
        <v>297</v>
      </c>
      <c r="E39">
        <v>182</v>
      </c>
      <c r="F39" t="s">
        <v>195</v>
      </c>
      <c r="G39" t="s">
        <v>298</v>
      </c>
      <c r="H39" t="s">
        <v>299</v>
      </c>
      <c r="I39">
        <v>10</v>
      </c>
    </row>
    <row r="40" spans="1:9">
      <c r="A40" t="s">
        <v>183</v>
      </c>
      <c r="B40" t="s">
        <v>81</v>
      </c>
      <c r="C40">
        <v>278</v>
      </c>
      <c r="D40" t="s">
        <v>300</v>
      </c>
      <c r="E40">
        <v>199</v>
      </c>
      <c r="F40" t="s">
        <v>185</v>
      </c>
      <c r="G40" t="s">
        <v>301</v>
      </c>
      <c r="H40" t="s">
        <v>302</v>
      </c>
      <c r="I40">
        <v>79</v>
      </c>
    </row>
    <row r="41" spans="1:9">
      <c r="A41" t="s">
        <v>183</v>
      </c>
      <c r="B41" t="s">
        <v>36</v>
      </c>
      <c r="C41">
        <v>284</v>
      </c>
      <c r="D41" t="s">
        <v>303</v>
      </c>
      <c r="E41">
        <v>229</v>
      </c>
      <c r="F41" t="s">
        <v>185</v>
      </c>
      <c r="G41" t="s">
        <v>304</v>
      </c>
      <c r="H41" t="s">
        <v>305</v>
      </c>
      <c r="I41">
        <v>55</v>
      </c>
    </row>
    <row r="42" spans="1:9">
      <c r="A42" t="s">
        <v>183</v>
      </c>
      <c r="B42" t="s">
        <v>35</v>
      </c>
      <c r="C42">
        <v>322.5</v>
      </c>
      <c r="D42" t="s">
        <v>306</v>
      </c>
      <c r="E42">
        <v>176.5</v>
      </c>
      <c r="F42" t="s">
        <v>185</v>
      </c>
      <c r="G42" t="s">
        <v>307</v>
      </c>
      <c r="H42" t="s">
        <v>308</v>
      </c>
      <c r="I42">
        <v>146</v>
      </c>
    </row>
    <row r="43" spans="1:9">
      <c r="A43" t="s">
        <v>183</v>
      </c>
      <c r="B43" t="s">
        <v>40</v>
      </c>
      <c r="C43">
        <v>263</v>
      </c>
      <c r="D43" t="s">
        <v>309</v>
      </c>
      <c r="E43">
        <v>105</v>
      </c>
      <c r="F43" t="s">
        <v>185</v>
      </c>
      <c r="G43" t="s">
        <v>310</v>
      </c>
      <c r="H43" t="s">
        <v>311</v>
      </c>
      <c r="I43">
        <v>158</v>
      </c>
    </row>
    <row r="44" spans="1:9">
      <c r="A44" t="s">
        <v>183</v>
      </c>
      <c r="B44" t="s">
        <v>9</v>
      </c>
      <c r="C44">
        <v>293.5</v>
      </c>
      <c r="D44" t="s">
        <v>312</v>
      </c>
      <c r="E44">
        <v>191.5</v>
      </c>
      <c r="F44" t="s">
        <v>195</v>
      </c>
      <c r="G44" t="s">
        <v>313</v>
      </c>
      <c r="H44" t="s">
        <v>314</v>
      </c>
      <c r="I44">
        <v>102</v>
      </c>
    </row>
    <row r="45" spans="1:9">
      <c r="A45" t="s">
        <v>315</v>
      </c>
      <c r="B45" t="s">
        <v>82</v>
      </c>
      <c r="C45">
        <v>284</v>
      </c>
      <c r="D45" t="s">
        <v>300</v>
      </c>
      <c r="E45">
        <v>74</v>
      </c>
      <c r="F45" t="s">
        <v>195</v>
      </c>
      <c r="G45" t="s">
        <v>316</v>
      </c>
      <c r="H45" t="s">
        <v>317</v>
      </c>
      <c r="I45">
        <v>210</v>
      </c>
    </row>
    <row r="46" spans="1:9">
      <c r="A46" t="s">
        <v>315</v>
      </c>
      <c r="B46" t="s">
        <v>98</v>
      </c>
      <c r="C46">
        <v>274.5</v>
      </c>
      <c r="D46" t="s">
        <v>225</v>
      </c>
      <c r="E46">
        <v>106.5</v>
      </c>
      <c r="F46" t="s">
        <v>195</v>
      </c>
      <c r="G46" t="s">
        <v>318</v>
      </c>
      <c r="H46" t="s">
        <v>319</v>
      </c>
      <c r="I46">
        <v>168</v>
      </c>
    </row>
    <row r="47" spans="1:9">
      <c r="A47" t="s">
        <v>315</v>
      </c>
      <c r="B47" t="s">
        <v>38</v>
      </c>
      <c r="C47">
        <v>199</v>
      </c>
      <c r="D47" t="s">
        <v>320</v>
      </c>
      <c r="E47">
        <v>175</v>
      </c>
      <c r="F47" t="s">
        <v>195</v>
      </c>
      <c r="G47" t="s">
        <v>321</v>
      </c>
      <c r="H47" t="s">
        <v>322</v>
      </c>
      <c r="I47">
        <v>24</v>
      </c>
    </row>
    <row r="48" spans="1:9">
      <c r="A48" t="s">
        <v>315</v>
      </c>
      <c r="B48" t="s">
        <v>61</v>
      </c>
      <c r="C48">
        <v>346.6</v>
      </c>
      <c r="D48" t="s">
        <v>243</v>
      </c>
      <c r="E48">
        <v>155.5</v>
      </c>
      <c r="F48" t="s">
        <v>185</v>
      </c>
      <c r="G48" t="s">
        <v>323</v>
      </c>
      <c r="H48" t="s">
        <v>324</v>
      </c>
      <c r="I48">
        <v>191.10000000000002</v>
      </c>
    </row>
    <row r="49" spans="1:9">
      <c r="A49" t="s">
        <v>315</v>
      </c>
      <c r="B49" t="s">
        <v>30</v>
      </c>
      <c r="C49">
        <v>273</v>
      </c>
      <c r="D49" t="s">
        <v>325</v>
      </c>
      <c r="E49">
        <v>240</v>
      </c>
      <c r="F49" t="s">
        <v>185</v>
      </c>
      <c r="G49" t="s">
        <v>326</v>
      </c>
      <c r="H49" t="s">
        <v>327</v>
      </c>
      <c r="I49">
        <v>33</v>
      </c>
    </row>
    <row r="50" spans="1:9">
      <c r="A50" t="s">
        <v>315</v>
      </c>
      <c r="B50" t="s">
        <v>37</v>
      </c>
      <c r="C50">
        <v>335</v>
      </c>
      <c r="D50" t="s">
        <v>228</v>
      </c>
      <c r="E50">
        <v>178</v>
      </c>
      <c r="F50" t="s">
        <v>185</v>
      </c>
      <c r="G50" t="s">
        <v>328</v>
      </c>
      <c r="H50" t="s">
        <v>329</v>
      </c>
      <c r="I50">
        <v>157</v>
      </c>
    </row>
    <row r="51" spans="1:9">
      <c r="A51" t="s">
        <v>315</v>
      </c>
      <c r="B51" t="s">
        <v>70</v>
      </c>
      <c r="C51">
        <v>294</v>
      </c>
      <c r="D51" t="s">
        <v>219</v>
      </c>
      <c r="E51">
        <v>196</v>
      </c>
      <c r="F51" t="s">
        <v>185</v>
      </c>
      <c r="G51" t="s">
        <v>330</v>
      </c>
      <c r="H51" t="s">
        <v>331</v>
      </c>
      <c r="I51">
        <v>98</v>
      </c>
    </row>
    <row r="52" spans="1:9">
      <c r="A52" t="s">
        <v>315</v>
      </c>
      <c r="B52" t="s">
        <v>63</v>
      </c>
      <c r="C52">
        <v>359</v>
      </c>
      <c r="D52" t="s">
        <v>234</v>
      </c>
      <c r="E52">
        <v>155</v>
      </c>
      <c r="F52" t="s">
        <v>185</v>
      </c>
      <c r="G52" t="s">
        <v>332</v>
      </c>
      <c r="H52" t="s">
        <v>333</v>
      </c>
      <c r="I52">
        <v>204</v>
      </c>
    </row>
    <row r="53" spans="1:9">
      <c r="A53" t="s">
        <v>315</v>
      </c>
      <c r="B53" t="s">
        <v>36</v>
      </c>
      <c r="C53">
        <v>287</v>
      </c>
      <c r="D53" t="s">
        <v>222</v>
      </c>
      <c r="E53">
        <v>222</v>
      </c>
      <c r="F53" t="s">
        <v>185</v>
      </c>
      <c r="G53" t="s">
        <v>334</v>
      </c>
      <c r="H53" t="s">
        <v>335</v>
      </c>
      <c r="I53">
        <v>65</v>
      </c>
    </row>
    <row r="54" spans="1:9">
      <c r="A54" t="s">
        <v>315</v>
      </c>
      <c r="B54" t="s">
        <v>22</v>
      </c>
      <c r="C54">
        <v>267</v>
      </c>
      <c r="D54" t="s">
        <v>198</v>
      </c>
      <c r="E54">
        <v>231</v>
      </c>
      <c r="F54" t="s">
        <v>185</v>
      </c>
      <c r="G54" t="s">
        <v>336</v>
      </c>
      <c r="H54" t="s">
        <v>337</v>
      </c>
      <c r="I54">
        <v>36</v>
      </c>
    </row>
    <row r="55" spans="1:9">
      <c r="A55" t="s">
        <v>315</v>
      </c>
      <c r="B55" t="s">
        <v>64</v>
      </c>
      <c r="C55">
        <v>194</v>
      </c>
      <c r="D55" t="s">
        <v>210</v>
      </c>
      <c r="E55">
        <v>170</v>
      </c>
      <c r="F55" t="s">
        <v>195</v>
      </c>
      <c r="G55" t="s">
        <v>338</v>
      </c>
      <c r="H55" t="s">
        <v>339</v>
      </c>
      <c r="I55">
        <v>24</v>
      </c>
    </row>
    <row r="56" spans="1:9">
      <c r="A56" t="s">
        <v>315</v>
      </c>
      <c r="B56" t="s">
        <v>161</v>
      </c>
      <c r="C56">
        <v>300</v>
      </c>
      <c r="D56" t="s">
        <v>240</v>
      </c>
      <c r="E56">
        <v>213</v>
      </c>
      <c r="F56" t="s">
        <v>185</v>
      </c>
      <c r="G56" t="s">
        <v>340</v>
      </c>
      <c r="H56" t="s">
        <v>341</v>
      </c>
      <c r="I56">
        <v>87</v>
      </c>
    </row>
    <row r="57" spans="1:9">
      <c r="A57" t="s">
        <v>315</v>
      </c>
      <c r="B57" t="s">
        <v>27</v>
      </c>
      <c r="C57">
        <v>341.5</v>
      </c>
      <c r="D57" t="s">
        <v>273</v>
      </c>
      <c r="E57">
        <v>166.5</v>
      </c>
      <c r="F57" t="s">
        <v>185</v>
      </c>
      <c r="G57" t="s">
        <v>342</v>
      </c>
      <c r="H57" t="s">
        <v>343</v>
      </c>
      <c r="I57">
        <v>175</v>
      </c>
    </row>
    <row r="58" spans="1:9">
      <c r="A58" t="s">
        <v>315</v>
      </c>
      <c r="B58" t="s">
        <v>31</v>
      </c>
      <c r="C58">
        <v>318.5</v>
      </c>
      <c r="D58" t="s">
        <v>249</v>
      </c>
      <c r="E58">
        <v>194.5</v>
      </c>
      <c r="F58" t="s">
        <v>185</v>
      </c>
      <c r="G58" t="s">
        <v>344</v>
      </c>
      <c r="H58" t="s">
        <v>345</v>
      </c>
      <c r="I58">
        <v>124</v>
      </c>
    </row>
    <row r="59" spans="1:9">
      <c r="A59" t="s">
        <v>315</v>
      </c>
      <c r="B59" t="s">
        <v>85</v>
      </c>
      <c r="C59">
        <v>355</v>
      </c>
      <c r="D59" t="s">
        <v>255</v>
      </c>
      <c r="E59">
        <v>135</v>
      </c>
      <c r="F59" t="s">
        <v>185</v>
      </c>
      <c r="G59" t="s">
        <v>346</v>
      </c>
      <c r="H59" t="s">
        <v>347</v>
      </c>
      <c r="I59">
        <v>220</v>
      </c>
    </row>
    <row r="60" spans="1:9">
      <c r="A60" t="s">
        <v>315</v>
      </c>
      <c r="B60" t="s">
        <v>0</v>
      </c>
      <c r="C60">
        <v>307</v>
      </c>
      <c r="D60" t="s">
        <v>348</v>
      </c>
      <c r="E60">
        <v>205</v>
      </c>
      <c r="F60" t="s">
        <v>185</v>
      </c>
      <c r="G60" t="s">
        <v>349</v>
      </c>
      <c r="H60" t="s">
        <v>350</v>
      </c>
      <c r="I60">
        <v>102</v>
      </c>
    </row>
    <row r="61" spans="1:9">
      <c r="A61" t="s">
        <v>315</v>
      </c>
      <c r="B61" t="s">
        <v>57</v>
      </c>
      <c r="C61">
        <v>282.5</v>
      </c>
      <c r="D61" t="s">
        <v>351</v>
      </c>
      <c r="E61">
        <v>225.5</v>
      </c>
      <c r="F61" t="s">
        <v>185</v>
      </c>
      <c r="G61" t="s">
        <v>352</v>
      </c>
      <c r="H61" t="s">
        <v>353</v>
      </c>
      <c r="I61">
        <v>57</v>
      </c>
    </row>
    <row r="62" spans="1:9">
      <c r="A62" t="s">
        <v>315</v>
      </c>
      <c r="B62" t="s">
        <v>18</v>
      </c>
      <c r="C62">
        <v>276.5</v>
      </c>
      <c r="D62" t="s">
        <v>204</v>
      </c>
      <c r="E62">
        <v>237.5</v>
      </c>
      <c r="F62" t="s">
        <v>185</v>
      </c>
      <c r="G62" t="s">
        <v>354</v>
      </c>
      <c r="H62" t="s">
        <v>355</v>
      </c>
      <c r="I62">
        <v>39</v>
      </c>
    </row>
    <row r="63" spans="1:9">
      <c r="A63" t="s">
        <v>315</v>
      </c>
      <c r="B63" t="s">
        <v>62</v>
      </c>
      <c r="C63">
        <v>198</v>
      </c>
      <c r="D63" t="s">
        <v>231</v>
      </c>
      <c r="E63">
        <v>172</v>
      </c>
      <c r="F63" t="s">
        <v>195</v>
      </c>
      <c r="G63" t="s">
        <v>356</v>
      </c>
      <c r="H63" t="s">
        <v>357</v>
      </c>
      <c r="I63">
        <v>26</v>
      </c>
    </row>
    <row r="64" spans="1:9">
      <c r="A64" t="s">
        <v>315</v>
      </c>
      <c r="B64" t="s">
        <v>54</v>
      </c>
      <c r="C64">
        <v>276.5</v>
      </c>
      <c r="D64" t="s">
        <v>358</v>
      </c>
      <c r="E64">
        <v>236.5</v>
      </c>
      <c r="F64" t="s">
        <v>185</v>
      </c>
      <c r="G64" t="s">
        <v>359</v>
      </c>
      <c r="H64" t="s">
        <v>360</v>
      </c>
      <c r="I64">
        <v>40</v>
      </c>
    </row>
    <row r="65" spans="1:9">
      <c r="A65" t="s">
        <v>315</v>
      </c>
      <c r="B65" t="s">
        <v>48</v>
      </c>
      <c r="C65">
        <v>194</v>
      </c>
      <c r="D65" t="s">
        <v>191</v>
      </c>
      <c r="E65">
        <v>72</v>
      </c>
      <c r="F65" t="s">
        <v>195</v>
      </c>
      <c r="G65" t="s">
        <v>361</v>
      </c>
      <c r="H65" t="s">
        <v>362</v>
      </c>
      <c r="I65">
        <v>122</v>
      </c>
    </row>
    <row r="66" spans="1:9">
      <c r="A66" t="s">
        <v>315</v>
      </c>
      <c r="B66" t="s">
        <v>1</v>
      </c>
      <c r="C66">
        <v>268</v>
      </c>
      <c r="D66" t="s">
        <v>363</v>
      </c>
      <c r="E66">
        <v>208</v>
      </c>
      <c r="F66" t="s">
        <v>185</v>
      </c>
      <c r="G66" t="s">
        <v>364</v>
      </c>
      <c r="H66" t="s">
        <v>365</v>
      </c>
      <c r="I66">
        <v>60</v>
      </c>
    </row>
    <row r="67" spans="1:9">
      <c r="A67" t="s">
        <v>315</v>
      </c>
      <c r="B67" t="s">
        <v>20</v>
      </c>
      <c r="C67">
        <v>254</v>
      </c>
      <c r="D67" t="s">
        <v>261</v>
      </c>
      <c r="E67">
        <v>235</v>
      </c>
      <c r="F67" t="s">
        <v>195</v>
      </c>
      <c r="G67" t="s">
        <v>366</v>
      </c>
      <c r="H67" t="s">
        <v>367</v>
      </c>
      <c r="I67">
        <v>19</v>
      </c>
    </row>
    <row r="68" spans="1:9">
      <c r="A68" t="s">
        <v>315</v>
      </c>
      <c r="B68" t="s">
        <v>60</v>
      </c>
      <c r="C68">
        <v>248</v>
      </c>
      <c r="D68" t="s">
        <v>276</v>
      </c>
      <c r="E68">
        <v>227</v>
      </c>
      <c r="F68" t="s">
        <v>185</v>
      </c>
      <c r="G68" t="s">
        <v>368</v>
      </c>
      <c r="H68" t="s">
        <v>369</v>
      </c>
      <c r="I68">
        <v>21</v>
      </c>
    </row>
    <row r="69" spans="1:9">
      <c r="A69" t="s">
        <v>315</v>
      </c>
      <c r="B69" t="s">
        <v>3</v>
      </c>
      <c r="C69">
        <v>241</v>
      </c>
      <c r="D69" t="s">
        <v>370</v>
      </c>
      <c r="E69">
        <v>223</v>
      </c>
      <c r="F69" t="s">
        <v>195</v>
      </c>
      <c r="G69" t="s">
        <v>371</v>
      </c>
      <c r="H69" t="s">
        <v>372</v>
      </c>
      <c r="I69">
        <v>18</v>
      </c>
    </row>
    <row r="70" spans="1:9">
      <c r="A70" t="s">
        <v>315</v>
      </c>
      <c r="B70" t="s">
        <v>15</v>
      </c>
      <c r="C70">
        <v>226</v>
      </c>
      <c r="D70" t="s">
        <v>297</v>
      </c>
      <c r="E70">
        <v>148</v>
      </c>
      <c r="F70" t="s">
        <v>195</v>
      </c>
      <c r="G70" t="s">
        <v>373</v>
      </c>
      <c r="H70" t="s">
        <v>374</v>
      </c>
      <c r="I70">
        <v>78</v>
      </c>
    </row>
    <row r="71" spans="1:9">
      <c r="A71" t="s">
        <v>315</v>
      </c>
      <c r="B71" t="s">
        <v>66</v>
      </c>
      <c r="C71">
        <v>282</v>
      </c>
      <c r="D71" t="s">
        <v>291</v>
      </c>
      <c r="E71">
        <v>175</v>
      </c>
      <c r="F71" t="s">
        <v>185</v>
      </c>
      <c r="G71" t="s">
        <v>375</v>
      </c>
      <c r="H71" t="s">
        <v>376</v>
      </c>
      <c r="I71">
        <v>107</v>
      </c>
    </row>
    <row r="72" spans="1:9">
      <c r="A72" t="s">
        <v>315</v>
      </c>
      <c r="B72" t="s">
        <v>29</v>
      </c>
      <c r="C72">
        <v>261</v>
      </c>
      <c r="D72" t="s">
        <v>282</v>
      </c>
      <c r="E72">
        <v>251</v>
      </c>
      <c r="F72" t="s">
        <v>185</v>
      </c>
      <c r="G72" t="s">
        <v>377</v>
      </c>
      <c r="H72" t="s">
        <v>378</v>
      </c>
      <c r="I72">
        <v>10</v>
      </c>
    </row>
    <row r="73" spans="1:9">
      <c r="A73" t="s">
        <v>315</v>
      </c>
      <c r="B73" t="s">
        <v>32</v>
      </c>
      <c r="C73">
        <v>316.5</v>
      </c>
      <c r="D73" t="s">
        <v>309</v>
      </c>
      <c r="E73">
        <v>135.5</v>
      </c>
      <c r="F73" t="s">
        <v>185</v>
      </c>
      <c r="G73" t="s">
        <v>379</v>
      </c>
      <c r="H73" t="s">
        <v>380</v>
      </c>
      <c r="I73">
        <v>181</v>
      </c>
    </row>
    <row r="74" spans="1:9">
      <c r="A74" t="s">
        <v>315</v>
      </c>
      <c r="B74" t="s">
        <v>12</v>
      </c>
      <c r="C74">
        <v>309</v>
      </c>
      <c r="D74" t="s">
        <v>184</v>
      </c>
      <c r="E74">
        <v>204</v>
      </c>
      <c r="F74" t="s">
        <v>185</v>
      </c>
      <c r="G74" t="s">
        <v>381</v>
      </c>
      <c r="H74" t="s">
        <v>382</v>
      </c>
      <c r="I74">
        <v>105</v>
      </c>
    </row>
    <row r="75" spans="1:9">
      <c r="A75" t="s">
        <v>315</v>
      </c>
      <c r="B75" t="s">
        <v>17</v>
      </c>
      <c r="C75">
        <v>247</v>
      </c>
      <c r="D75" t="s">
        <v>285</v>
      </c>
      <c r="E75">
        <v>217</v>
      </c>
      <c r="F75" t="s">
        <v>195</v>
      </c>
      <c r="G75" t="s">
        <v>383</v>
      </c>
      <c r="H75" t="s">
        <v>384</v>
      </c>
      <c r="I75">
        <v>30</v>
      </c>
    </row>
    <row r="76" spans="1:9">
      <c r="A76" t="s">
        <v>315</v>
      </c>
      <c r="B76" t="s">
        <v>4</v>
      </c>
      <c r="C76">
        <v>319</v>
      </c>
      <c r="D76" t="s">
        <v>288</v>
      </c>
      <c r="E76">
        <v>195</v>
      </c>
      <c r="F76" t="s">
        <v>185</v>
      </c>
      <c r="G76" t="s">
        <v>385</v>
      </c>
      <c r="H76" t="s">
        <v>386</v>
      </c>
      <c r="I76">
        <v>124</v>
      </c>
    </row>
    <row r="77" spans="1:9">
      <c r="A77" t="s">
        <v>315</v>
      </c>
      <c r="B77" t="s">
        <v>14</v>
      </c>
      <c r="C77">
        <v>279</v>
      </c>
      <c r="D77" t="s">
        <v>387</v>
      </c>
      <c r="E77">
        <v>235</v>
      </c>
      <c r="F77" t="s">
        <v>185</v>
      </c>
      <c r="G77" t="s">
        <v>388</v>
      </c>
      <c r="H77" t="s">
        <v>389</v>
      </c>
      <c r="I77">
        <v>44</v>
      </c>
    </row>
    <row r="78" spans="1:9">
      <c r="A78" t="s">
        <v>315</v>
      </c>
      <c r="B78" t="s">
        <v>50</v>
      </c>
      <c r="C78">
        <v>210</v>
      </c>
      <c r="D78" t="s">
        <v>312</v>
      </c>
      <c r="E78">
        <v>163</v>
      </c>
      <c r="F78" t="s">
        <v>195</v>
      </c>
      <c r="G78" t="s">
        <v>390</v>
      </c>
      <c r="H78" t="s">
        <v>391</v>
      </c>
      <c r="I78">
        <v>47</v>
      </c>
    </row>
    <row r="79" spans="1:9">
      <c r="A79" t="s">
        <v>315</v>
      </c>
      <c r="B79" t="s">
        <v>53</v>
      </c>
      <c r="C79">
        <v>205.5</v>
      </c>
      <c r="D79" t="s">
        <v>252</v>
      </c>
      <c r="E79">
        <v>140.5</v>
      </c>
      <c r="F79" t="s">
        <v>195</v>
      </c>
      <c r="G79" t="s">
        <v>392</v>
      </c>
      <c r="H79" t="s">
        <v>393</v>
      </c>
      <c r="I79">
        <v>65</v>
      </c>
    </row>
    <row r="80" spans="1:9">
      <c r="A80" t="s">
        <v>315</v>
      </c>
      <c r="B80" t="s">
        <v>99</v>
      </c>
      <c r="C80">
        <v>286.5</v>
      </c>
      <c r="D80" t="s">
        <v>246</v>
      </c>
      <c r="E80">
        <v>103.5</v>
      </c>
      <c r="F80" t="s">
        <v>195</v>
      </c>
      <c r="G80" t="s">
        <v>394</v>
      </c>
      <c r="H80" t="s">
        <v>395</v>
      </c>
      <c r="I80">
        <v>183</v>
      </c>
    </row>
    <row r="81" spans="1:9">
      <c r="A81" t="s">
        <v>315</v>
      </c>
      <c r="B81" t="s">
        <v>8</v>
      </c>
      <c r="C81">
        <v>206</v>
      </c>
      <c r="D81" t="s">
        <v>188</v>
      </c>
      <c r="E81">
        <v>168</v>
      </c>
      <c r="F81" t="s">
        <v>195</v>
      </c>
      <c r="G81" t="s">
        <v>396</v>
      </c>
      <c r="H81" t="s">
        <v>397</v>
      </c>
      <c r="I81">
        <v>38</v>
      </c>
    </row>
    <row r="82" spans="1:9">
      <c r="A82" t="s">
        <v>315</v>
      </c>
      <c r="B82" t="s">
        <v>19</v>
      </c>
      <c r="C82">
        <v>269</v>
      </c>
      <c r="D82" t="s">
        <v>398</v>
      </c>
      <c r="E82">
        <v>244</v>
      </c>
      <c r="F82" t="s">
        <v>185</v>
      </c>
      <c r="G82" t="s">
        <v>399</v>
      </c>
      <c r="H82" t="s">
        <v>400</v>
      </c>
      <c r="I82">
        <v>25</v>
      </c>
    </row>
    <row r="83" spans="1:9">
      <c r="A83" t="s">
        <v>315</v>
      </c>
      <c r="B83" t="s">
        <v>35</v>
      </c>
      <c r="C83">
        <v>224</v>
      </c>
      <c r="D83" t="s">
        <v>401</v>
      </c>
      <c r="E83">
        <v>216</v>
      </c>
      <c r="F83" t="s">
        <v>195</v>
      </c>
      <c r="G83" t="s">
        <v>402</v>
      </c>
      <c r="H83" t="s">
        <v>403</v>
      </c>
      <c r="I83">
        <v>8</v>
      </c>
    </row>
    <row r="84" spans="1:9">
      <c r="A84" t="s">
        <v>315</v>
      </c>
      <c r="B84" t="s">
        <v>34</v>
      </c>
      <c r="C84">
        <v>388.5</v>
      </c>
      <c r="D84" t="s">
        <v>404</v>
      </c>
      <c r="E84">
        <v>105.5</v>
      </c>
      <c r="F84" t="s">
        <v>185</v>
      </c>
      <c r="G84" t="s">
        <v>405</v>
      </c>
      <c r="H84" t="s">
        <v>406</v>
      </c>
      <c r="I84">
        <v>283</v>
      </c>
    </row>
    <row r="85" spans="1:9">
      <c r="A85" t="s">
        <v>315</v>
      </c>
      <c r="B85" t="s">
        <v>2</v>
      </c>
      <c r="C85">
        <v>283</v>
      </c>
      <c r="D85" t="s">
        <v>303</v>
      </c>
      <c r="E85">
        <v>230</v>
      </c>
      <c r="F85" t="s">
        <v>185</v>
      </c>
      <c r="G85" t="s">
        <v>407</v>
      </c>
      <c r="H85" t="s">
        <v>408</v>
      </c>
      <c r="I85">
        <v>53</v>
      </c>
    </row>
    <row r="86" spans="1:9">
      <c r="A86" t="s">
        <v>315</v>
      </c>
      <c r="B86" t="s">
        <v>49</v>
      </c>
      <c r="C86">
        <v>287</v>
      </c>
      <c r="D86" t="s">
        <v>409</v>
      </c>
      <c r="E86">
        <v>212</v>
      </c>
      <c r="F86" t="s">
        <v>185</v>
      </c>
      <c r="G86" t="s">
        <v>410</v>
      </c>
      <c r="H86" t="s">
        <v>411</v>
      </c>
      <c r="I86">
        <v>75</v>
      </c>
    </row>
    <row r="87" spans="1:9">
      <c r="A87" t="s">
        <v>412</v>
      </c>
      <c r="B87" t="s">
        <v>10</v>
      </c>
      <c r="C87">
        <v>347</v>
      </c>
      <c r="D87" t="s">
        <v>184</v>
      </c>
      <c r="E87">
        <v>167</v>
      </c>
      <c r="F87" t="s">
        <v>185</v>
      </c>
      <c r="G87" t="s">
        <v>413</v>
      </c>
      <c r="H87" t="s">
        <v>414</v>
      </c>
      <c r="I87">
        <v>180</v>
      </c>
    </row>
    <row r="88" spans="1:9">
      <c r="A88" t="s">
        <v>412</v>
      </c>
      <c r="B88" t="s">
        <v>21</v>
      </c>
      <c r="C88">
        <v>298</v>
      </c>
      <c r="D88" t="s">
        <v>415</v>
      </c>
      <c r="E88">
        <v>216</v>
      </c>
      <c r="F88" t="s">
        <v>185</v>
      </c>
      <c r="G88" t="s">
        <v>416</v>
      </c>
      <c r="H88" t="s">
        <v>417</v>
      </c>
      <c r="I88">
        <v>82</v>
      </c>
    </row>
    <row r="89" spans="1:9">
      <c r="A89" t="s">
        <v>412</v>
      </c>
      <c r="B89" t="s">
        <v>70</v>
      </c>
      <c r="C89">
        <v>289</v>
      </c>
      <c r="D89" t="s">
        <v>210</v>
      </c>
      <c r="E89">
        <v>206</v>
      </c>
      <c r="F89" t="s">
        <v>185</v>
      </c>
      <c r="G89" t="s">
        <v>418</v>
      </c>
      <c r="H89" t="s">
        <v>419</v>
      </c>
      <c r="I89">
        <v>83</v>
      </c>
    </row>
    <row r="90" spans="1:9">
      <c r="A90" t="s">
        <v>412</v>
      </c>
      <c r="B90" t="s">
        <v>81</v>
      </c>
      <c r="C90">
        <v>252</v>
      </c>
      <c r="D90" t="s">
        <v>306</v>
      </c>
      <c r="E90">
        <v>248</v>
      </c>
      <c r="F90" t="s">
        <v>185</v>
      </c>
      <c r="G90" t="s">
        <v>420</v>
      </c>
      <c r="H90" t="s">
        <v>421</v>
      </c>
      <c r="I90">
        <v>4</v>
      </c>
    </row>
    <row r="91" spans="1:9">
      <c r="A91" t="s">
        <v>412</v>
      </c>
      <c r="B91" t="s">
        <v>99</v>
      </c>
      <c r="C91">
        <v>266</v>
      </c>
      <c r="D91" t="s">
        <v>320</v>
      </c>
      <c r="E91">
        <v>233</v>
      </c>
      <c r="F91" t="s">
        <v>185</v>
      </c>
      <c r="G91" t="s">
        <v>422</v>
      </c>
      <c r="H91" t="s">
        <v>423</v>
      </c>
      <c r="I91">
        <v>33</v>
      </c>
    </row>
    <row r="92" spans="1:9">
      <c r="A92" t="s">
        <v>412</v>
      </c>
      <c r="B92" t="s">
        <v>30</v>
      </c>
      <c r="C92">
        <v>303</v>
      </c>
      <c r="D92" t="s">
        <v>282</v>
      </c>
      <c r="E92">
        <v>202</v>
      </c>
      <c r="F92" t="s">
        <v>185</v>
      </c>
      <c r="G92" t="s">
        <v>424</v>
      </c>
      <c r="H92" t="s">
        <v>425</v>
      </c>
      <c r="I92">
        <v>101</v>
      </c>
    </row>
    <row r="93" spans="1:9">
      <c r="A93" t="s">
        <v>412</v>
      </c>
      <c r="B93" t="s">
        <v>20</v>
      </c>
      <c r="C93">
        <v>258</v>
      </c>
      <c r="D93" t="s">
        <v>201</v>
      </c>
      <c r="E93">
        <v>255</v>
      </c>
      <c r="F93" t="s">
        <v>185</v>
      </c>
      <c r="G93" t="s">
        <v>426</v>
      </c>
      <c r="H93" t="s">
        <v>427</v>
      </c>
      <c r="I93">
        <v>3</v>
      </c>
    </row>
    <row r="94" spans="1:9">
      <c r="A94" t="s">
        <v>412</v>
      </c>
      <c r="B94" t="s">
        <v>15</v>
      </c>
      <c r="C94">
        <v>278</v>
      </c>
      <c r="D94" t="s">
        <v>288</v>
      </c>
      <c r="E94">
        <v>236</v>
      </c>
      <c r="F94" t="s">
        <v>185</v>
      </c>
      <c r="G94" t="s">
        <v>428</v>
      </c>
      <c r="H94" t="s">
        <v>429</v>
      </c>
      <c r="I94">
        <v>42</v>
      </c>
    </row>
    <row r="95" spans="1:9">
      <c r="A95" t="s">
        <v>412</v>
      </c>
      <c r="B95" t="s">
        <v>34</v>
      </c>
      <c r="C95">
        <v>330</v>
      </c>
      <c r="D95" t="s">
        <v>198</v>
      </c>
      <c r="E95">
        <v>183</v>
      </c>
      <c r="F95" t="s">
        <v>185</v>
      </c>
      <c r="G95" t="s">
        <v>430</v>
      </c>
      <c r="H95" t="s">
        <v>431</v>
      </c>
      <c r="I95">
        <v>147</v>
      </c>
    </row>
    <row r="96" spans="1:9">
      <c r="A96" t="s">
        <v>412</v>
      </c>
      <c r="B96" t="s">
        <v>73</v>
      </c>
      <c r="C96">
        <v>337.5</v>
      </c>
      <c r="D96" t="s">
        <v>300</v>
      </c>
      <c r="E96">
        <v>174.5</v>
      </c>
      <c r="F96" t="s">
        <v>185</v>
      </c>
      <c r="G96" t="s">
        <v>432</v>
      </c>
      <c r="H96" t="s">
        <v>433</v>
      </c>
      <c r="I96">
        <v>163</v>
      </c>
    </row>
    <row r="97" spans="1:9">
      <c r="A97" t="s">
        <v>412</v>
      </c>
      <c r="B97" t="s">
        <v>67</v>
      </c>
      <c r="C97">
        <v>276.5</v>
      </c>
      <c r="D97" t="s">
        <v>267</v>
      </c>
      <c r="E97">
        <v>237.5</v>
      </c>
      <c r="F97" t="s">
        <v>185</v>
      </c>
      <c r="G97" t="s">
        <v>434</v>
      </c>
      <c r="H97" t="s">
        <v>435</v>
      </c>
      <c r="I97">
        <v>39</v>
      </c>
    </row>
    <row r="98" spans="1:9">
      <c r="A98" t="s">
        <v>412</v>
      </c>
      <c r="B98" t="s">
        <v>171</v>
      </c>
      <c r="C98">
        <v>298</v>
      </c>
      <c r="D98" t="s">
        <v>213</v>
      </c>
      <c r="E98">
        <v>211</v>
      </c>
      <c r="F98" t="s">
        <v>185</v>
      </c>
      <c r="G98" t="s">
        <v>436</v>
      </c>
      <c r="H98" t="s">
        <v>437</v>
      </c>
      <c r="I98">
        <v>87</v>
      </c>
    </row>
    <row r="99" spans="1:9">
      <c r="A99" t="s">
        <v>412</v>
      </c>
      <c r="B99" t="s">
        <v>37</v>
      </c>
      <c r="C99">
        <v>318.5</v>
      </c>
      <c r="D99" t="s">
        <v>438</v>
      </c>
      <c r="E99">
        <v>190.5</v>
      </c>
      <c r="F99" t="s">
        <v>185</v>
      </c>
      <c r="G99" t="s">
        <v>439</v>
      </c>
      <c r="H99" t="s">
        <v>440</v>
      </c>
      <c r="I99">
        <v>128</v>
      </c>
    </row>
    <row r="100" spans="1:9">
      <c r="A100" t="s">
        <v>412</v>
      </c>
      <c r="B100" t="s">
        <v>31</v>
      </c>
      <c r="C100">
        <v>267</v>
      </c>
      <c r="D100" t="s">
        <v>216</v>
      </c>
      <c r="E100">
        <v>236</v>
      </c>
      <c r="F100" t="s">
        <v>185</v>
      </c>
      <c r="G100" t="s">
        <v>441</v>
      </c>
      <c r="H100" t="s">
        <v>442</v>
      </c>
      <c r="I100">
        <v>31</v>
      </c>
    </row>
    <row r="101" spans="1:9">
      <c r="A101" t="s">
        <v>412</v>
      </c>
      <c r="B101" t="s">
        <v>28</v>
      </c>
      <c r="C101">
        <v>269</v>
      </c>
      <c r="D101" t="s">
        <v>225</v>
      </c>
      <c r="E101">
        <v>225</v>
      </c>
      <c r="F101" t="s">
        <v>185</v>
      </c>
      <c r="G101" t="s">
        <v>443</v>
      </c>
      <c r="H101" t="s">
        <v>444</v>
      </c>
      <c r="I101">
        <v>44</v>
      </c>
    </row>
    <row r="102" spans="1:9">
      <c r="A102" t="s">
        <v>412</v>
      </c>
      <c r="B102" t="s">
        <v>63</v>
      </c>
      <c r="C102">
        <v>259</v>
      </c>
      <c r="D102" t="s">
        <v>445</v>
      </c>
      <c r="E102">
        <v>254</v>
      </c>
      <c r="F102" t="s">
        <v>185</v>
      </c>
      <c r="G102" t="s">
        <v>446</v>
      </c>
      <c r="H102" t="s">
        <v>447</v>
      </c>
      <c r="I102">
        <v>5</v>
      </c>
    </row>
    <row r="103" spans="1:9">
      <c r="A103" t="s">
        <v>412</v>
      </c>
      <c r="B103" t="s">
        <v>54</v>
      </c>
      <c r="C103">
        <v>262</v>
      </c>
      <c r="D103" t="s">
        <v>234</v>
      </c>
      <c r="E103">
        <v>251</v>
      </c>
      <c r="F103" t="s">
        <v>185</v>
      </c>
      <c r="G103" t="s">
        <v>448</v>
      </c>
      <c r="H103" t="s">
        <v>449</v>
      </c>
      <c r="I103">
        <v>11</v>
      </c>
    </row>
    <row r="104" spans="1:9">
      <c r="A104" t="s">
        <v>412</v>
      </c>
      <c r="B104" t="s">
        <v>13</v>
      </c>
      <c r="C104">
        <v>256</v>
      </c>
      <c r="D104" t="s">
        <v>450</v>
      </c>
      <c r="E104">
        <v>252</v>
      </c>
      <c r="F104" t="s">
        <v>185</v>
      </c>
      <c r="G104" t="s">
        <v>451</v>
      </c>
      <c r="H104" t="s">
        <v>452</v>
      </c>
      <c r="I104">
        <v>4</v>
      </c>
    </row>
    <row r="105" spans="1:9">
      <c r="A105" t="s">
        <v>412</v>
      </c>
      <c r="B105" t="s">
        <v>129</v>
      </c>
      <c r="C105">
        <v>361.5</v>
      </c>
      <c r="D105" t="s">
        <v>279</v>
      </c>
      <c r="E105">
        <v>152.5</v>
      </c>
      <c r="F105" t="s">
        <v>185</v>
      </c>
      <c r="G105" t="s">
        <v>453</v>
      </c>
      <c r="H105" t="s">
        <v>454</v>
      </c>
      <c r="I105">
        <v>209</v>
      </c>
    </row>
    <row r="106" spans="1:9">
      <c r="A106" t="s">
        <v>412</v>
      </c>
      <c r="B106" t="s">
        <v>52</v>
      </c>
      <c r="C106">
        <v>349</v>
      </c>
      <c r="D106" t="s">
        <v>219</v>
      </c>
      <c r="E106">
        <v>165</v>
      </c>
      <c r="F106" t="s">
        <v>185</v>
      </c>
      <c r="G106" t="s">
        <v>455</v>
      </c>
      <c r="H106" t="s">
        <v>456</v>
      </c>
      <c r="I106">
        <v>184</v>
      </c>
    </row>
    <row r="107" spans="1:9">
      <c r="A107" t="s">
        <v>412</v>
      </c>
      <c r="B107" t="s">
        <v>27</v>
      </c>
      <c r="C107">
        <v>301</v>
      </c>
      <c r="D107" t="s">
        <v>387</v>
      </c>
      <c r="E107">
        <v>213</v>
      </c>
      <c r="F107" t="s">
        <v>185</v>
      </c>
      <c r="G107" t="s">
        <v>457</v>
      </c>
      <c r="H107" t="s">
        <v>458</v>
      </c>
      <c r="I107">
        <v>88</v>
      </c>
    </row>
    <row r="108" spans="1:9">
      <c r="A108" t="s">
        <v>412</v>
      </c>
      <c r="B108" t="s">
        <v>85</v>
      </c>
      <c r="C108">
        <v>358</v>
      </c>
      <c r="D108" t="s">
        <v>291</v>
      </c>
      <c r="E108">
        <v>109</v>
      </c>
      <c r="F108" t="s">
        <v>185</v>
      </c>
      <c r="G108" t="s">
        <v>459</v>
      </c>
      <c r="H108" t="s">
        <v>460</v>
      </c>
      <c r="I108">
        <v>249</v>
      </c>
    </row>
    <row r="109" spans="1:9">
      <c r="A109" t="s">
        <v>412</v>
      </c>
      <c r="B109" t="s">
        <v>35</v>
      </c>
      <c r="C109">
        <v>356</v>
      </c>
      <c r="D109" t="s">
        <v>246</v>
      </c>
      <c r="E109">
        <v>141</v>
      </c>
      <c r="F109" t="s">
        <v>185</v>
      </c>
      <c r="G109" t="s">
        <v>461</v>
      </c>
      <c r="H109" t="s">
        <v>462</v>
      </c>
      <c r="I109">
        <v>215</v>
      </c>
    </row>
    <row r="110" spans="1:9">
      <c r="A110" t="s">
        <v>412</v>
      </c>
      <c r="B110" t="s">
        <v>83</v>
      </c>
      <c r="C110">
        <v>312</v>
      </c>
      <c r="D110" t="s">
        <v>404</v>
      </c>
      <c r="E110">
        <v>118</v>
      </c>
      <c r="F110" t="s">
        <v>185</v>
      </c>
      <c r="G110" t="s">
        <v>463</v>
      </c>
      <c r="H110" t="s">
        <v>464</v>
      </c>
      <c r="I110">
        <v>194</v>
      </c>
    </row>
    <row r="111" spans="1:9">
      <c r="A111" t="s">
        <v>412</v>
      </c>
      <c r="B111" t="s">
        <v>61</v>
      </c>
      <c r="C111">
        <v>274</v>
      </c>
      <c r="D111" t="s">
        <v>252</v>
      </c>
      <c r="E111">
        <v>240</v>
      </c>
      <c r="F111" t="s">
        <v>185</v>
      </c>
      <c r="G111" t="s">
        <v>465</v>
      </c>
      <c r="H111" t="s">
        <v>466</v>
      </c>
      <c r="I111">
        <v>34</v>
      </c>
    </row>
    <row r="112" spans="1:9">
      <c r="A112" t="s">
        <v>412</v>
      </c>
      <c r="B112" t="s">
        <v>65</v>
      </c>
      <c r="C112">
        <v>258.5</v>
      </c>
      <c r="D112" t="s">
        <v>237</v>
      </c>
      <c r="E112">
        <v>254.5</v>
      </c>
      <c r="F112" t="s">
        <v>185</v>
      </c>
      <c r="G112" t="s">
        <v>467</v>
      </c>
      <c r="H112" t="s">
        <v>468</v>
      </c>
      <c r="I112">
        <v>4</v>
      </c>
    </row>
    <row r="113" spans="1:9">
      <c r="A113" t="s">
        <v>412</v>
      </c>
      <c r="B113" t="s">
        <v>128</v>
      </c>
      <c r="C113">
        <v>245</v>
      </c>
      <c r="D113" t="s">
        <v>469</v>
      </c>
      <c r="E113">
        <v>206</v>
      </c>
      <c r="F113" t="s">
        <v>185</v>
      </c>
      <c r="G113" t="s">
        <v>470</v>
      </c>
      <c r="H113" t="s">
        <v>471</v>
      </c>
      <c r="I113">
        <v>39</v>
      </c>
    </row>
    <row r="114" spans="1:9">
      <c r="A114" t="s">
        <v>412</v>
      </c>
      <c r="B114" t="s">
        <v>25</v>
      </c>
      <c r="C114">
        <v>286.5</v>
      </c>
      <c r="D114" t="s">
        <v>261</v>
      </c>
      <c r="E114">
        <v>227.5</v>
      </c>
      <c r="F114" t="s">
        <v>185</v>
      </c>
      <c r="G114" t="s">
        <v>472</v>
      </c>
      <c r="H114" t="s">
        <v>473</v>
      </c>
      <c r="I114">
        <v>59</v>
      </c>
    </row>
    <row r="115" spans="1:9">
      <c r="A115" t="s">
        <v>412</v>
      </c>
      <c r="B115" t="s">
        <v>50</v>
      </c>
      <c r="C115">
        <v>325</v>
      </c>
      <c r="D115" t="s">
        <v>474</v>
      </c>
      <c r="E115">
        <v>188</v>
      </c>
      <c r="F115" t="s">
        <v>185</v>
      </c>
      <c r="G115" t="s">
        <v>475</v>
      </c>
      <c r="H115" t="s">
        <v>476</v>
      </c>
      <c r="I115">
        <v>137</v>
      </c>
    </row>
    <row r="116" spans="1:9">
      <c r="A116" t="s">
        <v>412</v>
      </c>
      <c r="B116" t="s">
        <v>84</v>
      </c>
      <c r="C116">
        <v>294.5</v>
      </c>
      <c r="D116" t="s">
        <v>194</v>
      </c>
      <c r="E116">
        <v>214.5</v>
      </c>
      <c r="F116" t="s">
        <v>185</v>
      </c>
      <c r="G116" t="s">
        <v>477</v>
      </c>
      <c r="H116" t="s">
        <v>478</v>
      </c>
      <c r="I116">
        <v>80</v>
      </c>
    </row>
    <row r="117" spans="1:9">
      <c r="A117" t="s">
        <v>412</v>
      </c>
      <c r="B117" t="s">
        <v>29</v>
      </c>
      <c r="C117">
        <v>261</v>
      </c>
      <c r="D117" t="s">
        <v>222</v>
      </c>
      <c r="E117">
        <v>248</v>
      </c>
      <c r="F117" t="s">
        <v>185</v>
      </c>
      <c r="G117" t="s">
        <v>479</v>
      </c>
      <c r="H117" t="s">
        <v>480</v>
      </c>
      <c r="I117">
        <v>13</v>
      </c>
    </row>
    <row r="118" spans="1:9">
      <c r="A118" t="s">
        <v>412</v>
      </c>
      <c r="B118" t="s">
        <v>3</v>
      </c>
      <c r="C118">
        <v>302.5</v>
      </c>
      <c r="D118" t="s">
        <v>273</v>
      </c>
      <c r="E118">
        <v>212.5</v>
      </c>
      <c r="F118" t="s">
        <v>185</v>
      </c>
      <c r="G118" t="s">
        <v>481</v>
      </c>
      <c r="H118" t="s">
        <v>482</v>
      </c>
      <c r="I118">
        <v>90</v>
      </c>
    </row>
    <row r="119" spans="1:9">
      <c r="A119" t="s">
        <v>412</v>
      </c>
      <c r="B119" t="s">
        <v>161</v>
      </c>
      <c r="C119">
        <v>295</v>
      </c>
      <c r="D119" t="s">
        <v>351</v>
      </c>
      <c r="E119">
        <v>218</v>
      </c>
      <c r="F119" t="s">
        <v>185</v>
      </c>
      <c r="G119" t="s">
        <v>483</v>
      </c>
      <c r="H119" t="s">
        <v>484</v>
      </c>
      <c r="I119">
        <v>77</v>
      </c>
    </row>
    <row r="120" spans="1:9">
      <c r="A120" t="s">
        <v>412</v>
      </c>
      <c r="B120" t="s">
        <v>4</v>
      </c>
      <c r="C120">
        <v>310.5</v>
      </c>
      <c r="D120" t="s">
        <v>485</v>
      </c>
      <c r="E120">
        <v>203.5</v>
      </c>
      <c r="F120" t="s">
        <v>185</v>
      </c>
      <c r="G120" t="s">
        <v>486</v>
      </c>
      <c r="H120" t="s">
        <v>487</v>
      </c>
      <c r="I120">
        <v>107</v>
      </c>
    </row>
    <row r="121" spans="1:9">
      <c r="A121" t="s">
        <v>412</v>
      </c>
      <c r="B121" t="s">
        <v>7</v>
      </c>
      <c r="C121">
        <v>255.5</v>
      </c>
      <c r="D121" t="s">
        <v>191</v>
      </c>
      <c r="E121">
        <v>254.5</v>
      </c>
      <c r="F121" t="s">
        <v>185</v>
      </c>
      <c r="G121" t="s">
        <v>488</v>
      </c>
      <c r="H121" t="s">
        <v>489</v>
      </c>
      <c r="I121">
        <v>1</v>
      </c>
    </row>
    <row r="122" spans="1:9">
      <c r="A122" t="s">
        <v>412</v>
      </c>
      <c r="B122" t="s">
        <v>53</v>
      </c>
      <c r="C122">
        <v>270</v>
      </c>
      <c r="D122" t="s">
        <v>409</v>
      </c>
      <c r="E122">
        <v>241</v>
      </c>
      <c r="F122" t="s">
        <v>185</v>
      </c>
      <c r="G122" t="s">
        <v>490</v>
      </c>
      <c r="H122" t="s">
        <v>491</v>
      </c>
      <c r="I122">
        <v>29</v>
      </c>
    </row>
    <row r="123" spans="1:9">
      <c r="A123" t="s">
        <v>412</v>
      </c>
      <c r="B123" t="s">
        <v>59</v>
      </c>
      <c r="C123">
        <v>261</v>
      </c>
      <c r="D123" t="s">
        <v>294</v>
      </c>
      <c r="E123">
        <v>253</v>
      </c>
      <c r="F123" t="s">
        <v>185</v>
      </c>
      <c r="G123" t="s">
        <v>492</v>
      </c>
      <c r="H123" t="s">
        <v>493</v>
      </c>
      <c r="I123">
        <v>8</v>
      </c>
    </row>
    <row r="124" spans="1:9">
      <c r="A124" t="s">
        <v>412</v>
      </c>
      <c r="B124" t="s">
        <v>14</v>
      </c>
      <c r="C124">
        <v>280</v>
      </c>
      <c r="D124" t="s">
        <v>303</v>
      </c>
      <c r="E124">
        <v>233</v>
      </c>
      <c r="F124" t="s">
        <v>185</v>
      </c>
      <c r="G124" t="s">
        <v>494</v>
      </c>
      <c r="H124" t="s">
        <v>495</v>
      </c>
      <c r="I124">
        <v>47</v>
      </c>
    </row>
    <row r="125" spans="1:9">
      <c r="A125" t="s">
        <v>412</v>
      </c>
      <c r="B125" t="s">
        <v>12</v>
      </c>
      <c r="C125">
        <v>280</v>
      </c>
      <c r="D125" t="s">
        <v>496</v>
      </c>
      <c r="E125">
        <v>234</v>
      </c>
      <c r="F125" t="s">
        <v>185</v>
      </c>
      <c r="G125" t="s">
        <v>497</v>
      </c>
      <c r="H125" t="s">
        <v>498</v>
      </c>
      <c r="I125">
        <v>46</v>
      </c>
    </row>
    <row r="126" spans="1:9">
      <c r="A126" t="s">
        <v>412</v>
      </c>
      <c r="B126" t="s">
        <v>26</v>
      </c>
      <c r="C126">
        <v>297.5</v>
      </c>
      <c r="D126" t="s">
        <v>499</v>
      </c>
      <c r="E126">
        <v>215.5</v>
      </c>
      <c r="F126" t="s">
        <v>185</v>
      </c>
      <c r="G126" t="s">
        <v>500</v>
      </c>
      <c r="H126" t="s">
        <v>501</v>
      </c>
      <c r="I126">
        <v>82</v>
      </c>
    </row>
    <row r="127" spans="1:9">
      <c r="A127" t="s">
        <v>412</v>
      </c>
      <c r="B127" t="s">
        <v>64</v>
      </c>
      <c r="C127">
        <v>292</v>
      </c>
      <c r="D127" t="s">
        <v>502</v>
      </c>
      <c r="E127">
        <v>209</v>
      </c>
      <c r="F127" t="s">
        <v>185</v>
      </c>
      <c r="G127" t="s">
        <v>503</v>
      </c>
      <c r="H127" t="s">
        <v>504</v>
      </c>
      <c r="I127">
        <v>83</v>
      </c>
    </row>
    <row r="128" spans="1:9">
      <c r="A128" t="s">
        <v>412</v>
      </c>
      <c r="B128" t="s">
        <v>105</v>
      </c>
      <c r="C128">
        <v>263</v>
      </c>
      <c r="D128" t="s">
        <v>505</v>
      </c>
      <c r="E128">
        <v>250</v>
      </c>
      <c r="F128" t="s">
        <v>185</v>
      </c>
      <c r="G128" t="s">
        <v>506</v>
      </c>
      <c r="H128" t="s">
        <v>507</v>
      </c>
      <c r="I128">
        <v>13</v>
      </c>
    </row>
    <row r="129" spans="1:9">
      <c r="A129" t="s">
        <v>412</v>
      </c>
      <c r="B129" t="s">
        <v>106</v>
      </c>
      <c r="C129">
        <v>275</v>
      </c>
      <c r="D129" t="s">
        <v>255</v>
      </c>
      <c r="E129">
        <v>194</v>
      </c>
      <c r="F129" t="s">
        <v>185</v>
      </c>
      <c r="G129" t="s">
        <v>508</v>
      </c>
      <c r="H129" t="s">
        <v>509</v>
      </c>
      <c r="I129">
        <v>81</v>
      </c>
    </row>
    <row r="130" spans="1:9">
      <c r="A130" t="s">
        <v>510</v>
      </c>
      <c r="B130" t="s">
        <v>82</v>
      </c>
      <c r="C130">
        <v>318</v>
      </c>
      <c r="D130" t="s">
        <v>273</v>
      </c>
      <c r="E130">
        <v>195</v>
      </c>
      <c r="F130" t="s">
        <v>185</v>
      </c>
      <c r="G130" t="s">
        <v>511</v>
      </c>
      <c r="H130" t="s">
        <v>512</v>
      </c>
      <c r="I130">
        <v>123</v>
      </c>
    </row>
    <row r="131" spans="1:9">
      <c r="A131" t="s">
        <v>510</v>
      </c>
      <c r="B131" t="s">
        <v>21</v>
      </c>
      <c r="C131">
        <v>285.5</v>
      </c>
      <c r="D131" t="s">
        <v>485</v>
      </c>
      <c r="E131">
        <v>227.5</v>
      </c>
      <c r="F131" t="s">
        <v>185</v>
      </c>
      <c r="G131" t="s">
        <v>513</v>
      </c>
      <c r="H131" t="s">
        <v>514</v>
      </c>
      <c r="I131">
        <v>58</v>
      </c>
    </row>
    <row r="132" spans="1:9">
      <c r="A132" t="s">
        <v>510</v>
      </c>
      <c r="B132" t="s">
        <v>1</v>
      </c>
      <c r="C132">
        <v>256.5</v>
      </c>
      <c r="D132" t="s">
        <v>210</v>
      </c>
      <c r="E132">
        <v>244.5</v>
      </c>
      <c r="F132" t="s">
        <v>185</v>
      </c>
      <c r="G132" t="s">
        <v>515</v>
      </c>
      <c r="H132" t="s">
        <v>516</v>
      </c>
      <c r="I132">
        <v>12</v>
      </c>
    </row>
    <row r="133" spans="1:9">
      <c r="A133" t="s">
        <v>510</v>
      </c>
      <c r="B133" t="s">
        <v>55</v>
      </c>
      <c r="C133">
        <v>285</v>
      </c>
      <c r="D133" t="s">
        <v>409</v>
      </c>
      <c r="E133">
        <v>218</v>
      </c>
      <c r="F133" t="s">
        <v>185</v>
      </c>
      <c r="G133" t="s">
        <v>517</v>
      </c>
      <c r="H133" t="s">
        <v>518</v>
      </c>
      <c r="I133">
        <v>67</v>
      </c>
    </row>
    <row r="134" spans="1:9">
      <c r="A134" t="s">
        <v>510</v>
      </c>
      <c r="B134" t="s">
        <v>61</v>
      </c>
      <c r="C134">
        <v>302.5</v>
      </c>
      <c r="D134" t="s">
        <v>294</v>
      </c>
      <c r="E134">
        <v>204.5</v>
      </c>
      <c r="F134" t="s">
        <v>185</v>
      </c>
      <c r="G134" t="s">
        <v>519</v>
      </c>
      <c r="H134" t="s">
        <v>520</v>
      </c>
      <c r="I134">
        <v>98</v>
      </c>
    </row>
    <row r="135" spans="1:9">
      <c r="A135" t="s">
        <v>510</v>
      </c>
      <c r="B135" t="s">
        <v>129</v>
      </c>
      <c r="C135">
        <v>296</v>
      </c>
      <c r="D135" t="s">
        <v>231</v>
      </c>
      <c r="E135">
        <v>218</v>
      </c>
      <c r="F135" t="s">
        <v>185</v>
      </c>
      <c r="G135" t="s">
        <v>521</v>
      </c>
      <c r="H135" t="s">
        <v>522</v>
      </c>
      <c r="I135">
        <v>78</v>
      </c>
    </row>
    <row r="136" spans="1:9">
      <c r="A136" t="s">
        <v>510</v>
      </c>
      <c r="B136" t="s">
        <v>37</v>
      </c>
      <c r="C136">
        <v>301</v>
      </c>
      <c r="D136" t="s">
        <v>216</v>
      </c>
      <c r="E136">
        <v>212</v>
      </c>
      <c r="F136" t="s">
        <v>185</v>
      </c>
      <c r="G136" t="s">
        <v>523</v>
      </c>
      <c r="H136" t="s">
        <v>524</v>
      </c>
      <c r="I136">
        <v>89</v>
      </c>
    </row>
    <row r="137" spans="1:9">
      <c r="A137" t="s">
        <v>510</v>
      </c>
      <c r="B137" t="s">
        <v>34</v>
      </c>
      <c r="C137">
        <v>249</v>
      </c>
      <c r="D137" t="s">
        <v>320</v>
      </c>
      <c r="E137">
        <v>239</v>
      </c>
      <c r="F137" t="s">
        <v>185</v>
      </c>
      <c r="G137" t="s">
        <v>525</v>
      </c>
      <c r="H137" t="s">
        <v>526</v>
      </c>
      <c r="I137">
        <v>10</v>
      </c>
    </row>
    <row r="138" spans="1:9">
      <c r="A138" t="s">
        <v>510</v>
      </c>
      <c r="B138" t="s">
        <v>59</v>
      </c>
      <c r="C138">
        <v>281</v>
      </c>
      <c r="D138" t="s">
        <v>527</v>
      </c>
      <c r="E138">
        <v>229</v>
      </c>
      <c r="F138" t="s">
        <v>185</v>
      </c>
      <c r="G138" t="s">
        <v>528</v>
      </c>
      <c r="H138" t="s">
        <v>529</v>
      </c>
      <c r="I138">
        <v>52</v>
      </c>
    </row>
    <row r="139" spans="1:9">
      <c r="A139" t="s">
        <v>510</v>
      </c>
      <c r="B139" t="s">
        <v>0</v>
      </c>
      <c r="C139">
        <v>318</v>
      </c>
      <c r="D139" t="s">
        <v>219</v>
      </c>
      <c r="E139">
        <v>191</v>
      </c>
      <c r="F139" t="s">
        <v>185</v>
      </c>
      <c r="G139" t="s">
        <v>530</v>
      </c>
      <c r="H139" t="s">
        <v>531</v>
      </c>
      <c r="I139">
        <v>127</v>
      </c>
    </row>
    <row r="140" spans="1:9">
      <c r="A140" t="s">
        <v>510</v>
      </c>
      <c r="B140" t="s">
        <v>31</v>
      </c>
      <c r="C140">
        <v>336.5</v>
      </c>
      <c r="D140" t="s">
        <v>532</v>
      </c>
      <c r="E140">
        <v>174.5</v>
      </c>
      <c r="F140" t="s">
        <v>185</v>
      </c>
      <c r="G140" t="s">
        <v>533</v>
      </c>
      <c r="H140" t="s">
        <v>534</v>
      </c>
      <c r="I140">
        <v>162</v>
      </c>
    </row>
    <row r="141" spans="1:9">
      <c r="A141" t="s">
        <v>510</v>
      </c>
      <c r="B141" t="s">
        <v>113</v>
      </c>
      <c r="C141">
        <v>325</v>
      </c>
      <c r="D141" t="s">
        <v>309</v>
      </c>
      <c r="E141">
        <v>94</v>
      </c>
      <c r="F141" t="s">
        <v>185</v>
      </c>
      <c r="G141" t="s">
        <v>535</v>
      </c>
      <c r="H141" t="s">
        <v>536</v>
      </c>
      <c r="I141">
        <v>231</v>
      </c>
    </row>
    <row r="142" spans="1:9">
      <c r="A142" t="s">
        <v>510</v>
      </c>
      <c r="B142" t="s">
        <v>49</v>
      </c>
      <c r="C142">
        <v>264.5</v>
      </c>
      <c r="D142" t="s">
        <v>474</v>
      </c>
      <c r="E142">
        <v>249.5</v>
      </c>
      <c r="F142" t="s">
        <v>185</v>
      </c>
      <c r="G142" t="s">
        <v>537</v>
      </c>
      <c r="H142" t="s">
        <v>538</v>
      </c>
      <c r="I142">
        <v>15</v>
      </c>
    </row>
    <row r="143" spans="1:9">
      <c r="A143" t="s">
        <v>510</v>
      </c>
      <c r="B143" t="s">
        <v>65</v>
      </c>
      <c r="C143">
        <v>278.5</v>
      </c>
      <c r="D143" t="s">
        <v>539</v>
      </c>
      <c r="E143">
        <v>224.5</v>
      </c>
      <c r="F143" t="s">
        <v>185</v>
      </c>
      <c r="G143" t="s">
        <v>540</v>
      </c>
      <c r="H143" t="s">
        <v>541</v>
      </c>
      <c r="I143">
        <v>54</v>
      </c>
    </row>
    <row r="144" spans="1:9">
      <c r="A144" t="s">
        <v>510</v>
      </c>
      <c r="B144" t="s">
        <v>71</v>
      </c>
      <c r="C144">
        <v>271</v>
      </c>
      <c r="D144" t="s">
        <v>438</v>
      </c>
      <c r="E144">
        <v>246</v>
      </c>
      <c r="F144" t="s">
        <v>185</v>
      </c>
      <c r="G144" t="s">
        <v>542</v>
      </c>
      <c r="H144" t="s">
        <v>543</v>
      </c>
      <c r="I144">
        <v>25</v>
      </c>
    </row>
    <row r="145" spans="1:9">
      <c r="A145" t="s">
        <v>510</v>
      </c>
      <c r="B145" t="s">
        <v>85</v>
      </c>
      <c r="C145">
        <v>272</v>
      </c>
      <c r="D145" t="s">
        <v>363</v>
      </c>
      <c r="E145">
        <v>230</v>
      </c>
      <c r="F145" t="s">
        <v>185</v>
      </c>
      <c r="G145" t="s">
        <v>544</v>
      </c>
      <c r="H145" t="s">
        <v>545</v>
      </c>
      <c r="I145">
        <v>42</v>
      </c>
    </row>
    <row r="146" spans="1:9">
      <c r="A146" t="s">
        <v>510</v>
      </c>
      <c r="B146" t="s">
        <v>104</v>
      </c>
      <c r="C146">
        <v>264</v>
      </c>
      <c r="D146" t="s">
        <v>325</v>
      </c>
      <c r="E146">
        <v>250</v>
      </c>
      <c r="F146" t="s">
        <v>185</v>
      </c>
      <c r="G146" t="s">
        <v>546</v>
      </c>
      <c r="H146" t="s">
        <v>547</v>
      </c>
      <c r="I146">
        <v>14</v>
      </c>
    </row>
    <row r="147" spans="1:9">
      <c r="A147" t="s">
        <v>510</v>
      </c>
      <c r="B147" t="s">
        <v>96</v>
      </c>
      <c r="C147">
        <v>304.5</v>
      </c>
      <c r="D147" t="s">
        <v>204</v>
      </c>
      <c r="E147">
        <v>209.5</v>
      </c>
      <c r="F147" t="s">
        <v>185</v>
      </c>
      <c r="G147" t="s">
        <v>548</v>
      </c>
      <c r="H147" t="s">
        <v>549</v>
      </c>
      <c r="I147">
        <v>95</v>
      </c>
    </row>
    <row r="148" spans="1:9">
      <c r="A148" t="s">
        <v>510</v>
      </c>
      <c r="B148" t="s">
        <v>54</v>
      </c>
      <c r="C148">
        <v>315</v>
      </c>
      <c r="D148" t="s">
        <v>312</v>
      </c>
      <c r="E148">
        <v>149</v>
      </c>
      <c r="F148" t="s">
        <v>185</v>
      </c>
      <c r="G148" t="s">
        <v>550</v>
      </c>
      <c r="H148" t="s">
        <v>551</v>
      </c>
      <c r="I148">
        <v>166</v>
      </c>
    </row>
    <row r="149" spans="1:9">
      <c r="A149" t="s">
        <v>510</v>
      </c>
      <c r="B149" t="s">
        <v>56</v>
      </c>
      <c r="C149">
        <v>295</v>
      </c>
      <c r="D149" t="s">
        <v>243</v>
      </c>
      <c r="E149">
        <v>173</v>
      </c>
      <c r="F149" t="s">
        <v>185</v>
      </c>
      <c r="G149" t="s">
        <v>552</v>
      </c>
      <c r="H149" t="s">
        <v>553</v>
      </c>
      <c r="I149">
        <v>122</v>
      </c>
    </row>
    <row r="150" spans="1:9">
      <c r="A150" t="s">
        <v>510</v>
      </c>
      <c r="B150" t="s">
        <v>63</v>
      </c>
      <c r="C150">
        <v>370</v>
      </c>
      <c r="D150" t="s">
        <v>194</v>
      </c>
      <c r="E150">
        <v>140</v>
      </c>
      <c r="F150" t="s">
        <v>185</v>
      </c>
      <c r="G150" t="s">
        <v>554</v>
      </c>
      <c r="H150" t="s">
        <v>555</v>
      </c>
      <c r="I150">
        <v>230</v>
      </c>
    </row>
    <row r="151" spans="1:9">
      <c r="A151" t="s">
        <v>510</v>
      </c>
      <c r="B151" t="s">
        <v>27</v>
      </c>
      <c r="C151">
        <v>261</v>
      </c>
      <c r="D151" t="s">
        <v>258</v>
      </c>
      <c r="E151">
        <v>225</v>
      </c>
      <c r="F151" t="s">
        <v>185</v>
      </c>
      <c r="G151" t="s">
        <v>556</v>
      </c>
      <c r="H151" t="s">
        <v>557</v>
      </c>
      <c r="I151">
        <v>36</v>
      </c>
    </row>
    <row r="152" spans="1:9">
      <c r="A152" t="s">
        <v>510</v>
      </c>
      <c r="B152" t="s">
        <v>30</v>
      </c>
      <c r="C152">
        <v>287.5</v>
      </c>
      <c r="D152" t="s">
        <v>270</v>
      </c>
      <c r="E152">
        <v>221.5</v>
      </c>
      <c r="F152" t="s">
        <v>185</v>
      </c>
      <c r="G152" t="s">
        <v>558</v>
      </c>
      <c r="H152" t="s">
        <v>559</v>
      </c>
      <c r="I152">
        <v>66</v>
      </c>
    </row>
    <row r="153" spans="1:9">
      <c r="A153" t="s">
        <v>510</v>
      </c>
      <c r="B153" t="s">
        <v>35</v>
      </c>
      <c r="C153">
        <v>290.5</v>
      </c>
      <c r="D153" t="s">
        <v>370</v>
      </c>
      <c r="E153">
        <v>223.5</v>
      </c>
      <c r="F153" t="s">
        <v>185</v>
      </c>
      <c r="G153" t="s">
        <v>560</v>
      </c>
      <c r="H153" t="s">
        <v>561</v>
      </c>
      <c r="I153">
        <v>67</v>
      </c>
    </row>
    <row r="154" spans="1:9">
      <c r="A154" t="s">
        <v>510</v>
      </c>
      <c r="B154" t="s">
        <v>10</v>
      </c>
      <c r="C154">
        <v>258</v>
      </c>
      <c r="D154" t="s">
        <v>562</v>
      </c>
      <c r="E154">
        <v>254</v>
      </c>
      <c r="F154" t="s">
        <v>185</v>
      </c>
      <c r="G154" t="s">
        <v>563</v>
      </c>
      <c r="H154" t="s">
        <v>564</v>
      </c>
      <c r="I154">
        <v>4</v>
      </c>
    </row>
    <row r="155" spans="1:9">
      <c r="A155" t="s">
        <v>510</v>
      </c>
      <c r="B155" t="s">
        <v>50</v>
      </c>
      <c r="C155">
        <v>334</v>
      </c>
      <c r="D155" t="s">
        <v>252</v>
      </c>
      <c r="E155">
        <v>179</v>
      </c>
      <c r="F155" t="s">
        <v>185</v>
      </c>
      <c r="G155" t="s">
        <v>565</v>
      </c>
      <c r="H155" t="s">
        <v>566</v>
      </c>
      <c r="I155">
        <v>155</v>
      </c>
    </row>
    <row r="156" spans="1:9">
      <c r="A156" t="s">
        <v>510</v>
      </c>
      <c r="B156" t="s">
        <v>130</v>
      </c>
      <c r="C156">
        <v>221</v>
      </c>
      <c r="D156" t="s">
        <v>276</v>
      </c>
      <c r="E156">
        <v>214</v>
      </c>
      <c r="F156" t="s">
        <v>185</v>
      </c>
      <c r="G156" t="s">
        <v>567</v>
      </c>
      <c r="H156" t="s">
        <v>568</v>
      </c>
      <c r="I156">
        <v>7</v>
      </c>
    </row>
    <row r="157" spans="1:9">
      <c r="A157" t="s">
        <v>510</v>
      </c>
      <c r="B157" t="s">
        <v>161</v>
      </c>
      <c r="C157">
        <v>306</v>
      </c>
      <c r="D157" t="s">
        <v>264</v>
      </c>
      <c r="E157">
        <v>208</v>
      </c>
      <c r="F157" t="s">
        <v>185</v>
      </c>
      <c r="G157" t="s">
        <v>569</v>
      </c>
      <c r="H157" t="s">
        <v>570</v>
      </c>
      <c r="I157">
        <v>98</v>
      </c>
    </row>
    <row r="158" spans="1:9">
      <c r="A158" t="s">
        <v>510</v>
      </c>
      <c r="B158" t="s">
        <v>12</v>
      </c>
      <c r="C158">
        <v>289</v>
      </c>
      <c r="D158" t="s">
        <v>285</v>
      </c>
      <c r="E158">
        <v>224</v>
      </c>
      <c r="F158" t="s">
        <v>185</v>
      </c>
      <c r="G158" t="s">
        <v>571</v>
      </c>
      <c r="H158" t="s">
        <v>572</v>
      </c>
      <c r="I158">
        <v>65</v>
      </c>
    </row>
    <row r="159" spans="1:9">
      <c r="A159" t="s">
        <v>510</v>
      </c>
      <c r="B159" t="s">
        <v>4</v>
      </c>
      <c r="C159">
        <v>327</v>
      </c>
      <c r="D159" t="s">
        <v>234</v>
      </c>
      <c r="E159">
        <v>187</v>
      </c>
      <c r="F159" t="s">
        <v>185</v>
      </c>
      <c r="G159" t="s">
        <v>573</v>
      </c>
      <c r="H159" t="s">
        <v>574</v>
      </c>
      <c r="I159">
        <v>140</v>
      </c>
    </row>
    <row r="160" spans="1:9">
      <c r="A160" t="s">
        <v>510</v>
      </c>
      <c r="B160" t="s">
        <v>36</v>
      </c>
      <c r="C160">
        <v>258.5</v>
      </c>
      <c r="D160" t="s">
        <v>575</v>
      </c>
      <c r="E160">
        <v>255.5</v>
      </c>
      <c r="F160" t="s">
        <v>185</v>
      </c>
      <c r="G160" t="s">
        <v>576</v>
      </c>
      <c r="H160" t="s">
        <v>577</v>
      </c>
      <c r="I160">
        <v>3</v>
      </c>
    </row>
    <row r="161" spans="1:9">
      <c r="A161" t="s">
        <v>510</v>
      </c>
      <c r="B161" t="s">
        <v>18</v>
      </c>
      <c r="C161">
        <v>324</v>
      </c>
      <c r="D161" t="s">
        <v>184</v>
      </c>
      <c r="E161">
        <v>189</v>
      </c>
      <c r="F161" t="s">
        <v>185</v>
      </c>
      <c r="G161" t="s">
        <v>578</v>
      </c>
      <c r="H161" t="s">
        <v>579</v>
      </c>
      <c r="I161">
        <v>135</v>
      </c>
    </row>
    <row r="162" spans="1:9">
      <c r="A162" t="s">
        <v>510</v>
      </c>
      <c r="B162" t="s">
        <v>98</v>
      </c>
      <c r="C162">
        <v>293</v>
      </c>
      <c r="D162" t="s">
        <v>300</v>
      </c>
      <c r="E162">
        <v>194</v>
      </c>
      <c r="F162" t="s">
        <v>185</v>
      </c>
      <c r="G162" t="s">
        <v>580</v>
      </c>
      <c r="H162" t="s">
        <v>581</v>
      </c>
      <c r="I162">
        <v>99</v>
      </c>
    </row>
    <row r="163" spans="1:9">
      <c r="A163" t="s">
        <v>510</v>
      </c>
      <c r="B163" t="s">
        <v>24</v>
      </c>
      <c r="C163">
        <v>300</v>
      </c>
      <c r="D163" t="s">
        <v>282</v>
      </c>
      <c r="E163">
        <v>206</v>
      </c>
      <c r="F163" t="s">
        <v>185</v>
      </c>
      <c r="G163" t="s">
        <v>582</v>
      </c>
      <c r="H163" t="s">
        <v>583</v>
      </c>
      <c r="I163">
        <v>94</v>
      </c>
    </row>
    <row r="164" spans="1:9">
      <c r="A164" t="s">
        <v>510</v>
      </c>
      <c r="B164" t="s">
        <v>99</v>
      </c>
      <c r="C164">
        <v>346.5</v>
      </c>
      <c r="D164" t="s">
        <v>225</v>
      </c>
      <c r="E164">
        <v>116.5</v>
      </c>
      <c r="F164" t="s">
        <v>185</v>
      </c>
      <c r="G164" t="s">
        <v>584</v>
      </c>
      <c r="H164" t="s">
        <v>585</v>
      </c>
      <c r="I164">
        <v>230</v>
      </c>
    </row>
    <row r="165" spans="1:9">
      <c r="A165" t="s">
        <v>510</v>
      </c>
      <c r="B165" t="s">
        <v>8</v>
      </c>
      <c r="C165">
        <v>311.5</v>
      </c>
      <c r="D165" t="s">
        <v>586</v>
      </c>
      <c r="E165">
        <v>202.5</v>
      </c>
      <c r="F165" t="s">
        <v>185</v>
      </c>
      <c r="G165" t="s">
        <v>587</v>
      </c>
      <c r="H165" t="s">
        <v>588</v>
      </c>
      <c r="I165">
        <v>109</v>
      </c>
    </row>
    <row r="166" spans="1:9">
      <c r="A166" t="s">
        <v>510</v>
      </c>
      <c r="B166" t="s">
        <v>19</v>
      </c>
      <c r="C166">
        <v>282.5</v>
      </c>
      <c r="D166" t="s">
        <v>261</v>
      </c>
      <c r="E166">
        <v>231.5</v>
      </c>
      <c r="F166" t="s">
        <v>185</v>
      </c>
      <c r="G166" t="s">
        <v>589</v>
      </c>
      <c r="H166" t="s">
        <v>590</v>
      </c>
      <c r="I166">
        <v>51</v>
      </c>
    </row>
    <row r="167" spans="1:9">
      <c r="A167" t="s">
        <v>510</v>
      </c>
      <c r="B167" t="s">
        <v>26</v>
      </c>
      <c r="C167">
        <v>287</v>
      </c>
      <c r="D167" t="s">
        <v>222</v>
      </c>
      <c r="E167">
        <v>222</v>
      </c>
      <c r="F167" t="s">
        <v>185</v>
      </c>
      <c r="G167" t="s">
        <v>591</v>
      </c>
      <c r="H167" t="s">
        <v>592</v>
      </c>
      <c r="I167">
        <v>65</v>
      </c>
    </row>
    <row r="168" spans="1:9">
      <c r="A168" t="s">
        <v>510</v>
      </c>
      <c r="B168" t="s">
        <v>32</v>
      </c>
      <c r="C168">
        <v>249</v>
      </c>
      <c r="D168" t="s">
        <v>404</v>
      </c>
      <c r="E168">
        <v>195</v>
      </c>
      <c r="F168" t="s">
        <v>185</v>
      </c>
      <c r="G168" t="s">
        <v>593</v>
      </c>
      <c r="H168" t="s">
        <v>594</v>
      </c>
      <c r="I168">
        <v>54</v>
      </c>
    </row>
    <row r="169" spans="1:9">
      <c r="A169" t="s">
        <v>510</v>
      </c>
      <c r="B169" t="s">
        <v>17</v>
      </c>
      <c r="C169">
        <v>311</v>
      </c>
      <c r="D169" t="s">
        <v>499</v>
      </c>
      <c r="E169">
        <v>203</v>
      </c>
      <c r="F169" t="s">
        <v>185</v>
      </c>
      <c r="G169" t="s">
        <v>595</v>
      </c>
      <c r="H169" t="s">
        <v>596</v>
      </c>
      <c r="I169">
        <v>108</v>
      </c>
    </row>
    <row r="170" spans="1:9">
      <c r="A170" t="s">
        <v>510</v>
      </c>
      <c r="B170" t="s">
        <v>66</v>
      </c>
      <c r="C170">
        <v>279</v>
      </c>
      <c r="D170" t="s">
        <v>469</v>
      </c>
      <c r="E170">
        <v>205</v>
      </c>
      <c r="F170" t="s">
        <v>185</v>
      </c>
      <c r="G170" t="s">
        <v>597</v>
      </c>
      <c r="H170" t="s">
        <v>598</v>
      </c>
      <c r="I170">
        <v>74</v>
      </c>
    </row>
    <row r="171" spans="1:9">
      <c r="A171" t="s">
        <v>510</v>
      </c>
      <c r="B171" t="s">
        <v>105</v>
      </c>
      <c r="C171">
        <v>359</v>
      </c>
      <c r="D171" t="s">
        <v>228</v>
      </c>
      <c r="E171">
        <v>144</v>
      </c>
      <c r="F171" t="s">
        <v>185</v>
      </c>
      <c r="G171" t="s">
        <v>599</v>
      </c>
      <c r="H171" t="s">
        <v>600</v>
      </c>
      <c r="I171">
        <v>215</v>
      </c>
    </row>
    <row r="172" spans="1:9">
      <c r="A172" t="s">
        <v>510</v>
      </c>
      <c r="B172" t="s">
        <v>67</v>
      </c>
      <c r="C172">
        <v>356.5</v>
      </c>
      <c r="D172" t="s">
        <v>255</v>
      </c>
      <c r="E172">
        <v>136.5</v>
      </c>
      <c r="F172" t="s">
        <v>185</v>
      </c>
      <c r="G172" t="s">
        <v>601</v>
      </c>
      <c r="H172" t="s">
        <v>602</v>
      </c>
      <c r="I172">
        <v>220</v>
      </c>
    </row>
    <row r="173" spans="1:9">
      <c r="A173" t="s">
        <v>603</v>
      </c>
      <c r="B173" t="s">
        <v>82</v>
      </c>
      <c r="C173">
        <v>307</v>
      </c>
      <c r="D173" t="s">
        <v>306</v>
      </c>
      <c r="E173">
        <v>192</v>
      </c>
      <c r="F173" t="s">
        <v>185</v>
      </c>
      <c r="G173" t="s">
        <v>604</v>
      </c>
      <c r="H173" t="s">
        <v>605</v>
      </c>
      <c r="I173">
        <v>115</v>
      </c>
    </row>
    <row r="174" spans="1:9">
      <c r="A174" t="s">
        <v>603</v>
      </c>
      <c r="B174" t="s">
        <v>65</v>
      </c>
      <c r="C174">
        <v>308</v>
      </c>
      <c r="D174" t="s">
        <v>210</v>
      </c>
      <c r="E174">
        <v>187</v>
      </c>
      <c r="F174" t="s">
        <v>185</v>
      </c>
      <c r="G174" t="s">
        <v>606</v>
      </c>
      <c r="H174" t="s">
        <v>607</v>
      </c>
      <c r="I174">
        <v>121</v>
      </c>
    </row>
    <row r="175" spans="1:9">
      <c r="A175" t="s">
        <v>603</v>
      </c>
      <c r="B175" t="s">
        <v>38</v>
      </c>
      <c r="C175">
        <v>257</v>
      </c>
      <c r="D175" t="s">
        <v>608</v>
      </c>
      <c r="E175">
        <v>245</v>
      </c>
      <c r="F175" t="s">
        <v>185</v>
      </c>
      <c r="G175" t="s">
        <v>609</v>
      </c>
      <c r="H175" t="s">
        <v>610</v>
      </c>
      <c r="I175">
        <v>12</v>
      </c>
    </row>
    <row r="176" spans="1:9">
      <c r="A176" t="s">
        <v>603</v>
      </c>
      <c r="B176" t="s">
        <v>129</v>
      </c>
      <c r="C176">
        <v>349</v>
      </c>
      <c r="D176" t="s">
        <v>312</v>
      </c>
      <c r="E176">
        <v>165</v>
      </c>
      <c r="F176" t="s">
        <v>185</v>
      </c>
      <c r="G176" t="s">
        <v>611</v>
      </c>
      <c r="H176" t="s">
        <v>612</v>
      </c>
      <c r="I176">
        <v>184</v>
      </c>
    </row>
    <row r="177" spans="1:9">
      <c r="A177" t="s">
        <v>603</v>
      </c>
      <c r="B177" t="s">
        <v>95</v>
      </c>
      <c r="C177">
        <v>257</v>
      </c>
      <c r="D177" t="s">
        <v>613</v>
      </c>
      <c r="E177">
        <v>256</v>
      </c>
      <c r="F177" t="s">
        <v>185</v>
      </c>
      <c r="G177" t="s">
        <v>614</v>
      </c>
      <c r="H177" t="s">
        <v>615</v>
      </c>
      <c r="I177">
        <v>1</v>
      </c>
    </row>
    <row r="178" spans="1:9">
      <c r="A178" t="s">
        <v>603</v>
      </c>
      <c r="B178" t="s">
        <v>15</v>
      </c>
      <c r="C178">
        <v>271.5</v>
      </c>
      <c r="D178" t="s">
        <v>188</v>
      </c>
      <c r="E178">
        <v>242.5</v>
      </c>
      <c r="F178" t="s">
        <v>185</v>
      </c>
      <c r="G178" t="s">
        <v>616</v>
      </c>
      <c r="H178" t="s">
        <v>617</v>
      </c>
      <c r="I178">
        <v>29</v>
      </c>
    </row>
    <row r="179" spans="1:9">
      <c r="A179" t="s">
        <v>603</v>
      </c>
      <c r="B179" t="s">
        <v>73</v>
      </c>
      <c r="C179">
        <v>293.5</v>
      </c>
      <c r="D179" t="s">
        <v>270</v>
      </c>
      <c r="E179">
        <v>214.5</v>
      </c>
      <c r="F179" t="s">
        <v>185</v>
      </c>
      <c r="G179" t="s">
        <v>618</v>
      </c>
      <c r="H179" t="s">
        <v>619</v>
      </c>
      <c r="I179">
        <v>79</v>
      </c>
    </row>
    <row r="180" spans="1:9">
      <c r="A180" t="s">
        <v>603</v>
      </c>
      <c r="B180" t="s">
        <v>0</v>
      </c>
      <c r="C180">
        <v>331</v>
      </c>
      <c r="D180" t="s">
        <v>527</v>
      </c>
      <c r="E180">
        <v>179</v>
      </c>
      <c r="F180" t="s">
        <v>185</v>
      </c>
      <c r="G180" t="s">
        <v>620</v>
      </c>
      <c r="H180" t="s">
        <v>621</v>
      </c>
      <c r="I180">
        <v>152</v>
      </c>
    </row>
    <row r="181" spans="1:9">
      <c r="A181" t="s">
        <v>603</v>
      </c>
      <c r="B181" t="s">
        <v>67</v>
      </c>
      <c r="C181">
        <v>334</v>
      </c>
      <c r="D181" t="s">
        <v>502</v>
      </c>
      <c r="E181">
        <v>164</v>
      </c>
      <c r="F181" t="s">
        <v>185</v>
      </c>
      <c r="G181" t="s">
        <v>622</v>
      </c>
      <c r="H181" t="s">
        <v>623</v>
      </c>
      <c r="I181">
        <v>170</v>
      </c>
    </row>
    <row r="182" spans="1:9">
      <c r="A182" t="s">
        <v>603</v>
      </c>
      <c r="B182" t="s">
        <v>16</v>
      </c>
      <c r="C182">
        <v>258</v>
      </c>
      <c r="D182" t="s">
        <v>575</v>
      </c>
      <c r="E182">
        <v>254</v>
      </c>
      <c r="F182" t="s">
        <v>185</v>
      </c>
      <c r="G182" t="s">
        <v>624</v>
      </c>
      <c r="H182" t="s">
        <v>625</v>
      </c>
      <c r="I182">
        <v>4</v>
      </c>
    </row>
    <row r="183" spans="1:9">
      <c r="A183" t="s">
        <v>603</v>
      </c>
      <c r="B183" t="s">
        <v>33</v>
      </c>
      <c r="C183">
        <v>241</v>
      </c>
      <c r="D183" t="s">
        <v>246</v>
      </c>
      <c r="E183">
        <v>235</v>
      </c>
      <c r="F183" t="s">
        <v>185</v>
      </c>
      <c r="G183" t="s">
        <v>626</v>
      </c>
      <c r="H183" t="s">
        <v>627</v>
      </c>
      <c r="I183">
        <v>6</v>
      </c>
    </row>
    <row r="184" spans="1:9">
      <c r="A184" t="s">
        <v>603</v>
      </c>
      <c r="B184" t="s">
        <v>35</v>
      </c>
      <c r="C184">
        <v>353</v>
      </c>
      <c r="D184" t="s">
        <v>228</v>
      </c>
      <c r="E184">
        <v>156</v>
      </c>
      <c r="F184" t="s">
        <v>185</v>
      </c>
      <c r="G184" t="s">
        <v>628</v>
      </c>
      <c r="H184" t="s">
        <v>629</v>
      </c>
      <c r="I184">
        <v>197</v>
      </c>
    </row>
    <row r="185" spans="1:9">
      <c r="A185" t="s">
        <v>603</v>
      </c>
      <c r="B185" t="s">
        <v>63</v>
      </c>
      <c r="C185">
        <v>281</v>
      </c>
      <c r="D185" t="s">
        <v>630</v>
      </c>
      <c r="E185">
        <v>233</v>
      </c>
      <c r="F185" t="s">
        <v>185</v>
      </c>
      <c r="G185" t="s">
        <v>631</v>
      </c>
      <c r="H185" t="s">
        <v>632</v>
      </c>
      <c r="I185">
        <v>48</v>
      </c>
    </row>
    <row r="186" spans="1:9">
      <c r="A186" t="s">
        <v>603</v>
      </c>
      <c r="B186" t="s">
        <v>54</v>
      </c>
      <c r="C186">
        <v>281</v>
      </c>
      <c r="D186" t="s">
        <v>231</v>
      </c>
      <c r="E186">
        <v>233</v>
      </c>
      <c r="F186" t="s">
        <v>185</v>
      </c>
      <c r="G186" t="s">
        <v>633</v>
      </c>
      <c r="H186" t="s">
        <v>634</v>
      </c>
      <c r="I186">
        <v>48</v>
      </c>
    </row>
    <row r="187" spans="1:9">
      <c r="A187" t="s">
        <v>603</v>
      </c>
      <c r="B187" t="s">
        <v>6</v>
      </c>
      <c r="C187">
        <v>311</v>
      </c>
      <c r="D187" t="s">
        <v>194</v>
      </c>
      <c r="E187">
        <v>199</v>
      </c>
      <c r="F187" t="s">
        <v>185</v>
      </c>
      <c r="G187" t="s">
        <v>635</v>
      </c>
      <c r="H187" t="s">
        <v>636</v>
      </c>
      <c r="I187">
        <v>112</v>
      </c>
    </row>
    <row r="188" spans="1:9">
      <c r="A188" t="s">
        <v>603</v>
      </c>
      <c r="B188" t="s">
        <v>26</v>
      </c>
      <c r="C188">
        <v>269</v>
      </c>
      <c r="D188" t="s">
        <v>450</v>
      </c>
      <c r="E188">
        <v>241</v>
      </c>
      <c r="F188" t="s">
        <v>185</v>
      </c>
      <c r="G188" t="s">
        <v>637</v>
      </c>
      <c r="H188" t="s">
        <v>638</v>
      </c>
      <c r="I188">
        <v>28</v>
      </c>
    </row>
    <row r="189" spans="1:9">
      <c r="A189" t="s">
        <v>603</v>
      </c>
      <c r="B189" t="s">
        <v>31</v>
      </c>
      <c r="C189">
        <v>264</v>
      </c>
      <c r="D189" t="s">
        <v>198</v>
      </c>
      <c r="E189">
        <v>245</v>
      </c>
      <c r="F189" t="s">
        <v>185</v>
      </c>
      <c r="G189" t="s">
        <v>639</v>
      </c>
      <c r="H189" t="s">
        <v>640</v>
      </c>
      <c r="I189">
        <v>19</v>
      </c>
    </row>
    <row r="190" spans="1:9">
      <c r="A190" t="s">
        <v>603</v>
      </c>
      <c r="B190" t="s">
        <v>49</v>
      </c>
      <c r="C190">
        <v>284</v>
      </c>
      <c r="D190" t="s">
        <v>191</v>
      </c>
      <c r="E190">
        <v>226</v>
      </c>
      <c r="F190" t="s">
        <v>185</v>
      </c>
      <c r="G190" t="s">
        <v>641</v>
      </c>
      <c r="H190" t="s">
        <v>642</v>
      </c>
      <c r="I190">
        <v>58</v>
      </c>
    </row>
    <row r="191" spans="1:9">
      <c r="A191" t="s">
        <v>603</v>
      </c>
      <c r="B191" t="s">
        <v>59</v>
      </c>
      <c r="C191">
        <v>346</v>
      </c>
      <c r="D191" t="s">
        <v>219</v>
      </c>
      <c r="E191">
        <v>161</v>
      </c>
      <c r="F191" t="s">
        <v>185</v>
      </c>
      <c r="G191" t="s">
        <v>643</v>
      </c>
      <c r="H191" t="s">
        <v>644</v>
      </c>
      <c r="I191">
        <v>185</v>
      </c>
    </row>
    <row r="192" spans="1:9">
      <c r="A192" t="s">
        <v>603</v>
      </c>
      <c r="B192" t="s">
        <v>27</v>
      </c>
      <c r="C192">
        <v>293</v>
      </c>
      <c r="D192" t="s">
        <v>282</v>
      </c>
      <c r="E192">
        <v>219</v>
      </c>
      <c r="F192" t="s">
        <v>185</v>
      </c>
      <c r="G192" t="s">
        <v>645</v>
      </c>
      <c r="H192" t="s">
        <v>646</v>
      </c>
      <c r="I192">
        <v>74</v>
      </c>
    </row>
    <row r="193" spans="1:9">
      <c r="A193" t="s">
        <v>603</v>
      </c>
      <c r="B193" t="s">
        <v>171</v>
      </c>
      <c r="C193">
        <v>327</v>
      </c>
      <c r="D193" t="s">
        <v>404</v>
      </c>
      <c r="E193">
        <v>169</v>
      </c>
      <c r="F193" t="s">
        <v>185</v>
      </c>
      <c r="G193" t="s">
        <v>647</v>
      </c>
      <c r="H193" t="s">
        <v>648</v>
      </c>
      <c r="I193">
        <v>158</v>
      </c>
    </row>
    <row r="194" spans="1:9">
      <c r="A194" t="s">
        <v>603</v>
      </c>
      <c r="B194" t="s">
        <v>85</v>
      </c>
      <c r="C194">
        <v>314</v>
      </c>
      <c r="D194" t="s">
        <v>276</v>
      </c>
      <c r="E194">
        <v>183</v>
      </c>
      <c r="F194" t="s">
        <v>185</v>
      </c>
      <c r="G194" t="s">
        <v>649</v>
      </c>
      <c r="H194" t="s">
        <v>650</v>
      </c>
      <c r="I194">
        <v>131</v>
      </c>
    </row>
    <row r="195" spans="1:9">
      <c r="A195" t="s">
        <v>603</v>
      </c>
      <c r="B195" t="s">
        <v>30</v>
      </c>
      <c r="C195">
        <v>266</v>
      </c>
      <c r="D195" t="s">
        <v>387</v>
      </c>
      <c r="E195">
        <v>248</v>
      </c>
      <c r="F195" t="s">
        <v>185</v>
      </c>
      <c r="G195" t="s">
        <v>651</v>
      </c>
      <c r="H195" t="s">
        <v>652</v>
      </c>
      <c r="I195">
        <v>18</v>
      </c>
    </row>
    <row r="196" spans="1:9">
      <c r="A196" t="s">
        <v>603</v>
      </c>
      <c r="B196" t="s">
        <v>10</v>
      </c>
      <c r="C196">
        <v>257</v>
      </c>
      <c r="D196" t="s">
        <v>261</v>
      </c>
      <c r="E196">
        <v>255</v>
      </c>
      <c r="F196" t="s">
        <v>185</v>
      </c>
      <c r="G196" t="s">
        <v>653</v>
      </c>
      <c r="H196" t="s">
        <v>654</v>
      </c>
      <c r="I196">
        <v>2</v>
      </c>
    </row>
    <row r="197" spans="1:9">
      <c r="A197" t="s">
        <v>603</v>
      </c>
      <c r="B197" t="s">
        <v>57</v>
      </c>
      <c r="C197">
        <v>280</v>
      </c>
      <c r="D197" t="s">
        <v>409</v>
      </c>
      <c r="E197">
        <v>225</v>
      </c>
      <c r="F197" t="s">
        <v>185</v>
      </c>
      <c r="G197" t="s">
        <v>655</v>
      </c>
      <c r="H197" t="s">
        <v>656</v>
      </c>
      <c r="I197">
        <v>55</v>
      </c>
    </row>
    <row r="198" spans="1:9">
      <c r="A198" t="s">
        <v>603</v>
      </c>
      <c r="B198" t="s">
        <v>25</v>
      </c>
      <c r="C198">
        <v>330.5</v>
      </c>
      <c r="D198" t="s">
        <v>184</v>
      </c>
      <c r="E198">
        <v>178.5</v>
      </c>
      <c r="F198" t="s">
        <v>185</v>
      </c>
      <c r="G198" t="s">
        <v>657</v>
      </c>
      <c r="H198" t="s">
        <v>658</v>
      </c>
      <c r="I198">
        <v>152</v>
      </c>
    </row>
    <row r="199" spans="1:9">
      <c r="A199" t="s">
        <v>603</v>
      </c>
      <c r="B199" t="s">
        <v>8</v>
      </c>
      <c r="C199">
        <v>352</v>
      </c>
      <c r="D199" t="s">
        <v>485</v>
      </c>
      <c r="E199">
        <v>157</v>
      </c>
      <c r="F199" t="s">
        <v>185</v>
      </c>
      <c r="G199" t="s">
        <v>659</v>
      </c>
      <c r="H199" t="s">
        <v>660</v>
      </c>
      <c r="I199">
        <v>195</v>
      </c>
    </row>
    <row r="200" spans="1:9">
      <c r="A200" t="s">
        <v>603</v>
      </c>
      <c r="B200" t="s">
        <v>56</v>
      </c>
      <c r="C200">
        <v>324</v>
      </c>
      <c r="D200" t="s">
        <v>661</v>
      </c>
      <c r="E200">
        <v>190</v>
      </c>
      <c r="F200" t="s">
        <v>185</v>
      </c>
      <c r="G200" t="s">
        <v>662</v>
      </c>
      <c r="H200" t="s">
        <v>663</v>
      </c>
      <c r="I200">
        <v>134</v>
      </c>
    </row>
    <row r="201" spans="1:9">
      <c r="A201" t="s">
        <v>603</v>
      </c>
      <c r="B201" t="s">
        <v>64</v>
      </c>
      <c r="C201">
        <v>252</v>
      </c>
      <c r="D201" t="s">
        <v>267</v>
      </c>
      <c r="E201">
        <v>249</v>
      </c>
      <c r="F201" t="s">
        <v>185</v>
      </c>
      <c r="G201" t="s">
        <v>664</v>
      </c>
      <c r="H201" t="s">
        <v>665</v>
      </c>
      <c r="I201">
        <v>3</v>
      </c>
    </row>
    <row r="202" spans="1:9">
      <c r="A202" t="s">
        <v>603</v>
      </c>
      <c r="B202" t="s">
        <v>19</v>
      </c>
      <c r="C202">
        <v>278</v>
      </c>
      <c r="D202" t="s">
        <v>562</v>
      </c>
      <c r="E202">
        <v>232</v>
      </c>
      <c r="F202" t="s">
        <v>185</v>
      </c>
      <c r="G202" t="s">
        <v>666</v>
      </c>
      <c r="H202" t="s">
        <v>667</v>
      </c>
      <c r="I202">
        <v>46</v>
      </c>
    </row>
    <row r="203" spans="1:9">
      <c r="A203" t="s">
        <v>603</v>
      </c>
      <c r="B203" t="s">
        <v>24</v>
      </c>
      <c r="C203">
        <v>273</v>
      </c>
      <c r="D203" t="s">
        <v>258</v>
      </c>
      <c r="E203">
        <v>240</v>
      </c>
      <c r="F203" t="s">
        <v>185</v>
      </c>
      <c r="G203" t="s">
        <v>668</v>
      </c>
      <c r="H203" t="s">
        <v>669</v>
      </c>
      <c r="I203">
        <v>33</v>
      </c>
    </row>
    <row r="204" spans="1:9">
      <c r="A204" t="s">
        <v>603</v>
      </c>
      <c r="B204" t="s">
        <v>50</v>
      </c>
      <c r="C204">
        <v>317</v>
      </c>
      <c r="D204" t="s">
        <v>264</v>
      </c>
      <c r="E204">
        <v>196</v>
      </c>
      <c r="F204" t="s">
        <v>185</v>
      </c>
      <c r="G204" t="s">
        <v>670</v>
      </c>
      <c r="H204" t="s">
        <v>671</v>
      </c>
      <c r="I204">
        <v>121</v>
      </c>
    </row>
    <row r="205" spans="1:9">
      <c r="A205" t="s">
        <v>603</v>
      </c>
      <c r="B205" t="s">
        <v>128</v>
      </c>
      <c r="C205">
        <v>241</v>
      </c>
      <c r="D205" t="s">
        <v>291</v>
      </c>
      <c r="E205">
        <v>172</v>
      </c>
      <c r="F205" t="s">
        <v>185</v>
      </c>
      <c r="G205" t="s">
        <v>672</v>
      </c>
      <c r="H205" t="s">
        <v>673</v>
      </c>
      <c r="I205">
        <v>69</v>
      </c>
    </row>
    <row r="206" spans="1:9">
      <c r="A206" t="s">
        <v>603</v>
      </c>
      <c r="B206" t="s">
        <v>83</v>
      </c>
      <c r="C206">
        <v>310</v>
      </c>
      <c r="D206" t="s">
        <v>309</v>
      </c>
      <c r="E206">
        <v>93</v>
      </c>
      <c r="F206" t="s">
        <v>185</v>
      </c>
      <c r="G206" t="s">
        <v>674</v>
      </c>
      <c r="H206" t="s">
        <v>675</v>
      </c>
      <c r="I206">
        <v>217</v>
      </c>
    </row>
    <row r="207" spans="1:9">
      <c r="A207" t="s">
        <v>603</v>
      </c>
      <c r="B207" t="s">
        <v>161</v>
      </c>
      <c r="C207">
        <v>293</v>
      </c>
      <c r="D207" t="s">
        <v>252</v>
      </c>
      <c r="E207">
        <v>217</v>
      </c>
      <c r="F207" t="s">
        <v>185</v>
      </c>
      <c r="G207" t="s">
        <v>676</v>
      </c>
      <c r="H207" t="s">
        <v>677</v>
      </c>
      <c r="I207">
        <v>76</v>
      </c>
    </row>
    <row r="208" spans="1:9">
      <c r="A208" t="s">
        <v>603</v>
      </c>
      <c r="B208" t="s">
        <v>12</v>
      </c>
      <c r="C208">
        <v>280</v>
      </c>
      <c r="D208" t="s">
        <v>201</v>
      </c>
      <c r="E208">
        <v>234</v>
      </c>
      <c r="F208" t="s">
        <v>185</v>
      </c>
      <c r="G208" t="s">
        <v>678</v>
      </c>
      <c r="H208" t="s">
        <v>679</v>
      </c>
      <c r="I208">
        <v>46</v>
      </c>
    </row>
    <row r="209" spans="1:9">
      <c r="A209" t="s">
        <v>603</v>
      </c>
      <c r="B209" t="s">
        <v>13</v>
      </c>
      <c r="C209">
        <v>314.5</v>
      </c>
      <c r="D209" t="s">
        <v>499</v>
      </c>
      <c r="E209">
        <v>192.5</v>
      </c>
      <c r="F209" t="s">
        <v>185</v>
      </c>
      <c r="G209" t="s">
        <v>680</v>
      </c>
      <c r="H209" t="s">
        <v>681</v>
      </c>
      <c r="I209">
        <v>122</v>
      </c>
    </row>
    <row r="210" spans="1:9">
      <c r="A210" t="s">
        <v>603</v>
      </c>
      <c r="B210" t="s">
        <v>18</v>
      </c>
      <c r="C210">
        <v>265</v>
      </c>
      <c r="D210" t="s">
        <v>288</v>
      </c>
      <c r="E210">
        <v>249</v>
      </c>
      <c r="F210" t="s">
        <v>185</v>
      </c>
      <c r="G210" t="s">
        <v>682</v>
      </c>
      <c r="H210" t="s">
        <v>683</v>
      </c>
      <c r="I210">
        <v>16</v>
      </c>
    </row>
    <row r="211" spans="1:9">
      <c r="A211" t="s">
        <v>603</v>
      </c>
      <c r="B211" t="s">
        <v>60</v>
      </c>
      <c r="C211">
        <v>274</v>
      </c>
      <c r="D211" t="s">
        <v>255</v>
      </c>
      <c r="E211">
        <v>196</v>
      </c>
      <c r="F211" t="s">
        <v>185</v>
      </c>
      <c r="G211" t="s">
        <v>684</v>
      </c>
      <c r="H211" t="s">
        <v>685</v>
      </c>
      <c r="I211">
        <v>78</v>
      </c>
    </row>
    <row r="212" spans="1:9">
      <c r="A212" t="s">
        <v>603</v>
      </c>
      <c r="B212" t="s">
        <v>52</v>
      </c>
      <c r="C212">
        <v>264</v>
      </c>
      <c r="D212" t="s">
        <v>294</v>
      </c>
      <c r="E212">
        <v>249</v>
      </c>
      <c r="F212" t="s">
        <v>185</v>
      </c>
      <c r="G212" t="s">
        <v>686</v>
      </c>
      <c r="H212" t="s">
        <v>687</v>
      </c>
      <c r="I212">
        <v>15</v>
      </c>
    </row>
    <row r="213" spans="1:9">
      <c r="A213" t="s">
        <v>603</v>
      </c>
      <c r="B213" t="s">
        <v>23</v>
      </c>
      <c r="C213">
        <v>274</v>
      </c>
      <c r="D213" t="s">
        <v>300</v>
      </c>
      <c r="E213">
        <v>213</v>
      </c>
      <c r="F213" t="s">
        <v>185</v>
      </c>
      <c r="G213" t="s">
        <v>688</v>
      </c>
      <c r="H213" t="s">
        <v>689</v>
      </c>
      <c r="I213">
        <v>61</v>
      </c>
    </row>
    <row r="214" spans="1:9">
      <c r="A214" t="s">
        <v>603</v>
      </c>
      <c r="B214" t="s">
        <v>99</v>
      </c>
      <c r="C214">
        <v>329.5</v>
      </c>
      <c r="D214" t="s">
        <v>438</v>
      </c>
      <c r="E214">
        <v>182.5</v>
      </c>
      <c r="F214" t="s">
        <v>185</v>
      </c>
      <c r="G214" t="s">
        <v>690</v>
      </c>
      <c r="H214" t="s">
        <v>691</v>
      </c>
      <c r="I214">
        <v>147</v>
      </c>
    </row>
    <row r="215" spans="1:9">
      <c r="A215" t="s">
        <v>603</v>
      </c>
      <c r="B215" t="s">
        <v>105</v>
      </c>
      <c r="C215">
        <v>311.5</v>
      </c>
      <c r="D215" t="s">
        <v>370</v>
      </c>
      <c r="E215">
        <v>202.5</v>
      </c>
      <c r="F215" t="s">
        <v>185</v>
      </c>
      <c r="G215" t="s">
        <v>692</v>
      </c>
      <c r="H215" t="s">
        <v>693</v>
      </c>
      <c r="I215">
        <v>109</v>
      </c>
    </row>
    <row r="216" spans="1:9">
      <c r="A216" t="s">
        <v>694</v>
      </c>
      <c r="B216" t="s">
        <v>11</v>
      </c>
      <c r="C216">
        <v>262.5</v>
      </c>
      <c r="D216" t="s">
        <v>184</v>
      </c>
      <c r="E216">
        <v>242.5</v>
      </c>
      <c r="F216" t="s">
        <v>185</v>
      </c>
      <c r="G216" t="s">
        <v>695</v>
      </c>
      <c r="H216" t="s">
        <v>696</v>
      </c>
      <c r="I216">
        <v>20</v>
      </c>
    </row>
    <row r="217" spans="1:9">
      <c r="A217" t="s">
        <v>694</v>
      </c>
      <c r="B217" t="s">
        <v>129</v>
      </c>
      <c r="C217">
        <v>321.5</v>
      </c>
      <c r="D217" t="s">
        <v>191</v>
      </c>
      <c r="E217">
        <v>192.5</v>
      </c>
      <c r="F217" t="s">
        <v>185</v>
      </c>
      <c r="G217" t="s">
        <v>697</v>
      </c>
      <c r="H217" t="s">
        <v>698</v>
      </c>
      <c r="I217">
        <v>129</v>
      </c>
    </row>
    <row r="218" spans="1:9">
      <c r="A218" t="s">
        <v>694</v>
      </c>
      <c r="B218" t="s">
        <v>105</v>
      </c>
      <c r="C218">
        <v>315</v>
      </c>
      <c r="D218" t="s">
        <v>306</v>
      </c>
      <c r="E218">
        <v>192</v>
      </c>
      <c r="F218" t="s">
        <v>185</v>
      </c>
      <c r="G218" t="s">
        <v>699</v>
      </c>
      <c r="H218" t="s">
        <v>700</v>
      </c>
      <c r="I218">
        <v>123</v>
      </c>
    </row>
    <row r="219" spans="1:9">
      <c r="A219" t="s">
        <v>694</v>
      </c>
      <c r="B219" t="s">
        <v>38</v>
      </c>
      <c r="C219">
        <v>302</v>
      </c>
      <c r="D219" t="s">
        <v>198</v>
      </c>
      <c r="E219">
        <v>181</v>
      </c>
      <c r="F219" t="s">
        <v>185</v>
      </c>
      <c r="G219" t="s">
        <v>701</v>
      </c>
      <c r="H219" t="s">
        <v>702</v>
      </c>
      <c r="I219">
        <v>121</v>
      </c>
    </row>
    <row r="220" spans="1:9">
      <c r="A220" t="s">
        <v>694</v>
      </c>
      <c r="B220" t="s">
        <v>161</v>
      </c>
      <c r="C220">
        <v>299</v>
      </c>
      <c r="D220" t="s">
        <v>661</v>
      </c>
      <c r="E220">
        <v>206</v>
      </c>
      <c r="F220" t="s">
        <v>185</v>
      </c>
      <c r="G220" t="s">
        <v>703</v>
      </c>
      <c r="H220" t="s">
        <v>704</v>
      </c>
      <c r="I220">
        <v>93</v>
      </c>
    </row>
    <row r="221" spans="1:9">
      <c r="A221" t="s">
        <v>694</v>
      </c>
      <c r="B221" t="s">
        <v>27</v>
      </c>
      <c r="C221">
        <v>293</v>
      </c>
      <c r="D221" t="s">
        <v>705</v>
      </c>
      <c r="E221">
        <v>221</v>
      </c>
      <c r="F221" t="s">
        <v>185</v>
      </c>
      <c r="G221" t="s">
        <v>706</v>
      </c>
      <c r="H221" t="s">
        <v>707</v>
      </c>
      <c r="I221">
        <v>72</v>
      </c>
    </row>
    <row r="222" spans="1:9">
      <c r="A222" t="s">
        <v>694</v>
      </c>
      <c r="B222" t="s">
        <v>99</v>
      </c>
      <c r="C222">
        <v>302</v>
      </c>
      <c r="D222" t="s">
        <v>613</v>
      </c>
      <c r="E222">
        <v>212</v>
      </c>
      <c r="F222" t="s">
        <v>185</v>
      </c>
      <c r="G222" t="s">
        <v>708</v>
      </c>
      <c r="H222" t="s">
        <v>709</v>
      </c>
      <c r="I222">
        <v>90</v>
      </c>
    </row>
    <row r="223" spans="1:9">
      <c r="A223" t="s">
        <v>694</v>
      </c>
      <c r="B223" t="s">
        <v>19</v>
      </c>
      <c r="C223">
        <v>265</v>
      </c>
      <c r="D223" t="s">
        <v>201</v>
      </c>
      <c r="E223">
        <v>244</v>
      </c>
      <c r="F223" t="s">
        <v>185</v>
      </c>
      <c r="G223" t="s">
        <v>710</v>
      </c>
      <c r="H223" t="s">
        <v>711</v>
      </c>
      <c r="I223">
        <v>21</v>
      </c>
    </row>
    <row r="224" spans="1:9">
      <c r="A224" t="s">
        <v>694</v>
      </c>
      <c r="B224" t="s">
        <v>34</v>
      </c>
      <c r="C224">
        <v>273.5</v>
      </c>
      <c r="D224" t="s">
        <v>712</v>
      </c>
      <c r="E224">
        <v>232.5</v>
      </c>
      <c r="F224" t="s">
        <v>185</v>
      </c>
      <c r="G224" t="s">
        <v>713</v>
      </c>
      <c r="H224" t="s">
        <v>714</v>
      </c>
      <c r="I224">
        <v>41</v>
      </c>
    </row>
    <row r="225" spans="1:9">
      <c r="A225" t="s">
        <v>694</v>
      </c>
      <c r="B225" t="s">
        <v>95</v>
      </c>
      <c r="C225">
        <v>316</v>
      </c>
      <c r="D225" t="s">
        <v>438</v>
      </c>
      <c r="E225">
        <v>194</v>
      </c>
      <c r="F225" t="s">
        <v>185</v>
      </c>
      <c r="G225" t="s">
        <v>715</v>
      </c>
      <c r="H225" t="s">
        <v>716</v>
      </c>
      <c r="I225">
        <v>122</v>
      </c>
    </row>
    <row r="226" spans="1:9">
      <c r="A226" t="s">
        <v>694</v>
      </c>
      <c r="B226" t="s">
        <v>51</v>
      </c>
      <c r="C226">
        <v>265</v>
      </c>
      <c r="D226" t="s">
        <v>219</v>
      </c>
      <c r="E226">
        <v>228</v>
      </c>
      <c r="F226" t="s">
        <v>185</v>
      </c>
      <c r="G226" t="s">
        <v>717</v>
      </c>
      <c r="H226" t="s">
        <v>718</v>
      </c>
      <c r="I226">
        <v>37</v>
      </c>
    </row>
    <row r="227" spans="1:9">
      <c r="A227" t="s">
        <v>694</v>
      </c>
      <c r="B227" t="s">
        <v>24</v>
      </c>
      <c r="C227">
        <v>248</v>
      </c>
      <c r="D227" t="s">
        <v>222</v>
      </c>
      <c r="E227">
        <v>245</v>
      </c>
      <c r="F227" t="s">
        <v>185</v>
      </c>
      <c r="G227" t="s">
        <v>719</v>
      </c>
      <c r="H227" t="s">
        <v>720</v>
      </c>
      <c r="I227">
        <v>3</v>
      </c>
    </row>
    <row r="228" spans="1:9">
      <c r="A228" t="s">
        <v>694</v>
      </c>
      <c r="B228" t="s">
        <v>28</v>
      </c>
      <c r="C228">
        <v>261</v>
      </c>
      <c r="D228" t="s">
        <v>246</v>
      </c>
      <c r="E228">
        <v>226</v>
      </c>
      <c r="F228" t="s">
        <v>185</v>
      </c>
      <c r="G228" t="s">
        <v>721</v>
      </c>
      <c r="H228" t="s">
        <v>722</v>
      </c>
      <c r="I228">
        <v>35</v>
      </c>
    </row>
    <row r="229" spans="1:9">
      <c r="A229" t="s">
        <v>694</v>
      </c>
      <c r="B229" t="s">
        <v>6</v>
      </c>
      <c r="C229">
        <v>276</v>
      </c>
      <c r="D229" t="s">
        <v>231</v>
      </c>
      <c r="E229">
        <v>237</v>
      </c>
      <c r="F229" t="s">
        <v>185</v>
      </c>
      <c r="G229" t="s">
        <v>723</v>
      </c>
      <c r="H229" t="s">
        <v>724</v>
      </c>
      <c r="I229">
        <v>39</v>
      </c>
    </row>
    <row r="230" spans="1:9">
      <c r="A230" t="s">
        <v>694</v>
      </c>
      <c r="B230" t="s">
        <v>65</v>
      </c>
      <c r="C230">
        <v>299</v>
      </c>
      <c r="D230" t="s">
        <v>527</v>
      </c>
      <c r="E230">
        <v>196</v>
      </c>
      <c r="F230" t="s">
        <v>185</v>
      </c>
      <c r="G230" t="s">
        <v>725</v>
      </c>
      <c r="H230" t="s">
        <v>726</v>
      </c>
      <c r="I230">
        <v>103</v>
      </c>
    </row>
    <row r="231" spans="1:9">
      <c r="A231" t="s">
        <v>694</v>
      </c>
      <c r="B231" t="s">
        <v>64</v>
      </c>
      <c r="C231">
        <v>312</v>
      </c>
      <c r="D231" t="s">
        <v>348</v>
      </c>
      <c r="E231">
        <v>197</v>
      </c>
      <c r="F231" t="s">
        <v>185</v>
      </c>
      <c r="G231" t="s">
        <v>727</v>
      </c>
      <c r="H231" t="s">
        <v>728</v>
      </c>
      <c r="I231">
        <v>115</v>
      </c>
    </row>
    <row r="232" spans="1:9">
      <c r="A232" t="s">
        <v>694</v>
      </c>
      <c r="B232" t="s">
        <v>52</v>
      </c>
      <c r="C232">
        <v>321</v>
      </c>
      <c r="D232" t="s">
        <v>240</v>
      </c>
      <c r="E232">
        <v>192</v>
      </c>
      <c r="F232" t="s">
        <v>185</v>
      </c>
      <c r="G232" t="s">
        <v>729</v>
      </c>
      <c r="H232" t="s">
        <v>730</v>
      </c>
      <c r="I232">
        <v>129</v>
      </c>
    </row>
    <row r="233" spans="1:9">
      <c r="A233" t="s">
        <v>694</v>
      </c>
      <c r="B233" t="s">
        <v>83</v>
      </c>
      <c r="C233">
        <v>285</v>
      </c>
      <c r="D233" t="s">
        <v>213</v>
      </c>
      <c r="E233">
        <v>213</v>
      </c>
      <c r="F233" t="s">
        <v>185</v>
      </c>
      <c r="G233" t="s">
        <v>731</v>
      </c>
      <c r="H233" t="s">
        <v>732</v>
      </c>
      <c r="I233">
        <v>72</v>
      </c>
    </row>
    <row r="234" spans="1:9">
      <c r="A234" t="s">
        <v>694</v>
      </c>
      <c r="B234" t="s">
        <v>56</v>
      </c>
      <c r="C234">
        <v>301</v>
      </c>
      <c r="D234" t="s">
        <v>252</v>
      </c>
      <c r="E234">
        <v>193</v>
      </c>
      <c r="F234" t="s">
        <v>185</v>
      </c>
      <c r="G234" t="s">
        <v>733</v>
      </c>
      <c r="H234" t="s">
        <v>734</v>
      </c>
      <c r="I234">
        <v>108</v>
      </c>
    </row>
    <row r="235" spans="1:9">
      <c r="A235" t="s">
        <v>694</v>
      </c>
      <c r="B235" t="s">
        <v>0</v>
      </c>
      <c r="C235">
        <v>380</v>
      </c>
      <c r="D235" t="s">
        <v>210</v>
      </c>
      <c r="E235">
        <v>132</v>
      </c>
      <c r="F235" t="s">
        <v>185</v>
      </c>
      <c r="G235" t="s">
        <v>735</v>
      </c>
      <c r="H235" t="s">
        <v>736</v>
      </c>
      <c r="I235">
        <v>248</v>
      </c>
    </row>
    <row r="236" spans="1:9">
      <c r="A236" t="s">
        <v>694</v>
      </c>
      <c r="B236" t="s">
        <v>63</v>
      </c>
      <c r="C236">
        <v>337</v>
      </c>
      <c r="D236" t="s">
        <v>485</v>
      </c>
      <c r="E236">
        <v>176</v>
      </c>
      <c r="F236" t="s">
        <v>185</v>
      </c>
      <c r="G236" t="s">
        <v>737</v>
      </c>
      <c r="H236" t="s">
        <v>738</v>
      </c>
      <c r="I236">
        <v>161</v>
      </c>
    </row>
    <row r="237" spans="1:9">
      <c r="A237" t="s">
        <v>694</v>
      </c>
      <c r="B237" t="s">
        <v>54</v>
      </c>
      <c r="C237">
        <v>292</v>
      </c>
      <c r="D237" t="s">
        <v>194</v>
      </c>
      <c r="E237">
        <v>222</v>
      </c>
      <c r="F237" t="s">
        <v>185</v>
      </c>
      <c r="G237" t="s">
        <v>739</v>
      </c>
      <c r="H237" t="s">
        <v>740</v>
      </c>
      <c r="I237">
        <v>70</v>
      </c>
    </row>
    <row r="238" spans="1:9">
      <c r="A238" t="s">
        <v>694</v>
      </c>
      <c r="B238" t="s">
        <v>12</v>
      </c>
      <c r="C238">
        <v>263</v>
      </c>
      <c r="D238" t="s">
        <v>562</v>
      </c>
      <c r="E238">
        <v>251</v>
      </c>
      <c r="F238" t="s">
        <v>185</v>
      </c>
      <c r="G238" t="s">
        <v>741</v>
      </c>
      <c r="H238" t="s">
        <v>742</v>
      </c>
      <c r="I238">
        <v>12</v>
      </c>
    </row>
    <row r="239" spans="1:9">
      <c r="A239" t="s">
        <v>694</v>
      </c>
      <c r="B239" t="s">
        <v>3</v>
      </c>
      <c r="C239">
        <v>309.5</v>
      </c>
      <c r="D239" t="s">
        <v>300</v>
      </c>
      <c r="E239">
        <v>190.5</v>
      </c>
      <c r="F239" t="s">
        <v>185</v>
      </c>
      <c r="G239" t="s">
        <v>743</v>
      </c>
      <c r="H239" t="s">
        <v>744</v>
      </c>
      <c r="I239">
        <v>119</v>
      </c>
    </row>
    <row r="240" spans="1:9">
      <c r="A240" t="s">
        <v>694</v>
      </c>
      <c r="B240" t="s">
        <v>73</v>
      </c>
      <c r="C240">
        <v>357.5</v>
      </c>
      <c r="D240" t="s">
        <v>273</v>
      </c>
      <c r="E240">
        <v>155.5</v>
      </c>
      <c r="F240" t="s">
        <v>185</v>
      </c>
      <c r="G240" t="s">
        <v>745</v>
      </c>
      <c r="H240" t="s">
        <v>746</v>
      </c>
      <c r="I240">
        <v>202</v>
      </c>
    </row>
    <row r="241" spans="1:9">
      <c r="A241" t="s">
        <v>694</v>
      </c>
      <c r="B241" t="s">
        <v>128</v>
      </c>
      <c r="C241">
        <v>255</v>
      </c>
      <c r="D241" t="s">
        <v>276</v>
      </c>
      <c r="E241">
        <v>232</v>
      </c>
      <c r="F241" t="s">
        <v>185</v>
      </c>
      <c r="G241" t="s">
        <v>747</v>
      </c>
      <c r="H241" t="s">
        <v>748</v>
      </c>
      <c r="I241">
        <v>23</v>
      </c>
    </row>
    <row r="242" spans="1:9">
      <c r="A242" t="s">
        <v>694</v>
      </c>
      <c r="B242" t="s">
        <v>82</v>
      </c>
      <c r="C242">
        <v>276</v>
      </c>
      <c r="D242" t="s">
        <v>370</v>
      </c>
      <c r="E242">
        <v>227</v>
      </c>
      <c r="F242" t="s">
        <v>185</v>
      </c>
      <c r="G242" t="s">
        <v>749</v>
      </c>
      <c r="H242" t="s">
        <v>750</v>
      </c>
      <c r="I242">
        <v>49</v>
      </c>
    </row>
    <row r="243" spans="1:9">
      <c r="A243" t="s">
        <v>694</v>
      </c>
      <c r="B243" t="s">
        <v>10</v>
      </c>
      <c r="C243">
        <v>276</v>
      </c>
      <c r="D243" t="s">
        <v>204</v>
      </c>
      <c r="E243">
        <v>237</v>
      </c>
      <c r="F243" t="s">
        <v>185</v>
      </c>
      <c r="G243" t="s">
        <v>751</v>
      </c>
      <c r="H243" t="s">
        <v>752</v>
      </c>
      <c r="I243">
        <v>39</v>
      </c>
    </row>
    <row r="244" spans="1:9">
      <c r="A244" t="s">
        <v>694</v>
      </c>
      <c r="B244" t="s">
        <v>104</v>
      </c>
      <c r="C244">
        <v>255.5</v>
      </c>
      <c r="D244" t="s">
        <v>282</v>
      </c>
      <c r="E244">
        <v>248.5</v>
      </c>
      <c r="F244" t="s">
        <v>185</v>
      </c>
      <c r="G244" t="s">
        <v>753</v>
      </c>
      <c r="H244" t="s">
        <v>754</v>
      </c>
      <c r="I244">
        <v>7</v>
      </c>
    </row>
    <row r="245" spans="1:9">
      <c r="A245" t="s">
        <v>694</v>
      </c>
      <c r="B245" t="s">
        <v>171</v>
      </c>
      <c r="C245">
        <v>383</v>
      </c>
      <c r="D245" t="s">
        <v>309</v>
      </c>
      <c r="E245">
        <v>56</v>
      </c>
      <c r="F245" t="s">
        <v>185</v>
      </c>
      <c r="G245" t="s">
        <v>755</v>
      </c>
      <c r="H245" t="s">
        <v>756</v>
      </c>
      <c r="I245">
        <v>327</v>
      </c>
    </row>
    <row r="246" spans="1:9">
      <c r="A246" t="s">
        <v>694</v>
      </c>
      <c r="B246" t="s">
        <v>21</v>
      </c>
      <c r="C246">
        <v>301</v>
      </c>
      <c r="D246" t="s">
        <v>288</v>
      </c>
      <c r="E246">
        <v>213</v>
      </c>
      <c r="F246" t="s">
        <v>185</v>
      </c>
      <c r="G246" t="s">
        <v>757</v>
      </c>
      <c r="H246" t="s">
        <v>758</v>
      </c>
      <c r="I246">
        <v>88</v>
      </c>
    </row>
    <row r="247" spans="1:9">
      <c r="A247" t="s">
        <v>694</v>
      </c>
      <c r="B247" t="s">
        <v>14</v>
      </c>
      <c r="C247">
        <v>267</v>
      </c>
      <c r="D247" t="s">
        <v>258</v>
      </c>
      <c r="E247">
        <v>226</v>
      </c>
      <c r="F247" t="s">
        <v>185</v>
      </c>
      <c r="G247" t="s">
        <v>759</v>
      </c>
      <c r="H247" t="s">
        <v>760</v>
      </c>
      <c r="I247">
        <v>41</v>
      </c>
    </row>
    <row r="248" spans="1:9">
      <c r="A248" t="s">
        <v>694</v>
      </c>
      <c r="B248" t="s">
        <v>85</v>
      </c>
      <c r="C248">
        <v>337</v>
      </c>
      <c r="D248" t="s">
        <v>469</v>
      </c>
      <c r="E248">
        <v>174</v>
      </c>
      <c r="F248" t="s">
        <v>185</v>
      </c>
      <c r="G248" t="s">
        <v>761</v>
      </c>
      <c r="H248" t="s">
        <v>762</v>
      </c>
      <c r="I248">
        <v>163</v>
      </c>
    </row>
    <row r="249" spans="1:9">
      <c r="A249" t="s">
        <v>694</v>
      </c>
      <c r="B249" t="s">
        <v>49</v>
      </c>
      <c r="C249">
        <v>272</v>
      </c>
      <c r="D249" t="s">
        <v>312</v>
      </c>
      <c r="E249">
        <v>242</v>
      </c>
      <c r="F249" t="s">
        <v>185</v>
      </c>
      <c r="G249" t="s">
        <v>763</v>
      </c>
      <c r="H249" t="s">
        <v>764</v>
      </c>
      <c r="I249">
        <v>30</v>
      </c>
    </row>
    <row r="250" spans="1:9">
      <c r="A250" t="s">
        <v>694</v>
      </c>
      <c r="B250" t="s">
        <v>53</v>
      </c>
      <c r="C250">
        <v>260</v>
      </c>
      <c r="D250" t="s">
        <v>474</v>
      </c>
      <c r="E250">
        <v>245</v>
      </c>
      <c r="F250" t="s">
        <v>185</v>
      </c>
      <c r="G250" t="s">
        <v>765</v>
      </c>
      <c r="H250" t="s">
        <v>766</v>
      </c>
      <c r="I250">
        <v>15</v>
      </c>
    </row>
    <row r="251" spans="1:9">
      <c r="A251" t="s">
        <v>694</v>
      </c>
      <c r="B251" t="s">
        <v>15</v>
      </c>
      <c r="C251">
        <v>334.5</v>
      </c>
      <c r="D251" t="s">
        <v>415</v>
      </c>
      <c r="E251">
        <v>179.5</v>
      </c>
      <c r="F251" t="s">
        <v>185</v>
      </c>
      <c r="G251" t="s">
        <v>767</v>
      </c>
      <c r="H251" t="s">
        <v>768</v>
      </c>
      <c r="I251">
        <v>155</v>
      </c>
    </row>
    <row r="252" spans="1:9">
      <c r="A252" t="s">
        <v>694</v>
      </c>
      <c r="B252" t="s">
        <v>4</v>
      </c>
      <c r="C252">
        <v>290.5</v>
      </c>
      <c r="D252" t="s">
        <v>445</v>
      </c>
      <c r="E252">
        <v>223.5</v>
      </c>
      <c r="F252" t="s">
        <v>185</v>
      </c>
      <c r="G252" t="s">
        <v>769</v>
      </c>
      <c r="H252" t="s">
        <v>770</v>
      </c>
      <c r="I252">
        <v>67</v>
      </c>
    </row>
    <row r="253" spans="1:9">
      <c r="A253" t="s">
        <v>694</v>
      </c>
      <c r="B253" t="s">
        <v>13</v>
      </c>
      <c r="C253">
        <v>255</v>
      </c>
      <c r="D253" t="s">
        <v>398</v>
      </c>
      <c r="E253">
        <v>255</v>
      </c>
      <c r="F253" t="s">
        <v>185</v>
      </c>
      <c r="G253" t="s">
        <v>771</v>
      </c>
      <c r="H253" t="s">
        <v>772</v>
      </c>
      <c r="I253">
        <v>0</v>
      </c>
    </row>
    <row r="254" spans="1:9">
      <c r="A254" t="s">
        <v>694</v>
      </c>
      <c r="B254" t="s">
        <v>35</v>
      </c>
      <c r="C254">
        <v>357</v>
      </c>
      <c r="D254" t="s">
        <v>225</v>
      </c>
      <c r="E254">
        <v>157</v>
      </c>
      <c r="F254" t="s">
        <v>185</v>
      </c>
      <c r="G254" t="s">
        <v>773</v>
      </c>
      <c r="H254" t="s">
        <v>774</v>
      </c>
      <c r="I254">
        <v>200</v>
      </c>
    </row>
    <row r="255" spans="1:9">
      <c r="A255" t="s">
        <v>694</v>
      </c>
      <c r="B255" t="s">
        <v>36</v>
      </c>
      <c r="C255">
        <v>268</v>
      </c>
      <c r="D255" t="s">
        <v>499</v>
      </c>
      <c r="E255">
        <v>248</v>
      </c>
      <c r="F255" t="s">
        <v>185</v>
      </c>
      <c r="G255" t="s">
        <v>775</v>
      </c>
      <c r="H255" t="s">
        <v>776</v>
      </c>
      <c r="I255">
        <v>20</v>
      </c>
    </row>
    <row r="256" spans="1:9">
      <c r="A256" t="s">
        <v>694</v>
      </c>
      <c r="B256" t="s">
        <v>1</v>
      </c>
      <c r="C256">
        <v>295</v>
      </c>
      <c r="D256" t="s">
        <v>502</v>
      </c>
      <c r="E256">
        <v>216</v>
      </c>
      <c r="F256" t="s">
        <v>185</v>
      </c>
      <c r="G256" t="s">
        <v>777</v>
      </c>
      <c r="H256" t="s">
        <v>778</v>
      </c>
      <c r="I256">
        <v>79</v>
      </c>
    </row>
    <row r="257" spans="1:9">
      <c r="A257" t="s">
        <v>694</v>
      </c>
      <c r="B257" t="s">
        <v>9</v>
      </c>
      <c r="C257">
        <v>268</v>
      </c>
      <c r="D257" t="s">
        <v>779</v>
      </c>
      <c r="E257">
        <v>227</v>
      </c>
      <c r="F257" t="s">
        <v>185</v>
      </c>
      <c r="G257" t="s">
        <v>780</v>
      </c>
      <c r="H257" t="s">
        <v>781</v>
      </c>
      <c r="I257">
        <v>41</v>
      </c>
    </row>
    <row r="258" spans="1:9">
      <c r="A258" t="s">
        <v>694</v>
      </c>
      <c r="B258" t="s">
        <v>118</v>
      </c>
      <c r="C258">
        <v>232</v>
      </c>
      <c r="D258" t="s">
        <v>291</v>
      </c>
      <c r="E258">
        <v>177</v>
      </c>
      <c r="F258" t="s">
        <v>185</v>
      </c>
      <c r="G258" t="s">
        <v>782</v>
      </c>
      <c r="H258" t="s">
        <v>783</v>
      </c>
      <c r="I258">
        <v>55</v>
      </c>
    </row>
  </sheetData>
  <autoFilter ref="H1:H258" xr:uid="{4F44F5B1-D88D-4CF7-B95E-A44F704CB96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6:T68"/>
  <sheetViews>
    <sheetView showGridLines="0" topLeftCell="B1" zoomScale="120" zoomScaleNormal="120" workbookViewId="0">
      <selection activeCell="I18" sqref="I18"/>
    </sheetView>
  </sheetViews>
  <sheetFormatPr defaultRowHeight="21" customHeight="1"/>
  <cols>
    <col min="1" max="2" width="9.140625" style="96"/>
    <col min="13" max="13" width="12.85546875" customWidth="1"/>
    <col min="14" max="14" width="12.7109375" customWidth="1"/>
  </cols>
  <sheetData>
    <row r="16" spans="3:3" ht="21" customHeight="1">
      <c r="C16" t="s">
        <v>163</v>
      </c>
    </row>
    <row r="17" spans="3:14" ht="21" customHeight="1">
      <c r="G17">
        <f>188+33</f>
        <v>221</v>
      </c>
      <c r="I17">
        <f>221-18</f>
        <v>203</v>
      </c>
    </row>
    <row r="18" spans="3:14" ht="21" customHeight="1">
      <c r="C18" t="s">
        <v>164</v>
      </c>
      <c r="M18" t="s">
        <v>26</v>
      </c>
    </row>
    <row r="19" spans="3:14" ht="21" customHeight="1">
      <c r="C19" t="s">
        <v>165</v>
      </c>
      <c r="M19" t="s">
        <v>2</v>
      </c>
    </row>
    <row r="20" spans="3:14" ht="21" customHeight="1">
      <c r="C20" t="s">
        <v>166</v>
      </c>
      <c r="M20" t="s">
        <v>36</v>
      </c>
    </row>
    <row r="21" spans="3:14" ht="21" customHeight="1">
      <c r="C21" t="s">
        <v>169</v>
      </c>
      <c r="M21" t="s">
        <v>167</v>
      </c>
      <c r="N21" t="s">
        <v>168</v>
      </c>
    </row>
    <row r="22" spans="3:14" ht="21" customHeight="1">
      <c r="M22" t="s">
        <v>168</v>
      </c>
      <c r="N22" t="s">
        <v>167</v>
      </c>
    </row>
    <row r="23" spans="3:14" ht="21" customHeight="1">
      <c r="M23" t="s">
        <v>14</v>
      </c>
    </row>
    <row r="55" spans="1:20" ht="10.5" customHeight="1">
      <c r="A55" s="174"/>
      <c r="B55" s="174"/>
      <c r="C55" s="173"/>
      <c r="D55" s="173"/>
      <c r="E55" s="173"/>
      <c r="F55" s="173"/>
      <c r="G55" s="173"/>
      <c r="H55" s="173"/>
      <c r="I55" s="173"/>
    </row>
    <row r="59" spans="1:20" ht="21" customHeight="1">
      <c r="A59" s="172" t="s">
        <v>141</v>
      </c>
      <c r="G59" s="172" t="s">
        <v>142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</row>
    <row r="65" spans="1:6" ht="21" customHeight="1">
      <c r="A65" s="172" t="s">
        <v>137</v>
      </c>
      <c r="C65" s="96"/>
    </row>
    <row r="66" spans="1:6" ht="21" customHeight="1">
      <c r="A66" s="172" t="s">
        <v>138</v>
      </c>
      <c r="C66" s="96"/>
    </row>
    <row r="67" spans="1:6" ht="21" customHeight="1">
      <c r="A67" s="172" t="s">
        <v>138</v>
      </c>
      <c r="C67" s="96"/>
      <c r="F67" s="172" t="s">
        <v>136</v>
      </c>
    </row>
    <row r="68" spans="1:6" ht="21" customHeight="1">
      <c r="A68" s="172" t="s">
        <v>139</v>
      </c>
      <c r="F68" s="172" t="s">
        <v>140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B2:V37"/>
  <sheetViews>
    <sheetView showGridLines="0" workbookViewId="0">
      <selection activeCell="A2" sqref="A2"/>
    </sheetView>
  </sheetViews>
  <sheetFormatPr defaultColWidth="9.140625" defaultRowHeight="12.75"/>
  <cols>
    <col min="1" max="1" width="5.42578125" style="114" customWidth="1"/>
    <col min="2" max="2" width="9.140625" style="114"/>
    <col min="3" max="3" width="18.85546875" style="115" customWidth="1"/>
    <col min="4" max="4" width="4.5703125" style="115" customWidth="1"/>
    <col min="5" max="5" width="9.140625" style="114"/>
    <col min="6" max="6" width="18.85546875" style="115" customWidth="1"/>
    <col min="7" max="7" width="4.5703125" style="115" customWidth="1"/>
    <col min="8" max="8" width="9.140625" style="114"/>
    <col min="9" max="9" width="18.85546875" style="115" customWidth="1"/>
    <col min="10" max="10" width="4.5703125" style="115" customWidth="1"/>
    <col min="11" max="11" width="9.140625" style="114"/>
    <col min="12" max="12" width="19.42578125" style="114" customWidth="1"/>
    <col min="13" max="13" width="4.5703125" style="114" customWidth="1"/>
    <col min="14" max="14" width="9.140625" style="114"/>
    <col min="15" max="15" width="17.42578125" style="114" customWidth="1"/>
    <col min="16" max="16" width="4.5703125" style="114" customWidth="1"/>
    <col min="17" max="17" width="9.140625" style="114"/>
    <col min="18" max="18" width="19.42578125" style="114" customWidth="1"/>
    <col min="19" max="19" width="4.5703125" style="114" customWidth="1"/>
    <col min="20" max="16384" width="9.140625" style="114"/>
  </cols>
  <sheetData>
    <row r="2" spans="2:22" ht="21">
      <c r="C2" s="166" t="s">
        <v>127</v>
      </c>
    </row>
    <row r="4" spans="2:22">
      <c r="B4" s="152" t="s">
        <v>123</v>
      </c>
      <c r="C4" s="151" t="s">
        <v>107</v>
      </c>
      <c r="D4" s="151"/>
      <c r="E4" s="150" t="s">
        <v>123</v>
      </c>
      <c r="F4" s="149" t="s">
        <v>107</v>
      </c>
      <c r="G4" s="149"/>
      <c r="H4" s="148" t="s">
        <v>123</v>
      </c>
      <c r="I4" s="147" t="s">
        <v>107</v>
      </c>
      <c r="J4" s="147"/>
      <c r="K4" s="146" t="s">
        <v>123</v>
      </c>
      <c r="L4" s="145" t="s">
        <v>107</v>
      </c>
      <c r="M4" s="145"/>
      <c r="N4" s="144" t="s">
        <v>123</v>
      </c>
      <c r="O4" s="143" t="s">
        <v>107</v>
      </c>
      <c r="P4" s="143"/>
      <c r="Q4" s="142" t="s">
        <v>123</v>
      </c>
      <c r="R4" s="141" t="s">
        <v>107</v>
      </c>
      <c r="S4" s="129"/>
      <c r="T4" s="128"/>
      <c r="U4" s="128"/>
      <c r="V4" s="128"/>
    </row>
    <row r="5" spans="2:22" ht="8.25" customHeight="1">
      <c r="B5" s="140"/>
      <c r="C5" s="139"/>
      <c r="D5" s="139"/>
      <c r="E5" s="138"/>
      <c r="F5" s="137"/>
      <c r="G5" s="137"/>
      <c r="H5" s="136"/>
      <c r="I5" s="135"/>
      <c r="J5" s="135"/>
      <c r="K5" s="134"/>
      <c r="L5" s="133"/>
      <c r="M5" s="133"/>
      <c r="N5" s="132"/>
      <c r="O5" s="131"/>
      <c r="P5" s="131"/>
      <c r="Q5" s="130"/>
      <c r="R5" s="129"/>
      <c r="S5" s="129"/>
      <c r="T5" s="128"/>
      <c r="U5" s="128"/>
      <c r="V5" s="128"/>
    </row>
    <row r="6" spans="2:22">
      <c r="B6" s="124"/>
      <c r="C6" s="123" t="s">
        <v>78</v>
      </c>
      <c r="D6" s="123"/>
      <c r="E6" s="122"/>
      <c r="F6" s="121" t="s">
        <v>19</v>
      </c>
      <c r="G6" s="121"/>
      <c r="H6" s="120"/>
      <c r="I6" s="119" t="s">
        <v>25</v>
      </c>
      <c r="J6" s="119"/>
      <c r="K6" s="118"/>
      <c r="L6" s="127" t="s">
        <v>19</v>
      </c>
      <c r="M6" s="127"/>
      <c r="N6" s="117"/>
      <c r="O6" s="126" t="s">
        <v>78</v>
      </c>
      <c r="P6" s="126"/>
      <c r="Q6" s="116"/>
      <c r="R6" s="125" t="s">
        <v>25</v>
      </c>
      <c r="S6" s="125"/>
    </row>
    <row r="7" spans="2:22">
      <c r="B7" s="124">
        <v>-53</v>
      </c>
      <c r="C7" s="123">
        <v>59</v>
      </c>
      <c r="D7" s="123"/>
      <c r="E7" s="122">
        <v>-85</v>
      </c>
      <c r="F7" s="121">
        <v>41</v>
      </c>
      <c r="G7" s="121"/>
      <c r="H7" s="120">
        <f>-233+167</f>
        <v>-66</v>
      </c>
      <c r="I7" s="119">
        <v>24</v>
      </c>
      <c r="J7" s="119"/>
      <c r="K7" s="118">
        <f>182-129</f>
        <v>53</v>
      </c>
      <c r="L7" s="127">
        <v>-59</v>
      </c>
      <c r="M7" s="127"/>
      <c r="N7" s="117">
        <f>233-167</f>
        <v>66</v>
      </c>
      <c r="O7" s="126">
        <v>-24</v>
      </c>
      <c r="P7" s="126"/>
      <c r="Q7" s="116">
        <v>85</v>
      </c>
      <c r="R7" s="125">
        <v>-41</v>
      </c>
      <c r="S7" s="125"/>
    </row>
    <row r="8" spans="2:22">
      <c r="B8" s="153">
        <v>66</v>
      </c>
      <c r="C8" s="123" t="s">
        <v>19</v>
      </c>
      <c r="D8" s="123">
        <v>-24</v>
      </c>
      <c r="E8" s="154">
        <v>53</v>
      </c>
      <c r="F8" s="121" t="s">
        <v>25</v>
      </c>
      <c r="G8" s="121">
        <v>-59</v>
      </c>
      <c r="H8" s="155">
        <v>85</v>
      </c>
      <c r="I8" s="119" t="s">
        <v>78</v>
      </c>
      <c r="J8" s="119">
        <v>-41</v>
      </c>
      <c r="K8" s="156">
        <v>-85</v>
      </c>
      <c r="L8" s="127" t="s">
        <v>78</v>
      </c>
      <c r="M8" s="127">
        <v>41</v>
      </c>
      <c r="N8" s="157">
        <v>-53</v>
      </c>
      <c r="O8" s="126" t="s">
        <v>25</v>
      </c>
      <c r="P8" s="126">
        <v>59</v>
      </c>
      <c r="Q8" s="158">
        <v>-66</v>
      </c>
      <c r="R8" s="125" t="s">
        <v>19</v>
      </c>
      <c r="S8" s="125">
        <v>24</v>
      </c>
    </row>
    <row r="9" spans="2:22">
      <c r="B9" s="124">
        <f>-238+153</f>
        <v>-85</v>
      </c>
      <c r="C9" s="123">
        <v>41</v>
      </c>
      <c r="D9" s="123"/>
      <c r="E9" s="122">
        <f>-233+167</f>
        <v>-66</v>
      </c>
      <c r="F9" s="121">
        <v>24</v>
      </c>
      <c r="G9" s="121"/>
      <c r="H9" s="120">
        <v>-53</v>
      </c>
      <c r="I9" s="119">
        <v>59</v>
      </c>
      <c r="J9" s="119"/>
      <c r="K9" s="118">
        <f>233-167</f>
        <v>66</v>
      </c>
      <c r="L9" s="127">
        <v>-24</v>
      </c>
      <c r="M9" s="127"/>
      <c r="N9" s="117">
        <f>238-153</f>
        <v>85</v>
      </c>
      <c r="O9" s="126">
        <v>-41</v>
      </c>
      <c r="P9" s="126"/>
      <c r="Q9" s="116">
        <v>53</v>
      </c>
      <c r="R9" s="125">
        <v>-59</v>
      </c>
      <c r="S9" s="125"/>
    </row>
    <row r="10" spans="2:22">
      <c r="B10" s="124"/>
      <c r="C10" s="123" t="s">
        <v>25</v>
      </c>
      <c r="D10" s="123"/>
      <c r="E10" s="122"/>
      <c r="F10" s="121" t="s">
        <v>78</v>
      </c>
      <c r="G10" s="121"/>
      <c r="H10" s="120"/>
      <c r="I10" s="119" t="s">
        <v>19</v>
      </c>
      <c r="J10" s="119"/>
      <c r="K10" s="118"/>
      <c r="L10" s="127" t="s">
        <v>25</v>
      </c>
      <c r="M10" s="127"/>
      <c r="N10" s="117"/>
      <c r="O10" s="126" t="s">
        <v>19</v>
      </c>
      <c r="P10" s="126"/>
      <c r="Q10" s="116"/>
      <c r="R10" s="125" t="s">
        <v>78</v>
      </c>
      <c r="S10" s="125"/>
    </row>
    <row r="11" spans="2:22">
      <c r="B11" s="124"/>
      <c r="C11" s="123"/>
      <c r="D11" s="123"/>
      <c r="E11" s="122"/>
      <c r="F11" s="121"/>
      <c r="G11" s="121"/>
      <c r="H11" s="120"/>
      <c r="I11" s="119"/>
      <c r="J11" s="119"/>
      <c r="K11" s="118"/>
      <c r="L11" s="118"/>
      <c r="M11" s="118"/>
      <c r="N11" s="117"/>
      <c r="O11" s="117"/>
      <c r="P11" s="117"/>
      <c r="Q11" s="116"/>
      <c r="R11" s="116"/>
      <c r="S11" s="116"/>
    </row>
    <row r="13" spans="2:22">
      <c r="C13" s="115">
        <f>C7+C9+B7+B9+B8+D8</f>
        <v>4</v>
      </c>
      <c r="F13" s="115">
        <f>F7+F9+E7+E9+E8+G8</f>
        <v>-92</v>
      </c>
      <c r="I13" s="115">
        <f>I7+I9+H7+H9+H8+J8</f>
        <v>8</v>
      </c>
      <c r="L13" s="115">
        <f>L7+L9+K7+K9+K8+M8</f>
        <v>-8</v>
      </c>
      <c r="M13" s="115"/>
      <c r="O13" s="159">
        <f>O7+O9+N7+N9+N8+P8</f>
        <v>92</v>
      </c>
      <c r="P13" s="115"/>
      <c r="R13" s="115">
        <f>R7+R9+Q7+Q9+Q8+S8</f>
        <v>-4</v>
      </c>
      <c r="S13" s="115"/>
    </row>
    <row r="28" spans="2:19">
      <c r="B28" s="152" t="s">
        <v>123</v>
      </c>
      <c r="C28" s="151" t="s">
        <v>107</v>
      </c>
      <c r="D28" s="151"/>
      <c r="E28" s="150" t="s">
        <v>123</v>
      </c>
      <c r="F28" s="149" t="s">
        <v>107</v>
      </c>
      <c r="G28" s="149"/>
      <c r="H28" s="148" t="s">
        <v>123</v>
      </c>
      <c r="I28" s="147" t="s">
        <v>107</v>
      </c>
      <c r="J28" s="147"/>
      <c r="K28" s="146" t="s">
        <v>123</v>
      </c>
      <c r="L28" s="145" t="s">
        <v>107</v>
      </c>
      <c r="M28" s="145"/>
      <c r="N28" s="144" t="s">
        <v>123</v>
      </c>
      <c r="O28" s="143" t="s">
        <v>107</v>
      </c>
      <c r="P28" s="143"/>
      <c r="Q28" s="142" t="s">
        <v>123</v>
      </c>
      <c r="R28" s="141" t="s">
        <v>107</v>
      </c>
      <c r="S28" s="129"/>
    </row>
    <row r="29" spans="2:19">
      <c r="B29" s="140"/>
      <c r="C29" s="139"/>
      <c r="D29" s="139"/>
      <c r="E29" s="138"/>
      <c r="F29" s="137"/>
      <c r="G29" s="137"/>
      <c r="H29" s="136"/>
      <c r="I29" s="135"/>
      <c r="J29" s="135"/>
      <c r="K29" s="134"/>
      <c r="L29" s="133"/>
      <c r="M29" s="133"/>
      <c r="N29" s="132"/>
      <c r="O29" s="131"/>
      <c r="P29" s="131"/>
      <c r="Q29" s="130"/>
      <c r="R29" s="129"/>
      <c r="S29" s="129"/>
    </row>
    <row r="30" spans="2:19">
      <c r="B30" s="124"/>
      <c r="C30" s="123" t="s">
        <v>30</v>
      </c>
      <c r="D30" s="123"/>
      <c r="E30" s="122"/>
      <c r="F30" s="121" t="s">
        <v>30</v>
      </c>
      <c r="G30" s="121"/>
      <c r="H30" s="120"/>
      <c r="I30" s="119" t="s">
        <v>27</v>
      </c>
      <c r="J30" s="119"/>
      <c r="K30" s="118"/>
      <c r="L30" s="127" t="s">
        <v>27</v>
      </c>
      <c r="M30" s="127"/>
      <c r="N30" s="117"/>
      <c r="O30" s="126" t="s">
        <v>28</v>
      </c>
      <c r="P30" s="126"/>
      <c r="Q30" s="116"/>
      <c r="R30" s="125" t="s">
        <v>28</v>
      </c>
      <c r="S30" s="125"/>
    </row>
    <row r="31" spans="2:19">
      <c r="B31" s="124">
        <f>-47-115</f>
        <v>-162</v>
      </c>
      <c r="C31" s="123">
        <v>23</v>
      </c>
      <c r="D31" s="123"/>
      <c r="E31" s="122">
        <v>313</v>
      </c>
      <c r="F31" s="121">
        <v>-3</v>
      </c>
      <c r="G31" s="121"/>
      <c r="H31" s="120">
        <v>4</v>
      </c>
      <c r="I31" s="119">
        <v>72</v>
      </c>
      <c r="J31" s="119"/>
      <c r="K31" s="118">
        <v>162</v>
      </c>
      <c r="L31" s="127">
        <v>-23</v>
      </c>
      <c r="M31" s="127"/>
      <c r="N31" s="117">
        <v>-4</v>
      </c>
      <c r="O31" s="126">
        <v>-72</v>
      </c>
      <c r="P31" s="126"/>
      <c r="Q31" s="116">
        <v>-313</v>
      </c>
      <c r="R31" s="125">
        <v>3</v>
      </c>
      <c r="S31" s="125"/>
    </row>
    <row r="32" spans="2:19">
      <c r="B32" s="153">
        <f>262+51</f>
        <v>313</v>
      </c>
      <c r="C32" s="123" t="s">
        <v>27</v>
      </c>
      <c r="D32" s="123">
        <v>-3</v>
      </c>
      <c r="E32" s="154">
        <v>-162</v>
      </c>
      <c r="F32" s="121" t="s">
        <v>28</v>
      </c>
      <c r="G32" s="121">
        <v>23</v>
      </c>
      <c r="H32" s="155">
        <v>162</v>
      </c>
      <c r="I32" s="119" t="s">
        <v>28</v>
      </c>
      <c r="J32" s="119">
        <v>-23</v>
      </c>
      <c r="K32" s="156">
        <v>4</v>
      </c>
      <c r="L32" s="127" t="s">
        <v>30</v>
      </c>
      <c r="M32" s="127">
        <v>72</v>
      </c>
      <c r="N32" s="157">
        <v>-313</v>
      </c>
      <c r="O32" s="126" t="s">
        <v>27</v>
      </c>
      <c r="P32" s="126">
        <v>3</v>
      </c>
      <c r="Q32" s="158">
        <v>-4</v>
      </c>
      <c r="R32" s="125" t="s">
        <v>30</v>
      </c>
      <c r="S32" s="125">
        <v>-72</v>
      </c>
    </row>
    <row r="33" spans="2:19">
      <c r="B33" s="124">
        <f>87-83</f>
        <v>4</v>
      </c>
      <c r="C33" s="123">
        <v>72</v>
      </c>
      <c r="D33" s="123"/>
      <c r="E33" s="122">
        <v>-4</v>
      </c>
      <c r="F33" s="121">
        <v>-72</v>
      </c>
      <c r="G33" s="121"/>
      <c r="H33" s="120">
        <v>-313</v>
      </c>
      <c r="I33" s="119">
        <v>3</v>
      </c>
      <c r="J33" s="119"/>
      <c r="K33" s="118">
        <v>313</v>
      </c>
      <c r="L33" s="127">
        <v>-3</v>
      </c>
      <c r="M33" s="127"/>
      <c r="N33" s="117">
        <v>162</v>
      </c>
      <c r="O33" s="126">
        <v>-23</v>
      </c>
      <c r="P33" s="126"/>
      <c r="Q33" s="116">
        <v>-162</v>
      </c>
      <c r="R33" s="125">
        <v>23</v>
      </c>
      <c r="S33" s="125"/>
    </row>
    <row r="34" spans="2:19">
      <c r="B34" s="124"/>
      <c r="C34" s="123" t="s">
        <v>28</v>
      </c>
      <c r="D34" s="123"/>
      <c r="E34" s="122"/>
      <c r="F34" s="121" t="s">
        <v>27</v>
      </c>
      <c r="G34" s="121"/>
      <c r="H34" s="120"/>
      <c r="I34" s="119" t="s">
        <v>30</v>
      </c>
      <c r="J34" s="119"/>
      <c r="K34" s="118"/>
      <c r="L34" s="127" t="s">
        <v>28</v>
      </c>
      <c r="M34" s="127"/>
      <c r="N34" s="117"/>
      <c r="O34" s="126" t="s">
        <v>30</v>
      </c>
      <c r="P34" s="126"/>
      <c r="Q34" s="116"/>
      <c r="R34" s="125" t="s">
        <v>27</v>
      </c>
      <c r="S34" s="125"/>
    </row>
    <row r="35" spans="2:19">
      <c r="B35" s="124"/>
      <c r="C35" s="123"/>
      <c r="D35" s="123"/>
      <c r="E35" s="122"/>
      <c r="F35" s="121"/>
      <c r="G35" s="121"/>
      <c r="H35" s="120"/>
      <c r="I35" s="119"/>
      <c r="J35" s="119"/>
      <c r="K35" s="118"/>
      <c r="L35" s="118"/>
      <c r="M35" s="118"/>
      <c r="N35" s="117"/>
      <c r="O35" s="117"/>
      <c r="P35" s="117"/>
      <c r="Q35" s="116"/>
      <c r="R35" s="116"/>
      <c r="S35" s="116"/>
    </row>
    <row r="37" spans="2:19">
      <c r="C37" s="115">
        <f>C31+C33+B31+B33+B32+D32</f>
        <v>247</v>
      </c>
      <c r="F37" s="115">
        <f>F31+F33+E31+E33+E32+G32</f>
        <v>95</v>
      </c>
      <c r="I37" s="115">
        <f>I31+I33+H31+H33+H32+J32</f>
        <v>-95</v>
      </c>
      <c r="L37" s="159">
        <f>L31+L33+K31+K33+K32+M32</f>
        <v>525</v>
      </c>
      <c r="O37" s="115">
        <f>O31+O33+N31+N33+N32+P32</f>
        <v>-247</v>
      </c>
      <c r="P37" s="115"/>
      <c r="R37" s="115">
        <f>R31+R33+Q31+Q33+Q32+S32</f>
        <v>-525</v>
      </c>
      <c r="S37" s="1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tabColor theme="6" tint="0.39997558519241921"/>
    <pageSetUpPr autoPageBreaks="0" fitToPage="1"/>
  </sheetPr>
  <dimension ref="A1:M59"/>
  <sheetViews>
    <sheetView workbookViewId="0">
      <pane ySplit="3" topLeftCell="A4" activePane="bottomLeft" state="frozen"/>
      <selection activeCell="N48" sqref="N48"/>
      <selection pane="bottomLeft" activeCell="L6" sqref="L6"/>
    </sheetView>
  </sheetViews>
  <sheetFormatPr defaultRowHeight="15"/>
  <cols>
    <col min="1" max="1" width="4.7109375" customWidth="1"/>
    <col min="2" max="2" width="27.7109375" customWidth="1"/>
    <col min="3" max="3" width="9.42578125" bestFit="1" customWidth="1"/>
    <col min="4" max="4" width="5.28515625" bestFit="1" customWidth="1"/>
    <col min="5" max="5" width="8.28515625" customWidth="1"/>
    <col min="6" max="6" width="9.42578125" bestFit="1" customWidth="1"/>
    <col min="7" max="7" width="7.28515625" customWidth="1"/>
    <col min="8" max="8" width="7.5703125" bestFit="1" customWidth="1"/>
    <col min="9" max="10" width="10.85546875" customWidth="1"/>
  </cols>
  <sheetData>
    <row r="1" spans="1:13" ht="21">
      <c r="B1" s="36" t="s">
        <v>80</v>
      </c>
      <c r="C1" s="39" t="s">
        <v>76</v>
      </c>
      <c r="D1" s="39"/>
      <c r="E1" s="39"/>
      <c r="F1" s="39" t="s">
        <v>76</v>
      </c>
      <c r="G1" s="39"/>
      <c r="H1" s="39"/>
      <c r="I1" s="39">
        <v>2019</v>
      </c>
      <c r="J1" s="39">
        <v>2019</v>
      </c>
      <c r="L1" s="175"/>
      <c r="M1" s="58"/>
    </row>
    <row r="2" spans="1:13">
      <c r="C2" s="39">
        <v>2020</v>
      </c>
      <c r="D2" s="39">
        <v>2019</v>
      </c>
      <c r="E2" s="39" t="s">
        <v>43</v>
      </c>
      <c r="F2" s="39">
        <v>2020</v>
      </c>
      <c r="G2" s="39">
        <v>2019</v>
      </c>
      <c r="H2" s="39" t="s">
        <v>69</v>
      </c>
      <c r="I2" s="39" t="s">
        <v>69</v>
      </c>
      <c r="J2" s="39" t="s">
        <v>75</v>
      </c>
    </row>
    <row r="3" spans="1:13" ht="15.75" thickBot="1">
      <c r="C3" s="39" t="s">
        <v>43</v>
      </c>
      <c r="D3" s="39" t="s">
        <v>43</v>
      </c>
      <c r="E3" s="39" t="s">
        <v>77</v>
      </c>
      <c r="F3" s="39" t="s">
        <v>69</v>
      </c>
      <c r="G3" s="39" t="s">
        <v>69</v>
      </c>
      <c r="H3" s="39" t="s">
        <v>77</v>
      </c>
      <c r="I3" s="39" t="s">
        <v>74</v>
      </c>
      <c r="J3" s="39" t="s">
        <v>74</v>
      </c>
      <c r="L3" s="39" t="s">
        <v>797</v>
      </c>
    </row>
    <row r="4" spans="1:13">
      <c r="A4">
        <f>C4</f>
        <v>1</v>
      </c>
      <c r="B4" t="e">
        <f>VLOOKUP(A4,South!A:M,3,FALSE)</f>
        <v>#N/A</v>
      </c>
      <c r="C4" s="42">
        <v>1</v>
      </c>
      <c r="D4" s="43" t="e">
        <f>VLOOKUP(A4,South!A:B,2,FALSE)</f>
        <v>#N/A</v>
      </c>
      <c r="E4" s="43" t="e">
        <f t="shared" ref="E4:E35" si="0">IF(D4=C4,"Same",IF(D4&gt;C4,CONCATENATE("Up ",D4-C4),CONCATENATE("Down ",C4-D4)))</f>
        <v>#N/A</v>
      </c>
      <c r="F4" s="43">
        <f t="shared" ref="F4:G43" si="1">ROUND(C4/4+0.49,0)</f>
        <v>1</v>
      </c>
      <c r="G4" s="43">
        <v>1</v>
      </c>
      <c r="H4" s="43" t="str">
        <f t="shared" ref="H4:H35" si="2">IF(G4=F4,"Same",IF(G4&gt;F4,CONCATENATE("Up ",G4-F4),CONCATENATE("Down ",F4-G4)))</f>
        <v>Same</v>
      </c>
      <c r="I4" s="43" t="e">
        <f>VLOOKUP(B4,'South Standings'!$A$2:$C$38,2,FALSE)</f>
        <v>#N/A</v>
      </c>
      <c r="J4" s="46" t="e">
        <f>VLOOKUP(B4,'South Standings'!$A$2:$C$38,3,FALSE)</f>
        <v>#N/A</v>
      </c>
      <c r="L4" t="e">
        <f>+D4-C4</f>
        <v>#N/A</v>
      </c>
    </row>
    <row r="5" spans="1:13">
      <c r="A5">
        <f t="shared" ref="A5:A52" si="3">C5</f>
        <v>2</v>
      </c>
      <c r="B5" t="e">
        <f>VLOOKUP(A5,South!A:M,3,FALSE)</f>
        <v>#N/A</v>
      </c>
      <c r="C5" s="41">
        <v>2</v>
      </c>
      <c r="D5" s="47" t="e">
        <f>VLOOKUP(A5,South!A:B,2,FALSE)</f>
        <v>#N/A</v>
      </c>
      <c r="E5" s="47" t="e">
        <f t="shared" si="0"/>
        <v>#N/A</v>
      </c>
      <c r="F5" s="47">
        <f t="shared" si="1"/>
        <v>1</v>
      </c>
      <c r="G5" s="47" t="e">
        <f t="shared" si="1"/>
        <v>#N/A</v>
      </c>
      <c r="H5" s="47" t="e">
        <f t="shared" si="2"/>
        <v>#N/A</v>
      </c>
      <c r="I5" s="47" t="e">
        <f>VLOOKUP(B5,'South Standings'!$A$2:$C$38,2,FALSE)</f>
        <v>#N/A</v>
      </c>
      <c r="J5" s="48" t="e">
        <f>VLOOKUP(B5,'South Standings'!$A$2:$C$38,3,FALSE)</f>
        <v>#N/A</v>
      </c>
      <c r="L5" t="e">
        <f t="shared" ref="L5:L52" si="4">+D5-C5</f>
        <v>#N/A</v>
      </c>
    </row>
    <row r="6" spans="1:13">
      <c r="A6">
        <f t="shared" si="3"/>
        <v>3</v>
      </c>
      <c r="B6" t="e">
        <f>VLOOKUP(A6,South!A:M,3,FALSE)</f>
        <v>#N/A</v>
      </c>
      <c r="C6" s="41">
        <v>3</v>
      </c>
      <c r="D6" s="47" t="e">
        <f>VLOOKUP(A6,South!A:B,2,FALSE)</f>
        <v>#N/A</v>
      </c>
      <c r="E6" s="47" t="e">
        <f t="shared" si="0"/>
        <v>#N/A</v>
      </c>
      <c r="F6" s="47">
        <f t="shared" si="1"/>
        <v>1</v>
      </c>
      <c r="G6" s="47" t="e">
        <f t="shared" si="1"/>
        <v>#N/A</v>
      </c>
      <c r="H6" s="47" t="e">
        <f t="shared" si="2"/>
        <v>#N/A</v>
      </c>
      <c r="I6" s="47" t="e">
        <f>VLOOKUP(B6,'South Standings'!$A$2:$C$38,2,FALSE)</f>
        <v>#N/A</v>
      </c>
      <c r="J6" s="48" t="e">
        <f>VLOOKUP(B6,'South Standings'!$A$2:$C$38,3,FALSE)</f>
        <v>#N/A</v>
      </c>
      <c r="L6" t="e">
        <f t="shared" si="4"/>
        <v>#N/A</v>
      </c>
    </row>
    <row r="7" spans="1:13" ht="15.75" thickBot="1">
      <c r="A7">
        <f t="shared" si="3"/>
        <v>4</v>
      </c>
      <c r="B7" t="e">
        <f>VLOOKUP(A7,South!A:M,3,FALSE)</f>
        <v>#N/A</v>
      </c>
      <c r="C7" s="41">
        <v>4</v>
      </c>
      <c r="D7" s="47" t="e">
        <f>VLOOKUP(A7,South!A:B,2,FALSE)</f>
        <v>#N/A</v>
      </c>
      <c r="E7" s="47" t="e">
        <f t="shared" si="0"/>
        <v>#N/A</v>
      </c>
      <c r="F7" s="47">
        <f t="shared" si="1"/>
        <v>1</v>
      </c>
      <c r="G7" s="47" t="e">
        <f t="shared" si="1"/>
        <v>#N/A</v>
      </c>
      <c r="H7" s="47" t="e">
        <f t="shared" si="2"/>
        <v>#N/A</v>
      </c>
      <c r="I7" s="47" t="e">
        <f>VLOOKUP(B7,'South Standings'!$A$2:$C$38,2,FALSE)</f>
        <v>#N/A</v>
      </c>
      <c r="J7" s="48" t="e">
        <f>VLOOKUP(B7,'South Standings'!$A$2:$C$38,3,FALSE)</f>
        <v>#N/A</v>
      </c>
      <c r="L7" t="e">
        <f t="shared" si="4"/>
        <v>#N/A</v>
      </c>
    </row>
    <row r="8" spans="1:13">
      <c r="A8">
        <f t="shared" si="3"/>
        <v>5</v>
      </c>
      <c r="B8" t="e">
        <f>VLOOKUP(A8,South!A:M,3,FALSE)</f>
        <v>#N/A</v>
      </c>
      <c r="C8" s="42">
        <v>5</v>
      </c>
      <c r="D8" s="43" t="e">
        <f>VLOOKUP(A8,South!A:B,2,FALSE)</f>
        <v>#N/A</v>
      </c>
      <c r="E8" s="43" t="e">
        <f t="shared" si="0"/>
        <v>#N/A</v>
      </c>
      <c r="F8" s="43">
        <f t="shared" si="1"/>
        <v>2</v>
      </c>
      <c r="G8" s="43" t="e">
        <f t="shared" si="1"/>
        <v>#N/A</v>
      </c>
      <c r="H8" s="43" t="e">
        <f t="shared" si="2"/>
        <v>#N/A</v>
      </c>
      <c r="I8" s="43" t="e">
        <f>VLOOKUP(B8,'South Standings'!$A$2:$C$38,2,FALSE)</f>
        <v>#N/A</v>
      </c>
      <c r="J8" s="46" t="e">
        <f>VLOOKUP(B8,'South Standings'!$A$2:$C$38,3,FALSE)</f>
        <v>#N/A</v>
      </c>
      <c r="L8" t="e">
        <f t="shared" si="4"/>
        <v>#N/A</v>
      </c>
    </row>
    <row r="9" spans="1:13">
      <c r="A9">
        <f t="shared" si="3"/>
        <v>6</v>
      </c>
      <c r="B9" t="e">
        <f>VLOOKUP(A9,South!A:M,3,FALSE)</f>
        <v>#N/A</v>
      </c>
      <c r="C9" s="41">
        <v>6</v>
      </c>
      <c r="D9" s="47" t="e">
        <f>VLOOKUP(A9,South!A:B,2,FALSE)</f>
        <v>#N/A</v>
      </c>
      <c r="E9" s="47" t="e">
        <f t="shared" si="0"/>
        <v>#N/A</v>
      </c>
      <c r="F9" s="47">
        <f t="shared" si="1"/>
        <v>2</v>
      </c>
      <c r="G9" s="47" t="e">
        <f t="shared" si="1"/>
        <v>#N/A</v>
      </c>
      <c r="H9" s="47" t="e">
        <f t="shared" si="2"/>
        <v>#N/A</v>
      </c>
      <c r="I9" s="47" t="e">
        <f>VLOOKUP(B9,'South Standings'!$A$2:$C$38,2,FALSE)</f>
        <v>#N/A</v>
      </c>
      <c r="J9" s="48" t="e">
        <f>VLOOKUP(B9,'South Standings'!$A$2:$C$38,3,FALSE)</f>
        <v>#N/A</v>
      </c>
      <c r="L9" t="e">
        <f t="shared" si="4"/>
        <v>#N/A</v>
      </c>
    </row>
    <row r="10" spans="1:13">
      <c r="A10">
        <f t="shared" si="3"/>
        <v>7</v>
      </c>
      <c r="B10" t="e">
        <f>VLOOKUP(A10,South!A:M,3,FALSE)</f>
        <v>#N/A</v>
      </c>
      <c r="C10" s="41">
        <v>7</v>
      </c>
      <c r="D10" s="47" t="e">
        <f>VLOOKUP(A10,South!A:B,2,FALSE)</f>
        <v>#N/A</v>
      </c>
      <c r="E10" s="47" t="e">
        <f t="shared" si="0"/>
        <v>#N/A</v>
      </c>
      <c r="F10" s="47">
        <f t="shared" si="1"/>
        <v>2</v>
      </c>
      <c r="G10" s="47" t="e">
        <f t="shared" si="1"/>
        <v>#N/A</v>
      </c>
      <c r="H10" s="47" t="e">
        <f t="shared" si="2"/>
        <v>#N/A</v>
      </c>
      <c r="I10" s="47" t="e">
        <f>VLOOKUP(B10,'South Standings'!$A$2:$C$38,2,FALSE)</f>
        <v>#N/A</v>
      </c>
      <c r="J10" s="48" t="e">
        <f>VLOOKUP(B10,'South Standings'!$A$2:$C$38,3,FALSE)</f>
        <v>#N/A</v>
      </c>
      <c r="L10" t="e">
        <f t="shared" si="4"/>
        <v>#N/A</v>
      </c>
    </row>
    <row r="11" spans="1:13" ht="15.75" thickBot="1">
      <c r="A11">
        <f t="shared" si="3"/>
        <v>8</v>
      </c>
      <c r="B11" t="e">
        <f>VLOOKUP(A11,South!A:M,3,FALSE)</f>
        <v>#N/A</v>
      </c>
      <c r="C11" s="49">
        <v>8</v>
      </c>
      <c r="D11" s="47" t="e">
        <f>VLOOKUP(A11,South!A:B,2,FALSE)</f>
        <v>#N/A</v>
      </c>
      <c r="E11" s="50" t="e">
        <f t="shared" si="0"/>
        <v>#N/A</v>
      </c>
      <c r="F11" s="50">
        <f t="shared" si="1"/>
        <v>2</v>
      </c>
      <c r="G11" s="50" t="e">
        <f t="shared" si="1"/>
        <v>#N/A</v>
      </c>
      <c r="H11" s="50" t="e">
        <f t="shared" si="2"/>
        <v>#N/A</v>
      </c>
      <c r="I11" s="50" t="e">
        <f>VLOOKUP(B11,'South Standings'!$A$2:$C$38,2,FALSE)</f>
        <v>#N/A</v>
      </c>
      <c r="J11" s="53" t="e">
        <f>VLOOKUP(B11,'South Standings'!$A$2:$C$38,3,FALSE)</f>
        <v>#N/A</v>
      </c>
      <c r="L11" t="e">
        <f t="shared" si="4"/>
        <v>#N/A</v>
      </c>
    </row>
    <row r="12" spans="1:13">
      <c r="A12">
        <f t="shared" si="3"/>
        <v>9</v>
      </c>
      <c r="B12" t="e">
        <f>VLOOKUP(A12,South!A:M,3,FALSE)</f>
        <v>#N/A</v>
      </c>
      <c r="C12" s="41">
        <v>9</v>
      </c>
      <c r="D12" s="43" t="e">
        <f>VLOOKUP(A12,South!A:B,2,FALSE)</f>
        <v>#N/A</v>
      </c>
      <c r="E12" s="47" t="e">
        <f t="shared" si="0"/>
        <v>#N/A</v>
      </c>
      <c r="F12" s="47">
        <f t="shared" si="1"/>
        <v>3</v>
      </c>
      <c r="G12" s="47" t="e">
        <f t="shared" si="1"/>
        <v>#N/A</v>
      </c>
      <c r="H12" s="47" t="e">
        <f t="shared" si="2"/>
        <v>#N/A</v>
      </c>
      <c r="I12" s="47" t="e">
        <f>VLOOKUP(B12,'South Standings'!$A$2:$C$38,2,FALSE)</f>
        <v>#N/A</v>
      </c>
      <c r="J12" s="48" t="e">
        <f>VLOOKUP(B12,'South Standings'!$A$2:$C$38,3,FALSE)</f>
        <v>#N/A</v>
      </c>
      <c r="L12" t="e">
        <f t="shared" si="4"/>
        <v>#N/A</v>
      </c>
    </row>
    <row r="13" spans="1:13">
      <c r="A13">
        <f t="shared" si="3"/>
        <v>10</v>
      </c>
      <c r="B13" t="e">
        <f>VLOOKUP(A13,South!A:M,3,FALSE)</f>
        <v>#N/A</v>
      </c>
      <c r="C13" s="41">
        <v>10</v>
      </c>
      <c r="D13" s="47" t="e">
        <f>VLOOKUP(A13,South!A:B,2,FALSE)</f>
        <v>#N/A</v>
      </c>
      <c r="E13" s="47" t="e">
        <f t="shared" si="0"/>
        <v>#N/A</v>
      </c>
      <c r="F13" s="47">
        <f t="shared" si="1"/>
        <v>3</v>
      </c>
      <c r="G13" s="47" t="e">
        <f t="shared" si="1"/>
        <v>#N/A</v>
      </c>
      <c r="H13" s="47" t="e">
        <f t="shared" si="2"/>
        <v>#N/A</v>
      </c>
      <c r="I13" s="47" t="e">
        <f>VLOOKUP(B13,'South Standings'!$A$2:$C$38,2,FALSE)</f>
        <v>#N/A</v>
      </c>
      <c r="J13" s="48" t="e">
        <f>VLOOKUP(B13,'South Standings'!$A$2:$C$38,3,FALSE)</f>
        <v>#N/A</v>
      </c>
      <c r="L13" t="e">
        <f t="shared" si="4"/>
        <v>#N/A</v>
      </c>
    </row>
    <row r="14" spans="1:13">
      <c r="A14">
        <f t="shared" si="3"/>
        <v>11</v>
      </c>
      <c r="B14" t="e">
        <f>VLOOKUP(A14,South!A:M,3,FALSE)</f>
        <v>#N/A</v>
      </c>
      <c r="C14" s="41">
        <v>11</v>
      </c>
      <c r="D14" s="47" t="e">
        <f>VLOOKUP(A14,South!A:B,2,FALSE)</f>
        <v>#N/A</v>
      </c>
      <c r="E14" s="47" t="e">
        <f t="shared" si="0"/>
        <v>#N/A</v>
      </c>
      <c r="F14" s="47">
        <f t="shared" si="1"/>
        <v>3</v>
      </c>
      <c r="G14" s="47" t="e">
        <f t="shared" si="1"/>
        <v>#N/A</v>
      </c>
      <c r="H14" s="47" t="e">
        <f t="shared" si="2"/>
        <v>#N/A</v>
      </c>
      <c r="I14" s="47" t="e">
        <f>VLOOKUP(B14,'South Standings'!$A$2:$C$38,2,FALSE)</f>
        <v>#N/A</v>
      </c>
      <c r="J14" s="48" t="e">
        <f>VLOOKUP(B14,'South Standings'!$A$2:$C$38,3,FALSE)</f>
        <v>#N/A</v>
      </c>
      <c r="L14" t="e">
        <f t="shared" si="4"/>
        <v>#N/A</v>
      </c>
    </row>
    <row r="15" spans="1:13" ht="15.75" thickBot="1">
      <c r="A15">
        <f t="shared" si="3"/>
        <v>12</v>
      </c>
      <c r="B15" t="e">
        <f>VLOOKUP(A15,South!A:M,3,FALSE)</f>
        <v>#N/A</v>
      </c>
      <c r="C15" s="41">
        <v>12</v>
      </c>
      <c r="D15" s="47" t="e">
        <f>VLOOKUP(A15,South!A:B,2,FALSE)</f>
        <v>#N/A</v>
      </c>
      <c r="E15" s="47" t="e">
        <f t="shared" si="0"/>
        <v>#N/A</v>
      </c>
      <c r="F15" s="47">
        <f t="shared" si="1"/>
        <v>3</v>
      </c>
      <c r="G15" s="47" t="e">
        <f t="shared" si="1"/>
        <v>#N/A</v>
      </c>
      <c r="H15" s="47" t="e">
        <f t="shared" si="2"/>
        <v>#N/A</v>
      </c>
      <c r="I15" s="47" t="e">
        <f>VLOOKUP(B15,'South Standings'!$A$2:$C$38,2,FALSE)</f>
        <v>#N/A</v>
      </c>
      <c r="J15" s="48" t="e">
        <f>VLOOKUP(B15,'South Standings'!$A$2:$C$38,3,FALSE)</f>
        <v>#N/A</v>
      </c>
      <c r="L15" t="e">
        <f t="shared" si="4"/>
        <v>#N/A</v>
      </c>
    </row>
    <row r="16" spans="1:13">
      <c r="A16">
        <f t="shared" si="3"/>
        <v>13</v>
      </c>
      <c r="B16" t="e">
        <f>VLOOKUP(A16,South!A:M,3,FALSE)</f>
        <v>#N/A</v>
      </c>
      <c r="C16" s="42">
        <v>13</v>
      </c>
      <c r="D16" s="43" t="e">
        <f>VLOOKUP(A16,South!A:B,2,FALSE)</f>
        <v>#N/A</v>
      </c>
      <c r="E16" s="43" t="e">
        <f t="shared" si="0"/>
        <v>#N/A</v>
      </c>
      <c r="F16" s="43">
        <f t="shared" si="1"/>
        <v>4</v>
      </c>
      <c r="G16" s="43" t="e">
        <f t="shared" si="1"/>
        <v>#N/A</v>
      </c>
      <c r="H16" s="43" t="e">
        <f t="shared" si="2"/>
        <v>#N/A</v>
      </c>
      <c r="I16" s="43" t="e">
        <f>VLOOKUP(B16,'South Standings'!$A$2:$C$38,2,FALSE)</f>
        <v>#N/A</v>
      </c>
      <c r="J16" s="46" t="e">
        <f>VLOOKUP(B16,'South Standings'!$A$2:$C$38,3,FALSE)</f>
        <v>#N/A</v>
      </c>
      <c r="L16" t="e">
        <f t="shared" si="4"/>
        <v>#N/A</v>
      </c>
    </row>
    <row r="17" spans="1:12">
      <c r="A17">
        <f t="shared" si="3"/>
        <v>14</v>
      </c>
      <c r="B17" s="176" t="e">
        <f>VLOOKUP(A17,South!A:M,3,FALSE)</f>
        <v>#N/A</v>
      </c>
      <c r="C17" s="181">
        <v>14</v>
      </c>
      <c r="D17" s="47" t="e">
        <f>VLOOKUP(A17,South!A:B,2,FALSE)</f>
        <v>#N/A</v>
      </c>
      <c r="E17" s="47" t="e">
        <f t="shared" si="0"/>
        <v>#N/A</v>
      </c>
      <c r="F17" s="47">
        <f t="shared" si="1"/>
        <v>4</v>
      </c>
      <c r="G17" s="47" t="e">
        <f t="shared" si="1"/>
        <v>#N/A</v>
      </c>
      <c r="H17" s="47" t="e">
        <f t="shared" si="2"/>
        <v>#N/A</v>
      </c>
      <c r="I17" s="47" t="e">
        <f>VLOOKUP(B17,'South Standings'!$A$2:$C$38,2,FALSE)</f>
        <v>#N/A</v>
      </c>
      <c r="J17" s="48" t="e">
        <f>VLOOKUP(B17,'South Standings'!$A$2:$C$38,3,FALSE)</f>
        <v>#N/A</v>
      </c>
      <c r="L17" t="e">
        <f t="shared" si="4"/>
        <v>#N/A</v>
      </c>
    </row>
    <row r="18" spans="1:12">
      <c r="A18">
        <f t="shared" si="3"/>
        <v>15</v>
      </c>
      <c r="B18" s="176" t="e">
        <f>VLOOKUP(A18,South!A:M,3,FALSE)</f>
        <v>#N/A</v>
      </c>
      <c r="C18" s="181">
        <v>15</v>
      </c>
      <c r="D18" s="47" t="e">
        <f>VLOOKUP(A18,South!A:B,2,FALSE)</f>
        <v>#N/A</v>
      </c>
      <c r="E18" s="47" t="e">
        <f t="shared" si="0"/>
        <v>#N/A</v>
      </c>
      <c r="F18" s="47">
        <f t="shared" si="1"/>
        <v>4</v>
      </c>
      <c r="G18" s="47" t="e">
        <f t="shared" si="1"/>
        <v>#N/A</v>
      </c>
      <c r="H18" s="47" t="e">
        <f t="shared" si="2"/>
        <v>#N/A</v>
      </c>
      <c r="I18" s="47" t="e">
        <f>VLOOKUP(B18,'South Standings'!$A$2:$C$38,2,FALSE)</f>
        <v>#N/A</v>
      </c>
      <c r="J18" s="48" t="e">
        <f>VLOOKUP(B18,'South Standings'!$A$2:$C$38,3,FALSE)</f>
        <v>#N/A</v>
      </c>
      <c r="L18" t="e">
        <f t="shared" si="4"/>
        <v>#N/A</v>
      </c>
    </row>
    <row r="19" spans="1:12" ht="15.75" thickBot="1">
      <c r="A19">
        <f t="shared" si="3"/>
        <v>16</v>
      </c>
      <c r="B19" s="176" t="e">
        <f>VLOOKUP(A19,South!A:M,3,FALSE)</f>
        <v>#N/A</v>
      </c>
      <c r="C19" s="182">
        <v>16</v>
      </c>
      <c r="D19" s="47" t="e">
        <f>VLOOKUP(A19,South!A:B,2,FALSE)</f>
        <v>#N/A</v>
      </c>
      <c r="E19" s="50" t="e">
        <f t="shared" si="0"/>
        <v>#N/A</v>
      </c>
      <c r="F19" s="50">
        <f t="shared" si="1"/>
        <v>4</v>
      </c>
      <c r="G19" s="50" t="e">
        <f t="shared" si="1"/>
        <v>#N/A</v>
      </c>
      <c r="H19" s="50" t="e">
        <f t="shared" si="2"/>
        <v>#N/A</v>
      </c>
      <c r="I19" s="50" t="e">
        <f>VLOOKUP(B19,'South Standings'!$A$2:$C$38,2,FALSE)</f>
        <v>#N/A</v>
      </c>
      <c r="J19" s="53" t="e">
        <f>VLOOKUP(B19,'South Standings'!$A$2:$C$38,3,FALSE)</f>
        <v>#N/A</v>
      </c>
      <c r="L19" t="e">
        <f t="shared" si="4"/>
        <v>#N/A</v>
      </c>
    </row>
    <row r="20" spans="1:12">
      <c r="A20">
        <f t="shared" si="3"/>
        <v>17</v>
      </c>
      <c r="B20" s="176" t="e">
        <f>VLOOKUP(A20,South!A:M,3,FALSE)</f>
        <v>#N/A</v>
      </c>
      <c r="C20" s="181">
        <v>17</v>
      </c>
      <c r="D20" s="43" t="e">
        <f>VLOOKUP(A20,South!A:B,2,FALSE)</f>
        <v>#N/A</v>
      </c>
      <c r="E20" s="47" t="e">
        <f t="shared" si="0"/>
        <v>#N/A</v>
      </c>
      <c r="F20" s="47">
        <f t="shared" si="1"/>
        <v>5</v>
      </c>
      <c r="G20" s="47" t="e">
        <f t="shared" si="1"/>
        <v>#N/A</v>
      </c>
      <c r="H20" s="47" t="e">
        <f t="shared" si="2"/>
        <v>#N/A</v>
      </c>
      <c r="I20" s="47" t="e">
        <f>VLOOKUP(B20,'South Standings'!$A$2:$C$38,2,FALSE)</f>
        <v>#N/A</v>
      </c>
      <c r="J20" s="48" t="e">
        <f>VLOOKUP(B20,'South Standings'!$A$2:$C$38,3,FALSE)</f>
        <v>#N/A</v>
      </c>
      <c r="L20" t="e">
        <f t="shared" si="4"/>
        <v>#N/A</v>
      </c>
    </row>
    <row r="21" spans="1:12">
      <c r="A21">
        <f t="shared" si="3"/>
        <v>18</v>
      </c>
      <c r="B21" s="176" t="e">
        <f>VLOOKUP(A21,South!A:M,3,FALSE)</f>
        <v>#N/A</v>
      </c>
      <c r="C21" s="181">
        <v>18</v>
      </c>
      <c r="D21" s="47" t="e">
        <f>VLOOKUP(A21,South!A:B,2,FALSE)</f>
        <v>#N/A</v>
      </c>
      <c r="E21" s="47" t="e">
        <f t="shared" si="0"/>
        <v>#N/A</v>
      </c>
      <c r="F21" s="47">
        <f t="shared" si="1"/>
        <v>5</v>
      </c>
      <c r="G21" s="47" t="e">
        <f t="shared" si="1"/>
        <v>#N/A</v>
      </c>
      <c r="H21" s="47" t="e">
        <f t="shared" si="2"/>
        <v>#N/A</v>
      </c>
      <c r="I21" s="47" t="e">
        <f>VLOOKUP(B21,'South Standings'!$A$2:$C$38,2,FALSE)</f>
        <v>#N/A</v>
      </c>
      <c r="J21" s="48" t="e">
        <f>VLOOKUP(B21,'South Standings'!$A$2:$C$38,3,FALSE)</f>
        <v>#N/A</v>
      </c>
      <c r="L21" t="e">
        <f t="shared" si="4"/>
        <v>#N/A</v>
      </c>
    </row>
    <row r="22" spans="1:12">
      <c r="A22">
        <f t="shared" si="3"/>
        <v>19</v>
      </c>
      <c r="B22" s="176" t="e">
        <f>VLOOKUP(A22,South!A:M,3,FALSE)</f>
        <v>#N/A</v>
      </c>
      <c r="C22" s="181">
        <v>19</v>
      </c>
      <c r="D22" s="47" t="e">
        <f>VLOOKUP(A22,South!A:B,2,FALSE)</f>
        <v>#N/A</v>
      </c>
      <c r="E22" s="47" t="e">
        <f t="shared" si="0"/>
        <v>#N/A</v>
      </c>
      <c r="F22" s="47">
        <f t="shared" si="1"/>
        <v>5</v>
      </c>
      <c r="G22" s="47" t="e">
        <f t="shared" si="1"/>
        <v>#N/A</v>
      </c>
      <c r="H22" s="47" t="e">
        <f t="shared" si="2"/>
        <v>#N/A</v>
      </c>
      <c r="I22" s="47" t="e">
        <f>VLOOKUP(B22,'South Standings'!$A$2:$C$38,2,FALSE)</f>
        <v>#N/A</v>
      </c>
      <c r="J22" s="48" t="e">
        <f>VLOOKUP(B22,'South Standings'!$A$2:$C$38,3,FALSE)</f>
        <v>#N/A</v>
      </c>
      <c r="L22" t="e">
        <f t="shared" si="4"/>
        <v>#N/A</v>
      </c>
    </row>
    <row r="23" spans="1:12" ht="15.75" thickBot="1">
      <c r="A23">
        <f t="shared" si="3"/>
        <v>20</v>
      </c>
      <c r="B23" t="e">
        <f>VLOOKUP(A23,South!A:M,3,FALSE)</f>
        <v>#N/A</v>
      </c>
      <c r="C23" s="49">
        <v>20</v>
      </c>
      <c r="D23" s="47" t="e">
        <f>VLOOKUP(A23,South!A:B,2,FALSE)</f>
        <v>#N/A</v>
      </c>
      <c r="E23" s="47" t="e">
        <f t="shared" si="0"/>
        <v>#N/A</v>
      </c>
      <c r="F23" s="47">
        <f t="shared" si="1"/>
        <v>5</v>
      </c>
      <c r="G23" s="47" t="e">
        <f t="shared" si="1"/>
        <v>#N/A</v>
      </c>
      <c r="H23" s="47" t="e">
        <f t="shared" si="2"/>
        <v>#N/A</v>
      </c>
      <c r="I23" s="47" t="e">
        <f>VLOOKUP(B23,'South Standings'!$A$2:$C$38,2,FALSE)</f>
        <v>#N/A</v>
      </c>
      <c r="J23" s="48" t="e">
        <f>VLOOKUP(B23,'South Standings'!$A$2:$C$38,3,FALSE)</f>
        <v>#N/A</v>
      </c>
      <c r="L23" t="e">
        <f t="shared" si="4"/>
        <v>#N/A</v>
      </c>
    </row>
    <row r="24" spans="1:12">
      <c r="A24">
        <f t="shared" si="3"/>
        <v>21</v>
      </c>
      <c r="B24" t="e">
        <f>VLOOKUP(A24,South!A:M,3,FALSE)</f>
        <v>#N/A</v>
      </c>
      <c r="C24" s="42">
        <v>21</v>
      </c>
      <c r="D24" s="43" t="e">
        <f>VLOOKUP(A24,South!A:B,2,FALSE)</f>
        <v>#N/A</v>
      </c>
      <c r="E24" s="43" t="e">
        <f t="shared" si="0"/>
        <v>#N/A</v>
      </c>
      <c r="F24" s="43">
        <f t="shared" si="1"/>
        <v>6</v>
      </c>
      <c r="G24" s="43" t="e">
        <f t="shared" si="1"/>
        <v>#N/A</v>
      </c>
      <c r="H24" s="43" t="e">
        <f t="shared" si="2"/>
        <v>#N/A</v>
      </c>
      <c r="I24" s="43" t="e">
        <f>VLOOKUP(B24,'South Standings'!$A$2:$C$38,2,FALSE)</f>
        <v>#N/A</v>
      </c>
      <c r="J24" s="46" t="e">
        <f>VLOOKUP(B24,'South Standings'!$A$2:$C$38,3,FALSE)</f>
        <v>#N/A</v>
      </c>
      <c r="L24" t="e">
        <f t="shared" si="4"/>
        <v>#N/A</v>
      </c>
    </row>
    <row r="25" spans="1:12">
      <c r="A25">
        <f t="shared" si="3"/>
        <v>22</v>
      </c>
      <c r="B25" t="e">
        <f>VLOOKUP(A25,South!A:M,3,FALSE)</f>
        <v>#N/A</v>
      </c>
      <c r="C25" s="41">
        <v>22</v>
      </c>
      <c r="D25" s="47" t="e">
        <f>VLOOKUP(A25,South!A:B,2,FALSE)</f>
        <v>#N/A</v>
      </c>
      <c r="E25" s="47" t="e">
        <f t="shared" si="0"/>
        <v>#N/A</v>
      </c>
      <c r="F25" s="47">
        <f t="shared" si="1"/>
        <v>6</v>
      </c>
      <c r="G25" s="47" t="e">
        <f t="shared" si="1"/>
        <v>#N/A</v>
      </c>
      <c r="H25" s="47" t="e">
        <f t="shared" si="2"/>
        <v>#N/A</v>
      </c>
      <c r="I25" s="47" t="e">
        <f>VLOOKUP(B25,'South Standings'!$A$2:$C$38,2,FALSE)</f>
        <v>#N/A</v>
      </c>
      <c r="J25" s="48" t="e">
        <f>VLOOKUP(B25,'South Standings'!$A$2:$C$38,3,FALSE)</f>
        <v>#N/A</v>
      </c>
      <c r="L25" t="e">
        <f t="shared" si="4"/>
        <v>#N/A</v>
      </c>
    </row>
    <row r="26" spans="1:12">
      <c r="A26">
        <f t="shared" si="3"/>
        <v>23</v>
      </c>
      <c r="B26" t="e">
        <f>VLOOKUP(A26,South!A:M,3,FALSE)</f>
        <v>#N/A</v>
      </c>
      <c r="C26" s="41">
        <v>23</v>
      </c>
      <c r="D26" s="47" t="e">
        <f>VLOOKUP(A26,South!A:B,2,FALSE)</f>
        <v>#N/A</v>
      </c>
      <c r="E26" s="47" t="e">
        <f t="shared" si="0"/>
        <v>#N/A</v>
      </c>
      <c r="F26" s="47">
        <f t="shared" si="1"/>
        <v>6</v>
      </c>
      <c r="G26" s="47" t="e">
        <f t="shared" si="1"/>
        <v>#N/A</v>
      </c>
      <c r="H26" s="47" t="e">
        <f t="shared" si="2"/>
        <v>#N/A</v>
      </c>
      <c r="I26" s="47" t="e">
        <f>VLOOKUP(B26,'South Standings'!$A$2:$C$38,2,FALSE)</f>
        <v>#N/A</v>
      </c>
      <c r="J26" s="48" t="e">
        <f>VLOOKUP(B26,'South Standings'!$A$2:$C$38,3,FALSE)</f>
        <v>#N/A</v>
      </c>
      <c r="L26" t="e">
        <f t="shared" si="4"/>
        <v>#N/A</v>
      </c>
    </row>
    <row r="27" spans="1:12" ht="15.75" thickBot="1">
      <c r="A27">
        <f t="shared" si="3"/>
        <v>24</v>
      </c>
      <c r="B27" t="e">
        <f>VLOOKUP(A27,South!A:M,3,FALSE)</f>
        <v>#N/A</v>
      </c>
      <c r="C27" s="49">
        <v>24</v>
      </c>
      <c r="D27" s="47" t="e">
        <f>VLOOKUP(A27,South!A:B,2,FALSE)</f>
        <v>#N/A</v>
      </c>
      <c r="E27" s="50" t="e">
        <f t="shared" si="0"/>
        <v>#N/A</v>
      </c>
      <c r="F27" s="50">
        <f t="shared" si="1"/>
        <v>6</v>
      </c>
      <c r="G27" s="50" t="e">
        <f t="shared" si="1"/>
        <v>#N/A</v>
      </c>
      <c r="H27" s="50" t="e">
        <f t="shared" si="2"/>
        <v>#N/A</v>
      </c>
      <c r="I27" s="50" t="e">
        <f>VLOOKUP(B27,'South Standings'!$A$2:$C$38,2,FALSE)</f>
        <v>#N/A</v>
      </c>
      <c r="J27" s="53" t="e">
        <f>VLOOKUP(B27,'South Standings'!$A$2:$C$38,3,FALSE)</f>
        <v>#N/A</v>
      </c>
      <c r="L27" t="e">
        <f t="shared" si="4"/>
        <v>#N/A</v>
      </c>
    </row>
    <row r="28" spans="1:12">
      <c r="A28">
        <f t="shared" si="3"/>
        <v>25</v>
      </c>
      <c r="B28" t="e">
        <f>VLOOKUP(A28,South!A:M,3,FALSE)</f>
        <v>#N/A</v>
      </c>
      <c r="C28" s="41">
        <v>25</v>
      </c>
      <c r="D28" s="43" t="e">
        <f>VLOOKUP(A28,South!A:B,2,FALSE)</f>
        <v>#N/A</v>
      </c>
      <c r="E28" s="47" t="e">
        <f t="shared" si="0"/>
        <v>#N/A</v>
      </c>
      <c r="F28" s="47">
        <f t="shared" si="1"/>
        <v>7</v>
      </c>
      <c r="G28" s="47" t="e">
        <f t="shared" si="1"/>
        <v>#N/A</v>
      </c>
      <c r="H28" s="47" t="e">
        <f t="shared" si="2"/>
        <v>#N/A</v>
      </c>
      <c r="I28" s="47" t="e">
        <f>VLOOKUP(B28,'South Standings'!$A$2:$C$38,2,FALSE)</f>
        <v>#N/A</v>
      </c>
      <c r="J28" s="48" t="e">
        <f>VLOOKUP(B28,'South Standings'!$A$2:$C$38,3,FALSE)</f>
        <v>#N/A</v>
      </c>
      <c r="L28" t="e">
        <f t="shared" si="4"/>
        <v>#N/A</v>
      </c>
    </row>
    <row r="29" spans="1:12">
      <c r="A29">
        <f t="shared" si="3"/>
        <v>26</v>
      </c>
      <c r="B29" t="e">
        <f>VLOOKUP(A29,South!A:M,3,FALSE)</f>
        <v>#N/A</v>
      </c>
      <c r="C29" s="41">
        <v>26</v>
      </c>
      <c r="D29" s="47" t="e">
        <f>VLOOKUP(A29,South!A:B,2,FALSE)</f>
        <v>#N/A</v>
      </c>
      <c r="E29" s="47" t="e">
        <f t="shared" si="0"/>
        <v>#N/A</v>
      </c>
      <c r="F29" s="47">
        <f t="shared" si="1"/>
        <v>7</v>
      </c>
      <c r="G29" s="47" t="e">
        <f t="shared" si="1"/>
        <v>#N/A</v>
      </c>
      <c r="H29" s="47" t="e">
        <f t="shared" si="2"/>
        <v>#N/A</v>
      </c>
      <c r="I29" s="47" t="e">
        <f>VLOOKUP(B29,'South Standings'!$A$2:$C$38,2,FALSE)</f>
        <v>#N/A</v>
      </c>
      <c r="J29" s="48" t="e">
        <f>VLOOKUP(B29,'South Standings'!$A$2:$C$38,3,FALSE)</f>
        <v>#N/A</v>
      </c>
      <c r="L29" t="e">
        <f t="shared" si="4"/>
        <v>#N/A</v>
      </c>
    </row>
    <row r="30" spans="1:12">
      <c r="A30">
        <f t="shared" si="3"/>
        <v>27</v>
      </c>
      <c r="B30" t="e">
        <f>VLOOKUP(A30,South!A:M,3,FALSE)</f>
        <v>#N/A</v>
      </c>
      <c r="C30" s="41">
        <v>27</v>
      </c>
      <c r="D30" s="47" t="e">
        <f>VLOOKUP(A30,South!A:B,2,FALSE)</f>
        <v>#N/A</v>
      </c>
      <c r="E30" s="47" t="e">
        <f t="shared" si="0"/>
        <v>#N/A</v>
      </c>
      <c r="F30" s="47">
        <f t="shared" si="1"/>
        <v>7</v>
      </c>
      <c r="G30" s="47" t="e">
        <f t="shared" si="1"/>
        <v>#N/A</v>
      </c>
      <c r="H30" s="47" t="e">
        <f t="shared" si="2"/>
        <v>#N/A</v>
      </c>
      <c r="I30" s="47" t="e">
        <f>VLOOKUP(B30,'South Standings'!$A$2:$C$38,2,FALSE)</f>
        <v>#N/A</v>
      </c>
      <c r="J30" s="48" t="e">
        <f>VLOOKUP(B30,'South Standings'!$A$2:$C$38,3,FALSE)</f>
        <v>#N/A</v>
      </c>
      <c r="L30" t="e">
        <f t="shared" si="4"/>
        <v>#N/A</v>
      </c>
    </row>
    <row r="31" spans="1:12" ht="15.75" thickBot="1">
      <c r="A31">
        <f t="shared" si="3"/>
        <v>28</v>
      </c>
      <c r="B31" t="e">
        <f>VLOOKUP(A31,South!A:M,3,FALSE)</f>
        <v>#N/A</v>
      </c>
      <c r="C31" s="41">
        <v>28</v>
      </c>
      <c r="D31" s="47" t="e">
        <f>VLOOKUP(A31,South!A:B,2,FALSE)</f>
        <v>#N/A</v>
      </c>
      <c r="E31" s="47" t="e">
        <f t="shared" si="0"/>
        <v>#N/A</v>
      </c>
      <c r="F31" s="47">
        <f t="shared" si="1"/>
        <v>7</v>
      </c>
      <c r="G31" s="47" t="e">
        <f t="shared" si="1"/>
        <v>#N/A</v>
      </c>
      <c r="H31" s="47" t="e">
        <f t="shared" si="2"/>
        <v>#N/A</v>
      </c>
      <c r="I31" s="47" t="e">
        <f>VLOOKUP(B31,'South Standings'!$A$2:$C$38,2,FALSE)</f>
        <v>#N/A</v>
      </c>
      <c r="J31" s="48" t="e">
        <f>VLOOKUP(B31,'South Standings'!$A$2:$C$38,3,FALSE)</f>
        <v>#N/A</v>
      </c>
      <c r="L31" t="e">
        <f t="shared" si="4"/>
        <v>#N/A</v>
      </c>
    </row>
    <row r="32" spans="1:12">
      <c r="A32">
        <f t="shared" si="3"/>
        <v>29</v>
      </c>
      <c r="B32" t="e">
        <f>VLOOKUP(A32,South!A:M,3,FALSE)</f>
        <v>#N/A</v>
      </c>
      <c r="C32" s="42">
        <v>29</v>
      </c>
      <c r="D32" s="43" t="e">
        <f>VLOOKUP(A32,South!A:B,2,FALSE)</f>
        <v>#N/A</v>
      </c>
      <c r="E32" s="43" t="e">
        <f t="shared" si="0"/>
        <v>#N/A</v>
      </c>
      <c r="F32" s="43">
        <f t="shared" si="1"/>
        <v>8</v>
      </c>
      <c r="G32" s="43" t="e">
        <f t="shared" si="1"/>
        <v>#N/A</v>
      </c>
      <c r="H32" s="43" t="e">
        <f t="shared" si="2"/>
        <v>#N/A</v>
      </c>
      <c r="I32" s="43" t="e">
        <f>VLOOKUP(B32,'South Standings'!$A$2:$C$38,2,FALSE)</f>
        <v>#N/A</v>
      </c>
      <c r="J32" s="46" t="e">
        <f>VLOOKUP(B32,'South Standings'!$A$2:$C$38,3,FALSE)</f>
        <v>#N/A</v>
      </c>
      <c r="L32" t="e">
        <f t="shared" si="4"/>
        <v>#N/A</v>
      </c>
    </row>
    <row r="33" spans="1:12">
      <c r="A33">
        <f t="shared" si="3"/>
        <v>30</v>
      </c>
      <c r="B33" t="e">
        <f>VLOOKUP(A33,South!A:M,3,FALSE)</f>
        <v>#N/A</v>
      </c>
      <c r="C33" s="41">
        <v>30</v>
      </c>
      <c r="D33" s="47" t="e">
        <f>VLOOKUP(A33,South!A:B,2,FALSE)</f>
        <v>#N/A</v>
      </c>
      <c r="E33" s="47" t="e">
        <f t="shared" si="0"/>
        <v>#N/A</v>
      </c>
      <c r="F33" s="47">
        <f t="shared" si="1"/>
        <v>8</v>
      </c>
      <c r="G33" s="47" t="e">
        <f t="shared" si="1"/>
        <v>#N/A</v>
      </c>
      <c r="H33" s="47" t="e">
        <f t="shared" si="2"/>
        <v>#N/A</v>
      </c>
      <c r="I33" s="47" t="e">
        <f>VLOOKUP(B33,'South Standings'!$A$2:$C$38,2,FALSE)</f>
        <v>#N/A</v>
      </c>
      <c r="J33" s="48" t="e">
        <f>VLOOKUP(B33,'South Standings'!$A$2:$C$38,3,FALSE)</f>
        <v>#N/A</v>
      </c>
      <c r="L33" t="e">
        <f t="shared" si="4"/>
        <v>#N/A</v>
      </c>
    </row>
    <row r="34" spans="1:12">
      <c r="A34">
        <f t="shared" si="3"/>
        <v>31</v>
      </c>
      <c r="B34" t="e">
        <f>VLOOKUP(A34,South!A:M,3,FALSE)</f>
        <v>#N/A</v>
      </c>
      <c r="C34" s="41">
        <v>31</v>
      </c>
      <c r="D34" s="47" t="e">
        <f>VLOOKUP(A34,South!A:B,2,FALSE)</f>
        <v>#N/A</v>
      </c>
      <c r="E34" s="47" t="e">
        <f t="shared" si="0"/>
        <v>#N/A</v>
      </c>
      <c r="F34" s="47">
        <f t="shared" si="1"/>
        <v>8</v>
      </c>
      <c r="G34" s="47" t="e">
        <f t="shared" si="1"/>
        <v>#N/A</v>
      </c>
      <c r="H34" s="47" t="e">
        <f t="shared" si="2"/>
        <v>#N/A</v>
      </c>
      <c r="I34" s="47" t="e">
        <f>VLOOKUP(B34,'South Standings'!$A$2:$C$38,2,FALSE)</f>
        <v>#N/A</v>
      </c>
      <c r="J34" s="48" t="e">
        <f>VLOOKUP(B34,'South Standings'!$A$2:$C$38,3,FALSE)</f>
        <v>#N/A</v>
      </c>
      <c r="L34" t="e">
        <f t="shared" si="4"/>
        <v>#N/A</v>
      </c>
    </row>
    <row r="35" spans="1:12" ht="15.75" thickBot="1">
      <c r="A35">
        <f t="shared" si="3"/>
        <v>32</v>
      </c>
      <c r="B35" t="e">
        <f>VLOOKUP(A35,South!A:M,3,FALSE)</f>
        <v>#N/A</v>
      </c>
      <c r="C35" s="49">
        <v>32</v>
      </c>
      <c r="D35" s="47" t="e">
        <f>VLOOKUP(A35,South!A:B,2,FALSE)</f>
        <v>#N/A</v>
      </c>
      <c r="E35" s="50" t="e">
        <f t="shared" si="0"/>
        <v>#N/A</v>
      </c>
      <c r="F35" s="50">
        <f t="shared" si="1"/>
        <v>8</v>
      </c>
      <c r="G35" s="50" t="e">
        <f t="shared" si="1"/>
        <v>#N/A</v>
      </c>
      <c r="H35" s="50" t="e">
        <f t="shared" si="2"/>
        <v>#N/A</v>
      </c>
      <c r="I35" s="50" t="e">
        <f>VLOOKUP(B35,'South Standings'!$A$2:$C$38,2,FALSE)</f>
        <v>#N/A</v>
      </c>
      <c r="J35" s="53" t="e">
        <f>VLOOKUP(B35,'South Standings'!$A$2:$C$38,3,FALSE)</f>
        <v>#N/A</v>
      </c>
      <c r="L35" t="e">
        <f t="shared" si="4"/>
        <v>#N/A</v>
      </c>
    </row>
    <row r="36" spans="1:12">
      <c r="A36">
        <f t="shared" si="3"/>
        <v>33</v>
      </c>
      <c r="B36" t="e">
        <f>VLOOKUP(A36,South!A:M,3,FALSE)</f>
        <v>#N/A</v>
      </c>
      <c r="C36" s="41">
        <v>33</v>
      </c>
      <c r="D36" s="43" t="e">
        <f>VLOOKUP(A36,South!A:B,2,FALSE)</f>
        <v>#N/A</v>
      </c>
      <c r="E36" s="47" t="e">
        <f t="shared" ref="E36:E52" si="5">IF(D36=C36,"Same",IF(D36&gt;C36,CONCATENATE("Up ",D36-C36),CONCATENATE("Down ",C36-D36)))</f>
        <v>#N/A</v>
      </c>
      <c r="F36" s="47">
        <f t="shared" si="1"/>
        <v>9</v>
      </c>
      <c r="G36" s="47" t="e">
        <f t="shared" si="1"/>
        <v>#N/A</v>
      </c>
      <c r="H36" s="47" t="e">
        <f t="shared" ref="H36:H52" si="6">IF(G36=F36,"Same",IF(G36&gt;F36,CONCATENATE("Up ",G36-F36),CONCATENATE("Down ",F36-G36)))</f>
        <v>#N/A</v>
      </c>
      <c r="I36" s="47" t="e">
        <f>VLOOKUP(B36,'South Standings'!$A$2:$C$38,2,FALSE)</f>
        <v>#N/A</v>
      </c>
      <c r="J36" s="48" t="e">
        <f>VLOOKUP(B36,'South Standings'!$A$2:$C$38,3,FALSE)</f>
        <v>#N/A</v>
      </c>
      <c r="L36" t="e">
        <f t="shared" si="4"/>
        <v>#N/A</v>
      </c>
    </row>
    <row r="37" spans="1:12">
      <c r="A37">
        <f t="shared" si="3"/>
        <v>34</v>
      </c>
      <c r="B37" t="e">
        <f>VLOOKUP(A37,South!A:M,3,FALSE)</f>
        <v>#N/A</v>
      </c>
      <c r="C37" s="41">
        <v>34</v>
      </c>
      <c r="D37" s="47" t="e">
        <f>VLOOKUP(A37,South!A:B,2,FALSE)</f>
        <v>#N/A</v>
      </c>
      <c r="E37" s="47" t="e">
        <f t="shared" si="5"/>
        <v>#N/A</v>
      </c>
      <c r="F37" s="47">
        <f t="shared" si="1"/>
        <v>9</v>
      </c>
      <c r="G37" s="47" t="e">
        <f t="shared" si="1"/>
        <v>#N/A</v>
      </c>
      <c r="H37" s="47" t="e">
        <f t="shared" si="6"/>
        <v>#N/A</v>
      </c>
      <c r="I37" s="47" t="e">
        <f>VLOOKUP(B37,'South Standings'!$A$2:$C$38,2,FALSE)</f>
        <v>#N/A</v>
      </c>
      <c r="J37" s="48" t="e">
        <f>VLOOKUP(B37,'South Standings'!$A$2:$C$38,3,FALSE)</f>
        <v>#N/A</v>
      </c>
      <c r="L37" t="e">
        <f t="shared" si="4"/>
        <v>#N/A</v>
      </c>
    </row>
    <row r="38" spans="1:12">
      <c r="A38">
        <f t="shared" si="3"/>
        <v>35</v>
      </c>
      <c r="B38" t="e">
        <f>VLOOKUP(A38,South!A:M,3,FALSE)</f>
        <v>#N/A</v>
      </c>
      <c r="C38" s="41">
        <v>35</v>
      </c>
      <c r="D38" s="47" t="e">
        <f>VLOOKUP(A38,South!A:B,2,FALSE)</f>
        <v>#N/A</v>
      </c>
      <c r="E38" s="47" t="e">
        <f t="shared" si="5"/>
        <v>#N/A</v>
      </c>
      <c r="F38" s="47">
        <f t="shared" si="1"/>
        <v>9</v>
      </c>
      <c r="G38" s="47" t="e">
        <f t="shared" si="1"/>
        <v>#N/A</v>
      </c>
      <c r="H38" s="47" t="e">
        <f t="shared" si="6"/>
        <v>#N/A</v>
      </c>
      <c r="I38" s="47" t="e">
        <f>VLOOKUP(B38,'South Standings'!$A$2:$C$38,2,FALSE)</f>
        <v>#N/A</v>
      </c>
      <c r="J38" s="48" t="e">
        <f>VLOOKUP(B38,'South Standings'!$A$2:$C$38,3,FALSE)</f>
        <v>#N/A</v>
      </c>
      <c r="L38" t="e">
        <f t="shared" si="4"/>
        <v>#N/A</v>
      </c>
    </row>
    <row r="39" spans="1:12" ht="15.75" thickBot="1">
      <c r="A39">
        <f t="shared" si="3"/>
        <v>36</v>
      </c>
      <c r="B39" t="e">
        <f>VLOOKUP(A39,South!A:M,3,FALSE)</f>
        <v>#N/A</v>
      </c>
      <c r="C39" s="41">
        <v>36</v>
      </c>
      <c r="D39" s="47" t="e">
        <f>VLOOKUP(A39,South!A:B,2,FALSE)</f>
        <v>#N/A</v>
      </c>
      <c r="E39" s="47" t="e">
        <f t="shared" si="5"/>
        <v>#N/A</v>
      </c>
      <c r="F39" s="47">
        <f t="shared" si="1"/>
        <v>9</v>
      </c>
      <c r="G39" s="47" t="e">
        <f t="shared" si="1"/>
        <v>#N/A</v>
      </c>
      <c r="H39" s="47" t="e">
        <f t="shared" si="6"/>
        <v>#N/A</v>
      </c>
      <c r="I39" s="47" t="e">
        <f>VLOOKUP(B39,'South Standings'!$A$2:$C$38,2,FALSE)</f>
        <v>#N/A</v>
      </c>
      <c r="J39" s="48" t="e">
        <f>VLOOKUP(B39,'South Standings'!$A$2:$C$38,3,FALSE)</f>
        <v>#N/A</v>
      </c>
      <c r="L39" t="e">
        <f t="shared" si="4"/>
        <v>#N/A</v>
      </c>
    </row>
    <row r="40" spans="1:12">
      <c r="A40">
        <f t="shared" si="3"/>
        <v>37</v>
      </c>
      <c r="B40" t="e">
        <f>VLOOKUP(A40,South!A:M,3,FALSE)</f>
        <v>#N/A</v>
      </c>
      <c r="C40" s="42">
        <v>37</v>
      </c>
      <c r="D40" s="43" t="e">
        <f>VLOOKUP(A40,South!A:B,2,FALSE)</f>
        <v>#N/A</v>
      </c>
      <c r="E40" s="43" t="e">
        <f t="shared" si="5"/>
        <v>#N/A</v>
      </c>
      <c r="F40" s="43">
        <f t="shared" si="1"/>
        <v>10</v>
      </c>
      <c r="G40" s="43" t="e">
        <f t="shared" si="1"/>
        <v>#N/A</v>
      </c>
      <c r="H40" s="43" t="e">
        <f t="shared" si="6"/>
        <v>#N/A</v>
      </c>
      <c r="I40" s="43" t="e">
        <f>VLOOKUP(B40,'South Standings'!$A$2:$C$38,2,FALSE)</f>
        <v>#N/A</v>
      </c>
      <c r="J40" s="46" t="e">
        <f>VLOOKUP(B40,'South Standings'!$A$2:$C$38,3,FALSE)</f>
        <v>#N/A</v>
      </c>
      <c r="L40" t="e">
        <f t="shared" si="4"/>
        <v>#N/A</v>
      </c>
    </row>
    <row r="41" spans="1:12">
      <c r="A41">
        <f t="shared" si="3"/>
        <v>38</v>
      </c>
      <c r="B41" t="e">
        <f>VLOOKUP(A41,South!A:M,3,FALSE)</f>
        <v>#N/A</v>
      </c>
      <c r="C41" s="41">
        <v>38</v>
      </c>
      <c r="D41" s="47" t="e">
        <f>VLOOKUP(A41,South!A:B,2,FALSE)</f>
        <v>#N/A</v>
      </c>
      <c r="E41" s="47" t="e">
        <f t="shared" si="5"/>
        <v>#N/A</v>
      </c>
      <c r="F41" s="47">
        <f t="shared" si="1"/>
        <v>10</v>
      </c>
      <c r="G41" s="47" t="e">
        <f t="shared" si="1"/>
        <v>#N/A</v>
      </c>
      <c r="H41" s="47" t="e">
        <f t="shared" si="6"/>
        <v>#N/A</v>
      </c>
      <c r="I41" s="47" t="e">
        <f>VLOOKUP(B41,'South Standings'!$A$2:$C$38,2,FALSE)</f>
        <v>#N/A</v>
      </c>
      <c r="J41" s="48" t="e">
        <f>VLOOKUP(B41,'South Standings'!$A$2:$C$38,3,FALSE)</f>
        <v>#N/A</v>
      </c>
      <c r="L41" t="e">
        <f t="shared" si="4"/>
        <v>#N/A</v>
      </c>
    </row>
    <row r="42" spans="1:12">
      <c r="A42">
        <f t="shared" si="3"/>
        <v>39</v>
      </c>
      <c r="B42" t="e">
        <f>VLOOKUP(A42,South!A:M,3,FALSE)</f>
        <v>#N/A</v>
      </c>
      <c r="C42" s="41">
        <v>39</v>
      </c>
      <c r="D42" s="47" t="e">
        <f>VLOOKUP(A42,South!A:B,2,FALSE)</f>
        <v>#N/A</v>
      </c>
      <c r="E42" s="47" t="e">
        <f t="shared" si="5"/>
        <v>#N/A</v>
      </c>
      <c r="F42" s="47">
        <f t="shared" si="1"/>
        <v>10</v>
      </c>
      <c r="G42" s="47" t="e">
        <f t="shared" si="1"/>
        <v>#N/A</v>
      </c>
      <c r="H42" s="47" t="e">
        <f t="shared" si="6"/>
        <v>#N/A</v>
      </c>
      <c r="I42" s="47" t="e">
        <f>VLOOKUP(B42,'South Standings'!$A$2:$C$38,2,FALSE)</f>
        <v>#N/A</v>
      </c>
      <c r="J42" s="48" t="e">
        <f>VLOOKUP(B42,'South Standings'!$A$2:$C$38,3,FALSE)</f>
        <v>#N/A</v>
      </c>
      <c r="L42" t="e">
        <f t="shared" si="4"/>
        <v>#N/A</v>
      </c>
    </row>
    <row r="43" spans="1:12" ht="15.75" thickBot="1">
      <c r="A43">
        <f t="shared" si="3"/>
        <v>40</v>
      </c>
      <c r="B43" t="e">
        <f>VLOOKUP(A43,South!A:M,3,FALSE)</f>
        <v>#N/A</v>
      </c>
      <c r="C43" s="49">
        <v>40</v>
      </c>
      <c r="D43" s="50" t="e">
        <f>VLOOKUP(A43,South!A:B,2,FALSE)</f>
        <v>#N/A</v>
      </c>
      <c r="E43" s="50" t="e">
        <f t="shared" si="5"/>
        <v>#N/A</v>
      </c>
      <c r="F43" s="50">
        <f t="shared" si="1"/>
        <v>10</v>
      </c>
      <c r="G43" s="50" t="e">
        <f t="shared" si="1"/>
        <v>#N/A</v>
      </c>
      <c r="H43" s="50" t="e">
        <f t="shared" si="6"/>
        <v>#N/A</v>
      </c>
      <c r="I43" s="50" t="e">
        <f>VLOOKUP(B43,'South Standings'!$A$2:$C$38,2,FALSE)</f>
        <v>#N/A</v>
      </c>
      <c r="J43" s="53" t="e">
        <f>VLOOKUP(B43,'South Standings'!$A$2:$C$38,3,FALSE)</f>
        <v>#N/A</v>
      </c>
      <c r="L43" t="e">
        <f t="shared" si="4"/>
        <v>#N/A</v>
      </c>
    </row>
    <row r="44" spans="1:12">
      <c r="A44">
        <f t="shared" si="3"/>
        <v>41</v>
      </c>
      <c r="B44" t="e">
        <f>VLOOKUP(A44,South!A:M,3,FALSE)</f>
        <v>#N/A</v>
      </c>
      <c r="C44" s="42">
        <v>41</v>
      </c>
      <c r="D44" s="43" t="e">
        <f>VLOOKUP(A44,South!A:B,2,FALSE)</f>
        <v>#N/A</v>
      </c>
      <c r="E44" s="43" t="e">
        <f t="shared" si="5"/>
        <v>#N/A</v>
      </c>
      <c r="F44" s="43">
        <f t="shared" ref="F44:G52" si="7">ROUND(C44/4+0.49,0)</f>
        <v>11</v>
      </c>
      <c r="G44" s="43" t="e">
        <f t="shared" si="7"/>
        <v>#N/A</v>
      </c>
      <c r="H44" s="43" t="e">
        <f t="shared" si="6"/>
        <v>#N/A</v>
      </c>
      <c r="I44" s="43" t="e">
        <f>VLOOKUP(B44,'South Standings'!$A$2:$C$38,2,FALSE)</f>
        <v>#N/A</v>
      </c>
      <c r="J44" s="46" t="e">
        <f>VLOOKUP(B44,'South Standings'!$A$2:$C$38,3,FALSE)</f>
        <v>#N/A</v>
      </c>
      <c r="L44" t="e">
        <f t="shared" si="4"/>
        <v>#N/A</v>
      </c>
    </row>
    <row r="45" spans="1:12">
      <c r="A45">
        <f t="shared" si="3"/>
        <v>42</v>
      </c>
      <c r="B45" t="e">
        <f>VLOOKUP(A45,South!A:M,3,FALSE)</f>
        <v>#N/A</v>
      </c>
      <c r="C45" s="41">
        <v>42</v>
      </c>
      <c r="D45" s="47" t="e">
        <f>VLOOKUP(A45,South!A:B,2,FALSE)</f>
        <v>#N/A</v>
      </c>
      <c r="E45" s="47" t="e">
        <f t="shared" si="5"/>
        <v>#N/A</v>
      </c>
      <c r="F45" s="47">
        <f t="shared" si="7"/>
        <v>11</v>
      </c>
      <c r="G45" s="47" t="e">
        <f t="shared" si="7"/>
        <v>#N/A</v>
      </c>
      <c r="H45" s="47" t="e">
        <f t="shared" si="6"/>
        <v>#N/A</v>
      </c>
      <c r="I45" s="47" t="e">
        <f>VLOOKUP(B45,'South Standings'!$A$2:$C$38,2,FALSE)</f>
        <v>#N/A</v>
      </c>
      <c r="J45" s="48" t="e">
        <f>VLOOKUP(B45,'South Standings'!$A$2:$C$38,3,FALSE)</f>
        <v>#N/A</v>
      </c>
      <c r="L45" t="e">
        <f t="shared" si="4"/>
        <v>#N/A</v>
      </c>
    </row>
    <row r="46" spans="1:12">
      <c r="A46">
        <f t="shared" si="3"/>
        <v>43</v>
      </c>
      <c r="B46" t="e">
        <f>VLOOKUP(A46,South!A:M,3,FALSE)</f>
        <v>#N/A</v>
      </c>
      <c r="C46" s="41">
        <v>43</v>
      </c>
      <c r="D46" s="47" t="e">
        <f>VLOOKUP(A46,South!A:B,2,FALSE)</f>
        <v>#N/A</v>
      </c>
      <c r="E46" s="47" t="e">
        <f t="shared" si="5"/>
        <v>#N/A</v>
      </c>
      <c r="F46" s="47">
        <f t="shared" si="7"/>
        <v>11</v>
      </c>
      <c r="G46" s="47" t="e">
        <f t="shared" si="7"/>
        <v>#N/A</v>
      </c>
      <c r="H46" s="47" t="e">
        <f t="shared" si="6"/>
        <v>#N/A</v>
      </c>
      <c r="I46" s="47" t="e">
        <f>VLOOKUP(B46,'South Standings'!$A$2:$C$38,2,FALSE)</f>
        <v>#N/A</v>
      </c>
      <c r="J46" s="48" t="e">
        <f>VLOOKUP(B46,'South Standings'!$A$2:$C$38,3,FALSE)</f>
        <v>#N/A</v>
      </c>
      <c r="L46" t="e">
        <f t="shared" si="4"/>
        <v>#N/A</v>
      </c>
    </row>
    <row r="47" spans="1:12" ht="15.75" thickBot="1">
      <c r="A47">
        <f t="shared" si="3"/>
        <v>44</v>
      </c>
      <c r="B47" t="e">
        <f>VLOOKUP(A47,South!A:M,3,FALSE)</f>
        <v>#N/A</v>
      </c>
      <c r="C47" s="41">
        <v>44</v>
      </c>
      <c r="D47" s="40" t="e">
        <f>VLOOKUP(A47,South!A:B,2,FALSE)</f>
        <v>#N/A</v>
      </c>
      <c r="E47" s="47" t="e">
        <f t="shared" si="5"/>
        <v>#N/A</v>
      </c>
      <c r="F47" s="47">
        <f t="shared" si="7"/>
        <v>11</v>
      </c>
      <c r="G47" s="47" t="e">
        <f t="shared" si="7"/>
        <v>#N/A</v>
      </c>
      <c r="H47" s="47" t="e">
        <f t="shared" si="6"/>
        <v>#N/A</v>
      </c>
      <c r="I47" s="47" t="e">
        <f>VLOOKUP(B47,'South Standings'!$A$2:$C$38,2,FALSE)</f>
        <v>#N/A</v>
      </c>
      <c r="J47" s="48" t="e">
        <f>VLOOKUP(B47,'South Standings'!$A$2:$C$38,3,FALSE)</f>
        <v>#N/A</v>
      </c>
      <c r="L47" t="e">
        <f t="shared" si="4"/>
        <v>#N/A</v>
      </c>
    </row>
    <row r="48" spans="1:12">
      <c r="A48">
        <f t="shared" si="3"/>
        <v>45</v>
      </c>
      <c r="B48" t="e">
        <f>VLOOKUP(A48,South!A:M,3,FALSE)</f>
        <v>#N/A</v>
      </c>
      <c r="C48" s="42">
        <v>45</v>
      </c>
      <c r="D48" s="43" t="e">
        <f>VLOOKUP(A48,South!A:B,2,FALSE)</f>
        <v>#N/A</v>
      </c>
      <c r="E48" s="43" t="e">
        <f t="shared" si="5"/>
        <v>#N/A</v>
      </c>
      <c r="F48" s="43">
        <f t="shared" ref="F48:F54" si="8">ROUND(C48/4+0.49,0)</f>
        <v>12</v>
      </c>
      <c r="G48" s="43" t="e">
        <f t="shared" si="7"/>
        <v>#N/A</v>
      </c>
      <c r="H48" s="43" t="e">
        <f t="shared" si="6"/>
        <v>#N/A</v>
      </c>
      <c r="I48" s="43" t="e">
        <f>VLOOKUP(B48,'South Standings'!$A$2:$C$38,2,FALSE)</f>
        <v>#N/A</v>
      </c>
      <c r="J48" s="46" t="e">
        <f>VLOOKUP(B48,'South Standings'!$A$2:$C$38,3,FALSE)</f>
        <v>#N/A</v>
      </c>
      <c r="L48" t="e">
        <f t="shared" si="4"/>
        <v>#N/A</v>
      </c>
    </row>
    <row r="49" spans="1:12">
      <c r="A49">
        <f t="shared" si="3"/>
        <v>46</v>
      </c>
      <c r="B49" t="e">
        <f>VLOOKUP(A49,South!A:M,3,FALSE)</f>
        <v>#N/A</v>
      </c>
      <c r="C49" s="41">
        <v>46</v>
      </c>
      <c r="D49" s="47" t="e">
        <f>VLOOKUP(A49,South!A:B,2,FALSE)</f>
        <v>#N/A</v>
      </c>
      <c r="E49" s="47" t="e">
        <f t="shared" si="5"/>
        <v>#N/A</v>
      </c>
      <c r="F49" s="47">
        <f t="shared" si="8"/>
        <v>12</v>
      </c>
      <c r="G49" s="47" t="e">
        <f t="shared" si="7"/>
        <v>#N/A</v>
      </c>
      <c r="H49" s="47" t="e">
        <f t="shared" si="6"/>
        <v>#N/A</v>
      </c>
      <c r="I49" s="47" t="e">
        <f>VLOOKUP(B49,'South Standings'!$A$2:$C$38,2,FALSE)</f>
        <v>#N/A</v>
      </c>
      <c r="J49" s="48" t="e">
        <f>VLOOKUP(B49,'South Standings'!$A$2:$C$38,3,FALSE)</f>
        <v>#N/A</v>
      </c>
      <c r="L49" t="e">
        <f t="shared" si="4"/>
        <v>#N/A</v>
      </c>
    </row>
    <row r="50" spans="1:12">
      <c r="A50">
        <f t="shared" si="3"/>
        <v>47</v>
      </c>
      <c r="B50" t="e">
        <f>VLOOKUP(A50,South!A:M,3,FALSE)</f>
        <v>#N/A</v>
      </c>
      <c r="C50" s="41">
        <v>47</v>
      </c>
      <c r="D50" s="47" t="e">
        <f>VLOOKUP(A50,South!A:B,2,FALSE)</f>
        <v>#N/A</v>
      </c>
      <c r="E50" s="47" t="e">
        <f t="shared" si="5"/>
        <v>#N/A</v>
      </c>
      <c r="F50" s="47">
        <f t="shared" si="8"/>
        <v>12</v>
      </c>
      <c r="G50" s="47" t="e">
        <f t="shared" si="7"/>
        <v>#N/A</v>
      </c>
      <c r="H50" s="47" t="e">
        <f t="shared" si="6"/>
        <v>#N/A</v>
      </c>
      <c r="I50" s="47" t="e">
        <f>VLOOKUP(B50,'South Standings'!$A$2:$C$38,2,FALSE)</f>
        <v>#N/A</v>
      </c>
      <c r="J50" s="48" t="e">
        <f>VLOOKUP(B50,'South Standings'!$A$2:$C$38,3,FALSE)</f>
        <v>#N/A</v>
      </c>
      <c r="L50" t="e">
        <f t="shared" si="4"/>
        <v>#N/A</v>
      </c>
    </row>
    <row r="51" spans="1:12" ht="15.75" thickBot="1">
      <c r="A51">
        <f t="shared" si="3"/>
        <v>48</v>
      </c>
      <c r="B51" t="e">
        <f>VLOOKUP(A51,South!A:M,3,FALSE)</f>
        <v>#N/A</v>
      </c>
      <c r="C51" s="49">
        <v>48</v>
      </c>
      <c r="D51" s="50" t="e">
        <f>VLOOKUP(A51,South!A:B,2,FALSE)</f>
        <v>#N/A</v>
      </c>
      <c r="E51" s="50" t="e">
        <f t="shared" si="5"/>
        <v>#N/A</v>
      </c>
      <c r="F51" s="50">
        <f t="shared" si="8"/>
        <v>12</v>
      </c>
      <c r="G51" s="50" t="e">
        <f t="shared" si="7"/>
        <v>#N/A</v>
      </c>
      <c r="H51" s="50" t="e">
        <f t="shared" si="6"/>
        <v>#N/A</v>
      </c>
      <c r="I51" s="50" t="e">
        <f>VLOOKUP(B51,'South Standings'!$A$2:$C$38,2,FALSE)</f>
        <v>#N/A</v>
      </c>
      <c r="J51" s="53" t="e">
        <f>VLOOKUP(B51,'South Standings'!$A$2:$C$38,3,FALSE)</f>
        <v>#N/A</v>
      </c>
      <c r="L51" t="e">
        <f t="shared" si="4"/>
        <v>#N/A</v>
      </c>
    </row>
    <row r="52" spans="1:12">
      <c r="A52">
        <f t="shared" si="3"/>
        <v>49</v>
      </c>
      <c r="B52" t="e">
        <f>VLOOKUP(A52,South!A:M,3,FALSE)</f>
        <v>#N/A</v>
      </c>
      <c r="C52" s="42">
        <v>49</v>
      </c>
      <c r="D52" s="43" t="e">
        <f>VLOOKUP(A52,South!A:B,2,FALSE)</f>
        <v>#N/A</v>
      </c>
      <c r="E52" s="43" t="e">
        <f t="shared" si="5"/>
        <v>#N/A</v>
      </c>
      <c r="F52" s="43">
        <f t="shared" si="8"/>
        <v>13</v>
      </c>
      <c r="G52" s="43" t="e">
        <f t="shared" si="7"/>
        <v>#N/A</v>
      </c>
      <c r="H52" s="43" t="e">
        <f t="shared" si="6"/>
        <v>#N/A</v>
      </c>
      <c r="I52" s="43" t="e">
        <f>VLOOKUP(B52,'South Standings'!$A$2:$C$38,2,FALSE)</f>
        <v>#N/A</v>
      </c>
      <c r="J52" s="46" t="e">
        <f>VLOOKUP(B52,'South Standings'!$A$2:$C$38,3,FALSE)</f>
        <v>#N/A</v>
      </c>
      <c r="L52" t="e">
        <f t="shared" si="4"/>
        <v>#N/A</v>
      </c>
    </row>
    <row r="53" spans="1:12">
      <c r="A53">
        <v>50</v>
      </c>
      <c r="B53" t="s">
        <v>173</v>
      </c>
      <c r="C53" s="41">
        <v>50</v>
      </c>
      <c r="D53" s="47" t="s">
        <v>172</v>
      </c>
      <c r="E53" s="47" t="s">
        <v>172</v>
      </c>
      <c r="F53" s="47">
        <f t="shared" si="8"/>
        <v>13</v>
      </c>
      <c r="G53" s="47" t="s">
        <v>172</v>
      </c>
      <c r="H53" s="47" t="s">
        <v>172</v>
      </c>
      <c r="I53" s="47" t="e">
        <f>VLOOKUP(B53,'South Standings'!$A$2:$C$38,2,FALSE)</f>
        <v>#N/A</v>
      </c>
      <c r="J53" s="48" t="e">
        <f>VLOOKUP(B53,'South Standings'!$A$2:$C$38,3,FALSE)</f>
        <v>#N/A</v>
      </c>
    </row>
    <row r="54" spans="1:12" ht="15.75" thickBot="1">
      <c r="A54">
        <v>51</v>
      </c>
      <c r="B54" t="s">
        <v>171</v>
      </c>
      <c r="C54" s="49">
        <v>51</v>
      </c>
      <c r="D54" s="50" t="s">
        <v>172</v>
      </c>
      <c r="E54" s="50" t="s">
        <v>172</v>
      </c>
      <c r="F54" s="50">
        <f t="shared" si="8"/>
        <v>13</v>
      </c>
      <c r="G54" s="50" t="s">
        <v>172</v>
      </c>
      <c r="H54" s="50" t="s">
        <v>172</v>
      </c>
      <c r="I54" s="50" t="e">
        <f>VLOOKUP(B54,'South Standings'!$A$2:$C$38,2,FALSE)</f>
        <v>#N/A</v>
      </c>
      <c r="J54" s="53" t="e">
        <f>VLOOKUP(B54,'South Standings'!$A$2:$C$38,3,FALSE)</f>
        <v>#N/A</v>
      </c>
    </row>
    <row r="56" spans="1:12">
      <c r="B56" s="98"/>
    </row>
    <row r="59" spans="1:12">
      <c r="B59" s="98" t="s">
        <v>143</v>
      </c>
    </row>
  </sheetData>
  <sortState xmlns:xlrd2="http://schemas.microsoft.com/office/spreadsheetml/2017/richdata2" ref="B4:J52">
    <sortCondition ref="C4:C52"/>
  </sortState>
  <conditionalFormatting sqref="L4:L52">
    <cfRule type="cellIs" dxfId="3" priority="1" operator="lessThan">
      <formula>-3</formula>
    </cfRule>
    <cfRule type="cellIs" dxfId="2" priority="2" operator="greaterThan">
      <formula>3</formula>
    </cfRule>
  </conditionalFormatting>
  <pageMargins left="0.63" right="0.26" top="0.23" bottom="0.18" header="0.21" footer="0.22"/>
  <pageSetup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>
    <tabColor theme="6" tint="0.39997558519241921"/>
    <pageSetUpPr autoPageBreaks="0"/>
  </sheetPr>
  <dimension ref="A1:L46"/>
  <sheetViews>
    <sheetView workbookViewId="0">
      <pane ySplit="3" topLeftCell="A4" activePane="bottomLeft" state="frozen"/>
      <selection activeCell="N48" sqref="N48"/>
      <selection pane="bottomLeft" activeCell="L3" sqref="L3"/>
    </sheetView>
  </sheetViews>
  <sheetFormatPr defaultRowHeight="15"/>
  <cols>
    <col min="1" max="1" width="4.7109375" customWidth="1"/>
    <col min="2" max="2" width="23.85546875" customWidth="1"/>
    <col min="3" max="3" width="9.42578125" style="37" bestFit="1" customWidth="1"/>
    <col min="4" max="4" width="5.5703125" style="37" customWidth="1"/>
    <col min="5" max="5" width="9.140625" style="37" customWidth="1"/>
    <col min="6" max="6" width="9.42578125" style="37" bestFit="1" customWidth="1"/>
    <col min="7" max="7" width="6.140625" style="37" customWidth="1"/>
    <col min="8" max="8" width="7.5703125" style="37" bestFit="1" customWidth="1"/>
    <col min="9" max="10" width="11.28515625" style="37" customWidth="1"/>
    <col min="16" max="16" width="15.85546875" customWidth="1"/>
    <col min="17" max="17" width="13.7109375" customWidth="1"/>
  </cols>
  <sheetData>
    <row r="1" spans="1:12" ht="21">
      <c r="B1" s="36" t="s">
        <v>79</v>
      </c>
      <c r="C1" s="39" t="s">
        <v>76</v>
      </c>
      <c r="D1" s="39"/>
      <c r="E1" s="39"/>
      <c r="F1" s="39" t="s">
        <v>76</v>
      </c>
      <c r="G1" s="39"/>
      <c r="H1" s="39"/>
      <c r="I1" s="39">
        <v>2019</v>
      </c>
      <c r="J1" s="39">
        <v>2019</v>
      </c>
      <c r="L1" s="175"/>
    </row>
    <row r="2" spans="1:12">
      <c r="C2" s="39">
        <v>2020</v>
      </c>
      <c r="D2" s="39">
        <v>2019</v>
      </c>
      <c r="E2" s="39" t="s">
        <v>43</v>
      </c>
      <c r="F2" s="39">
        <v>2020</v>
      </c>
      <c r="G2" s="39">
        <v>2019</v>
      </c>
      <c r="H2" s="39" t="s">
        <v>69</v>
      </c>
      <c r="I2" s="39" t="s">
        <v>69</v>
      </c>
      <c r="J2" s="39" t="s">
        <v>75</v>
      </c>
    </row>
    <row r="3" spans="1:12" ht="15.75" thickBot="1">
      <c r="C3" s="39" t="s">
        <v>43</v>
      </c>
      <c r="D3" s="39" t="s">
        <v>43</v>
      </c>
      <c r="E3" s="39" t="s">
        <v>77</v>
      </c>
      <c r="F3" s="39" t="s">
        <v>69</v>
      </c>
      <c r="G3" s="39" t="s">
        <v>69</v>
      </c>
      <c r="H3" s="39" t="s">
        <v>77</v>
      </c>
      <c r="I3" s="39" t="s">
        <v>74</v>
      </c>
      <c r="J3" s="39" t="s">
        <v>74</v>
      </c>
      <c r="L3" s="39" t="s">
        <v>797</v>
      </c>
    </row>
    <row r="4" spans="1:12">
      <c r="A4">
        <v>1</v>
      </c>
      <c r="B4" t="e">
        <f>VLOOKUP(A4,North!A:C,3,FALSE)</f>
        <v>#N/A</v>
      </c>
      <c r="C4" s="42">
        <f>A4</f>
        <v>1</v>
      </c>
      <c r="D4" s="43" t="e">
        <f>VLOOKUP(A4,North!A:B,2,FALSE)</f>
        <v>#N/A</v>
      </c>
      <c r="E4" s="44" t="e">
        <f t="shared" ref="E4:E41" si="0">IF(D4=C4,"Same",IF(D4&gt;C4,CONCATENATE("Up ",D4-C4),CONCATENATE("Down ",C4-D4)))</f>
        <v>#N/A</v>
      </c>
      <c r="F4" s="42">
        <f t="shared" ref="F4:G38" si="1">ROUND(C4/4+0.49,0)</f>
        <v>1</v>
      </c>
      <c r="G4" s="43" t="e">
        <f t="shared" si="1"/>
        <v>#N/A</v>
      </c>
      <c r="H4" s="45" t="e">
        <f t="shared" ref="H4:H41" si="2">IF(G4=F4,"Same",IF(G4&gt;F4,CONCATENATE("Up ",G4-F4),CONCATENATE("Down ",F4-G4)))</f>
        <v>#N/A</v>
      </c>
      <c r="I4" s="43" t="e">
        <f>VLOOKUP(B4,'North Standings'!$A$2:$C$32,2,FALSE)</f>
        <v>#N/A</v>
      </c>
      <c r="J4" s="46" t="e">
        <f>VLOOKUP(B4,'North Standings'!$A$2:$C$32,3,FALSE)</f>
        <v>#N/A</v>
      </c>
      <c r="L4" t="e">
        <f t="shared" ref="L4:L41" si="3">+D4-C4</f>
        <v>#N/A</v>
      </c>
    </row>
    <row r="5" spans="1:12">
      <c r="A5">
        <v>2</v>
      </c>
      <c r="B5" t="e">
        <f>VLOOKUP(A5,North!A:C,3,FALSE)</f>
        <v>#N/A</v>
      </c>
      <c r="C5" s="41">
        <f t="shared" ref="C5:C41" si="4">A5</f>
        <v>2</v>
      </c>
      <c r="D5" s="47" t="e">
        <f>VLOOKUP(A5,North!A:B,2,FALSE)</f>
        <v>#N/A</v>
      </c>
      <c r="E5" s="40" t="e">
        <f t="shared" si="0"/>
        <v>#N/A</v>
      </c>
      <c r="F5" s="41">
        <f t="shared" si="1"/>
        <v>1</v>
      </c>
      <c r="G5" s="47" t="e">
        <f t="shared" si="1"/>
        <v>#N/A</v>
      </c>
      <c r="H5" s="38" t="e">
        <f t="shared" si="2"/>
        <v>#N/A</v>
      </c>
      <c r="I5" s="47" t="e">
        <f>VLOOKUP(B5,'North Standings'!$A$2:$C$32,2,FALSE)</f>
        <v>#N/A</v>
      </c>
      <c r="J5" s="48" t="e">
        <f>VLOOKUP(B5,'North Standings'!$A$2:$C$32,3,FALSE)</f>
        <v>#N/A</v>
      </c>
      <c r="L5" t="e">
        <f t="shared" si="3"/>
        <v>#N/A</v>
      </c>
    </row>
    <row r="6" spans="1:12">
      <c r="A6">
        <v>3</v>
      </c>
      <c r="B6" t="e">
        <f>VLOOKUP(A6,North!A:C,3,FALSE)</f>
        <v>#N/A</v>
      </c>
      <c r="C6" s="41">
        <f t="shared" si="4"/>
        <v>3</v>
      </c>
      <c r="D6" s="47" t="e">
        <f>VLOOKUP(A6,North!A:B,2,FALSE)</f>
        <v>#N/A</v>
      </c>
      <c r="E6" s="40" t="e">
        <f t="shared" si="0"/>
        <v>#N/A</v>
      </c>
      <c r="F6" s="41">
        <f t="shared" si="1"/>
        <v>1</v>
      </c>
      <c r="G6" s="47" t="e">
        <f t="shared" si="1"/>
        <v>#N/A</v>
      </c>
      <c r="H6" s="38" t="e">
        <f t="shared" si="2"/>
        <v>#N/A</v>
      </c>
      <c r="I6" s="47" t="e">
        <f>VLOOKUP(B6,'North Standings'!$A$2:$C$32,2,FALSE)</f>
        <v>#N/A</v>
      </c>
      <c r="J6" s="48" t="e">
        <f>VLOOKUP(B6,'North Standings'!$A$2:$C$32,3,FALSE)</f>
        <v>#N/A</v>
      </c>
      <c r="L6" t="e">
        <f t="shared" si="3"/>
        <v>#N/A</v>
      </c>
    </row>
    <row r="7" spans="1:12" ht="15.75" thickBot="1">
      <c r="A7">
        <v>4</v>
      </c>
      <c r="B7" t="e">
        <f>VLOOKUP(A7,North!A:C,3,FALSE)</f>
        <v>#N/A</v>
      </c>
      <c r="C7" s="41">
        <f t="shared" si="4"/>
        <v>4</v>
      </c>
      <c r="D7" s="47" t="e">
        <f>VLOOKUP(A7,North!A:B,2,FALSE)</f>
        <v>#N/A</v>
      </c>
      <c r="E7" s="40" t="e">
        <f t="shared" si="0"/>
        <v>#N/A</v>
      </c>
      <c r="F7" s="41">
        <f t="shared" si="1"/>
        <v>1</v>
      </c>
      <c r="G7" s="47" t="e">
        <f t="shared" si="1"/>
        <v>#N/A</v>
      </c>
      <c r="H7" s="38" t="e">
        <f t="shared" si="2"/>
        <v>#N/A</v>
      </c>
      <c r="I7" s="47" t="e">
        <f>VLOOKUP(B7,'North Standings'!$A$2:$C$32,2,FALSE)</f>
        <v>#N/A</v>
      </c>
      <c r="J7" s="48" t="e">
        <f>VLOOKUP(B7,'North Standings'!$A$2:$C$32,3,FALSE)</f>
        <v>#N/A</v>
      </c>
      <c r="L7" t="e">
        <f t="shared" si="3"/>
        <v>#N/A</v>
      </c>
    </row>
    <row r="8" spans="1:12">
      <c r="A8">
        <v>5</v>
      </c>
      <c r="B8" t="e">
        <f>VLOOKUP(A8,North!A:C,3,FALSE)</f>
        <v>#N/A</v>
      </c>
      <c r="C8" s="42">
        <f t="shared" si="4"/>
        <v>5</v>
      </c>
      <c r="D8" s="43" t="e">
        <f>VLOOKUP(A8,North!A:B,2,FALSE)</f>
        <v>#N/A</v>
      </c>
      <c r="E8" s="44" t="e">
        <f t="shared" si="0"/>
        <v>#N/A</v>
      </c>
      <c r="F8" s="42">
        <f t="shared" si="1"/>
        <v>2</v>
      </c>
      <c r="G8" s="43" t="e">
        <f t="shared" si="1"/>
        <v>#N/A</v>
      </c>
      <c r="H8" s="45" t="e">
        <f t="shared" si="2"/>
        <v>#N/A</v>
      </c>
      <c r="I8" s="43" t="e">
        <f>VLOOKUP(B8,'North Standings'!$A$2:$C$32,2,FALSE)</f>
        <v>#N/A</v>
      </c>
      <c r="J8" s="46" t="e">
        <f>VLOOKUP(B8,'North Standings'!$A$2:$C$32,3,FALSE)</f>
        <v>#N/A</v>
      </c>
      <c r="L8" t="e">
        <f t="shared" si="3"/>
        <v>#N/A</v>
      </c>
    </row>
    <row r="9" spans="1:12">
      <c r="A9">
        <v>6</v>
      </c>
      <c r="B9" t="e">
        <f>VLOOKUP(A9,North!A:C,3,FALSE)</f>
        <v>#N/A</v>
      </c>
      <c r="C9" s="41">
        <f t="shared" si="4"/>
        <v>6</v>
      </c>
      <c r="D9" s="47" t="e">
        <f>VLOOKUP(A9,North!A:B,2,FALSE)</f>
        <v>#N/A</v>
      </c>
      <c r="E9" s="40" t="e">
        <f t="shared" si="0"/>
        <v>#N/A</v>
      </c>
      <c r="F9" s="41">
        <f t="shared" si="1"/>
        <v>2</v>
      </c>
      <c r="G9" s="47" t="e">
        <f t="shared" si="1"/>
        <v>#N/A</v>
      </c>
      <c r="H9" s="38" t="e">
        <f t="shared" si="2"/>
        <v>#N/A</v>
      </c>
      <c r="I9" s="47" t="e">
        <f>VLOOKUP(B9,'North Standings'!$A$2:$C$32,2,FALSE)</f>
        <v>#N/A</v>
      </c>
      <c r="J9" s="48" t="e">
        <f>VLOOKUP(B9,'North Standings'!$A$2:$C$32,3,FALSE)</f>
        <v>#N/A</v>
      </c>
      <c r="L9" t="e">
        <f t="shared" si="3"/>
        <v>#N/A</v>
      </c>
    </row>
    <row r="10" spans="1:12">
      <c r="A10">
        <v>7</v>
      </c>
      <c r="B10" t="e">
        <f>VLOOKUP(A10,North!A:C,3,FALSE)</f>
        <v>#N/A</v>
      </c>
      <c r="C10" s="41">
        <f t="shared" si="4"/>
        <v>7</v>
      </c>
      <c r="D10" s="47" t="e">
        <f>VLOOKUP(A10,North!A:B,2,FALSE)</f>
        <v>#N/A</v>
      </c>
      <c r="E10" s="40" t="e">
        <f t="shared" si="0"/>
        <v>#N/A</v>
      </c>
      <c r="F10" s="41">
        <f t="shared" si="1"/>
        <v>2</v>
      </c>
      <c r="G10" s="47" t="e">
        <f t="shared" si="1"/>
        <v>#N/A</v>
      </c>
      <c r="H10" s="38" t="e">
        <f t="shared" si="2"/>
        <v>#N/A</v>
      </c>
      <c r="I10" s="47" t="e">
        <f>VLOOKUP(B10,'North Standings'!$A$2:$C$32,2,FALSE)</f>
        <v>#N/A</v>
      </c>
      <c r="J10" s="48" t="e">
        <f>VLOOKUP(B10,'North Standings'!$A$2:$C$32,3,FALSE)</f>
        <v>#N/A</v>
      </c>
      <c r="L10" t="e">
        <f t="shared" si="3"/>
        <v>#N/A</v>
      </c>
    </row>
    <row r="11" spans="1:12" ht="15.75" thickBot="1">
      <c r="A11">
        <v>8</v>
      </c>
      <c r="B11" t="e">
        <f>VLOOKUP(A11,North!A:C,3,FALSE)</f>
        <v>#N/A</v>
      </c>
      <c r="C11" s="49">
        <f t="shared" si="4"/>
        <v>8</v>
      </c>
      <c r="D11" s="47" t="e">
        <f>VLOOKUP(A11,North!A:B,2,FALSE)</f>
        <v>#N/A</v>
      </c>
      <c r="E11" s="51" t="e">
        <f t="shared" si="0"/>
        <v>#N/A</v>
      </c>
      <c r="F11" s="49">
        <f t="shared" si="1"/>
        <v>2</v>
      </c>
      <c r="G11" s="50" t="e">
        <f t="shared" si="1"/>
        <v>#N/A</v>
      </c>
      <c r="H11" s="52" t="e">
        <f t="shared" si="2"/>
        <v>#N/A</v>
      </c>
      <c r="I11" s="50" t="e">
        <f>VLOOKUP(B11,'North Standings'!$A$2:$C$32,2,FALSE)</f>
        <v>#N/A</v>
      </c>
      <c r="J11" s="53" t="e">
        <f>VLOOKUP(B11,'North Standings'!$A$2:$C$32,3,FALSE)</f>
        <v>#N/A</v>
      </c>
      <c r="L11" t="e">
        <f t="shared" si="3"/>
        <v>#N/A</v>
      </c>
    </row>
    <row r="12" spans="1:12">
      <c r="A12">
        <v>9</v>
      </c>
      <c r="B12" t="e">
        <f>VLOOKUP(A12,North!A:C,3,FALSE)</f>
        <v>#N/A</v>
      </c>
      <c r="C12" s="41">
        <f t="shared" si="4"/>
        <v>9</v>
      </c>
      <c r="D12" s="43" t="e">
        <f>VLOOKUP(A12,North!A:B,2,FALSE)</f>
        <v>#N/A</v>
      </c>
      <c r="E12" s="40" t="e">
        <f t="shared" si="0"/>
        <v>#N/A</v>
      </c>
      <c r="F12" s="41">
        <f t="shared" si="1"/>
        <v>3</v>
      </c>
      <c r="G12" s="47" t="e">
        <f t="shared" si="1"/>
        <v>#N/A</v>
      </c>
      <c r="H12" s="38" t="e">
        <f t="shared" si="2"/>
        <v>#N/A</v>
      </c>
      <c r="I12" s="47" t="e">
        <f>VLOOKUP(B12,'North Standings'!$A$2:$C$32,2,FALSE)</f>
        <v>#N/A</v>
      </c>
      <c r="J12" s="48" t="e">
        <f>VLOOKUP(B12,'North Standings'!$A$2:$C$32,3,FALSE)</f>
        <v>#N/A</v>
      </c>
      <c r="L12" t="e">
        <f t="shared" si="3"/>
        <v>#N/A</v>
      </c>
    </row>
    <row r="13" spans="1:12">
      <c r="A13">
        <v>10</v>
      </c>
      <c r="B13" t="e">
        <f>VLOOKUP(A13,North!A:C,3,FALSE)</f>
        <v>#N/A</v>
      </c>
      <c r="C13" s="41">
        <f t="shared" si="4"/>
        <v>10</v>
      </c>
      <c r="D13" s="47" t="e">
        <f>VLOOKUP(A13,North!A:B,2,FALSE)</f>
        <v>#N/A</v>
      </c>
      <c r="E13" s="40" t="e">
        <f t="shared" si="0"/>
        <v>#N/A</v>
      </c>
      <c r="F13" s="41">
        <f t="shared" si="1"/>
        <v>3</v>
      </c>
      <c r="G13" s="47" t="e">
        <f t="shared" si="1"/>
        <v>#N/A</v>
      </c>
      <c r="H13" s="38" t="e">
        <f t="shared" si="2"/>
        <v>#N/A</v>
      </c>
      <c r="I13" s="47" t="e">
        <f>VLOOKUP(B13,'North Standings'!$A$2:$C$32,2,FALSE)</f>
        <v>#N/A</v>
      </c>
      <c r="J13" s="48" t="e">
        <f>VLOOKUP(B13,'North Standings'!$A$2:$C$32,3,FALSE)</f>
        <v>#N/A</v>
      </c>
      <c r="L13" t="e">
        <f t="shared" si="3"/>
        <v>#N/A</v>
      </c>
    </row>
    <row r="14" spans="1:12">
      <c r="A14">
        <v>11</v>
      </c>
      <c r="B14" t="e">
        <f>VLOOKUP(A14,North!A:C,3,FALSE)</f>
        <v>#N/A</v>
      </c>
      <c r="C14" s="41">
        <f t="shared" si="4"/>
        <v>11</v>
      </c>
      <c r="D14" s="47" t="e">
        <f>VLOOKUP(A14,North!A:B,2,FALSE)</f>
        <v>#N/A</v>
      </c>
      <c r="E14" s="40" t="e">
        <f t="shared" si="0"/>
        <v>#N/A</v>
      </c>
      <c r="F14" s="41">
        <f t="shared" si="1"/>
        <v>3</v>
      </c>
      <c r="G14" s="47" t="e">
        <f t="shared" si="1"/>
        <v>#N/A</v>
      </c>
      <c r="H14" s="38" t="e">
        <f t="shared" si="2"/>
        <v>#N/A</v>
      </c>
      <c r="I14" s="47" t="e">
        <f>VLOOKUP(B14,'North Standings'!$A$2:$C$32,2,FALSE)</f>
        <v>#N/A</v>
      </c>
      <c r="J14" s="48" t="e">
        <f>VLOOKUP(B14,'North Standings'!$A$2:$C$32,3,FALSE)</f>
        <v>#N/A</v>
      </c>
      <c r="L14" t="e">
        <f t="shared" si="3"/>
        <v>#N/A</v>
      </c>
    </row>
    <row r="15" spans="1:12" ht="15.75" thickBot="1">
      <c r="A15">
        <v>12</v>
      </c>
      <c r="B15" t="e">
        <f>VLOOKUP(A15,North!A:C,3,FALSE)</f>
        <v>#N/A</v>
      </c>
      <c r="C15" s="41">
        <f t="shared" si="4"/>
        <v>12</v>
      </c>
      <c r="D15" s="47" t="e">
        <f>VLOOKUP(A15,North!A:B,2,FALSE)</f>
        <v>#N/A</v>
      </c>
      <c r="E15" s="40" t="e">
        <f t="shared" si="0"/>
        <v>#N/A</v>
      </c>
      <c r="F15" s="41">
        <f t="shared" si="1"/>
        <v>3</v>
      </c>
      <c r="G15" s="47" t="e">
        <f t="shared" si="1"/>
        <v>#N/A</v>
      </c>
      <c r="H15" s="38" t="e">
        <f t="shared" si="2"/>
        <v>#N/A</v>
      </c>
      <c r="I15" s="47" t="e">
        <f>VLOOKUP(B15,'North Standings'!$A$2:$C$32,2,FALSE)</f>
        <v>#N/A</v>
      </c>
      <c r="J15" s="48" t="e">
        <f>VLOOKUP(B15,'North Standings'!$A$2:$C$32,3,FALSE)</f>
        <v>#N/A</v>
      </c>
      <c r="L15" t="e">
        <f t="shared" si="3"/>
        <v>#N/A</v>
      </c>
    </row>
    <row r="16" spans="1:12">
      <c r="A16">
        <v>13</v>
      </c>
      <c r="B16" t="e">
        <f>VLOOKUP(A16,North!A:C,3,FALSE)</f>
        <v>#N/A</v>
      </c>
      <c r="C16" s="42">
        <f t="shared" si="4"/>
        <v>13</v>
      </c>
      <c r="D16" s="43" t="e">
        <f>VLOOKUP(A16,North!A:B,2,FALSE)</f>
        <v>#N/A</v>
      </c>
      <c r="E16" s="44" t="e">
        <f t="shared" si="0"/>
        <v>#N/A</v>
      </c>
      <c r="F16" s="42">
        <f t="shared" si="1"/>
        <v>4</v>
      </c>
      <c r="G16" s="43" t="e">
        <f t="shared" si="1"/>
        <v>#N/A</v>
      </c>
      <c r="H16" s="45" t="e">
        <f t="shared" si="2"/>
        <v>#N/A</v>
      </c>
      <c r="I16" s="43" t="e">
        <f>VLOOKUP(B16,'North Standings'!$A$2:$C$32,2,FALSE)</f>
        <v>#N/A</v>
      </c>
      <c r="J16" s="46" t="e">
        <f>VLOOKUP(B16,'North Standings'!$A$2:$C$32,3,FALSE)</f>
        <v>#N/A</v>
      </c>
      <c r="L16" t="e">
        <f t="shared" si="3"/>
        <v>#N/A</v>
      </c>
    </row>
    <row r="17" spans="1:12">
      <c r="A17">
        <v>14</v>
      </c>
      <c r="B17" t="e">
        <f>VLOOKUP(A17,North!A:C,3,FALSE)</f>
        <v>#N/A</v>
      </c>
      <c r="C17" s="41">
        <f t="shared" si="4"/>
        <v>14</v>
      </c>
      <c r="D17" s="47" t="e">
        <f>VLOOKUP(A17,North!A:B,2,FALSE)</f>
        <v>#N/A</v>
      </c>
      <c r="E17" s="40" t="e">
        <f t="shared" si="0"/>
        <v>#N/A</v>
      </c>
      <c r="F17" s="41">
        <f t="shared" si="1"/>
        <v>4</v>
      </c>
      <c r="G17" s="47" t="e">
        <f t="shared" si="1"/>
        <v>#N/A</v>
      </c>
      <c r="H17" s="38" t="e">
        <f t="shared" si="2"/>
        <v>#N/A</v>
      </c>
      <c r="I17" s="47" t="e">
        <f>VLOOKUP(B17,'North Standings'!$A$2:$C$32,2,FALSE)</f>
        <v>#N/A</v>
      </c>
      <c r="J17" s="48" t="e">
        <f>VLOOKUP(B17,'North Standings'!$A$2:$C$32,3,FALSE)</f>
        <v>#N/A</v>
      </c>
      <c r="L17" t="e">
        <f t="shared" si="3"/>
        <v>#N/A</v>
      </c>
    </row>
    <row r="18" spans="1:12">
      <c r="A18">
        <v>15</v>
      </c>
      <c r="B18" t="e">
        <f>VLOOKUP(A18,North!A:C,3,FALSE)</f>
        <v>#N/A</v>
      </c>
      <c r="C18" s="41">
        <f t="shared" si="4"/>
        <v>15</v>
      </c>
      <c r="D18" s="47" t="e">
        <f>VLOOKUP(A18,North!A:B,2,FALSE)</f>
        <v>#N/A</v>
      </c>
      <c r="E18" s="40" t="e">
        <f t="shared" si="0"/>
        <v>#N/A</v>
      </c>
      <c r="F18" s="41">
        <f t="shared" si="1"/>
        <v>4</v>
      </c>
      <c r="G18" s="47" t="e">
        <f t="shared" si="1"/>
        <v>#N/A</v>
      </c>
      <c r="H18" s="38" t="e">
        <f t="shared" si="2"/>
        <v>#N/A</v>
      </c>
      <c r="I18" s="47" t="e">
        <f>VLOOKUP(B18,'North Standings'!$A$2:$C$32,2,FALSE)</f>
        <v>#N/A</v>
      </c>
      <c r="J18" s="48" t="e">
        <f>VLOOKUP(B18,'North Standings'!$A$2:$C$32,3,FALSE)</f>
        <v>#N/A</v>
      </c>
      <c r="L18" t="e">
        <f t="shared" si="3"/>
        <v>#N/A</v>
      </c>
    </row>
    <row r="19" spans="1:12" ht="15.75" thickBot="1">
      <c r="A19">
        <v>16</v>
      </c>
      <c r="B19" t="e">
        <f>VLOOKUP(A19,North!A:C,3,FALSE)</f>
        <v>#N/A</v>
      </c>
      <c r="C19" s="49">
        <f t="shared" si="4"/>
        <v>16</v>
      </c>
      <c r="D19" s="47" t="e">
        <f>VLOOKUP(A19,North!A:B,2,FALSE)</f>
        <v>#N/A</v>
      </c>
      <c r="E19" s="51" t="e">
        <f t="shared" si="0"/>
        <v>#N/A</v>
      </c>
      <c r="F19" s="49">
        <f t="shared" si="1"/>
        <v>4</v>
      </c>
      <c r="G19" s="50" t="e">
        <f t="shared" si="1"/>
        <v>#N/A</v>
      </c>
      <c r="H19" s="52" t="e">
        <f t="shared" si="2"/>
        <v>#N/A</v>
      </c>
      <c r="I19" s="50" t="e">
        <f>VLOOKUP(B19,'North Standings'!$A$2:$C$32,2,FALSE)</f>
        <v>#N/A</v>
      </c>
      <c r="J19" s="53" t="e">
        <f>VLOOKUP(B19,'North Standings'!$A$2:$C$32,3,FALSE)</f>
        <v>#N/A</v>
      </c>
      <c r="L19" t="e">
        <f t="shared" si="3"/>
        <v>#N/A</v>
      </c>
    </row>
    <row r="20" spans="1:12">
      <c r="A20">
        <v>17</v>
      </c>
      <c r="B20" t="e">
        <f>VLOOKUP(A20,North!A:C,3,FALSE)</f>
        <v>#N/A</v>
      </c>
      <c r="C20" s="41">
        <f t="shared" si="4"/>
        <v>17</v>
      </c>
      <c r="D20" s="43" t="e">
        <f>VLOOKUP(A20,North!A:B,2,FALSE)</f>
        <v>#N/A</v>
      </c>
      <c r="E20" s="40" t="e">
        <f t="shared" si="0"/>
        <v>#N/A</v>
      </c>
      <c r="F20" s="41">
        <f t="shared" si="1"/>
        <v>5</v>
      </c>
      <c r="G20" s="47" t="e">
        <f t="shared" si="1"/>
        <v>#N/A</v>
      </c>
      <c r="H20" s="38" t="e">
        <f t="shared" si="2"/>
        <v>#N/A</v>
      </c>
      <c r="I20" s="47" t="e">
        <f>VLOOKUP(B20,'North Standings'!$A$2:$C$32,2,FALSE)</f>
        <v>#N/A</v>
      </c>
      <c r="J20" s="48" t="e">
        <f>VLOOKUP(B20,'North Standings'!$A$2:$C$32,3,FALSE)</f>
        <v>#N/A</v>
      </c>
      <c r="L20" t="e">
        <f t="shared" si="3"/>
        <v>#N/A</v>
      </c>
    </row>
    <row r="21" spans="1:12">
      <c r="A21">
        <v>18</v>
      </c>
      <c r="B21" t="e">
        <f>VLOOKUP(A21,North!A:C,3,FALSE)</f>
        <v>#N/A</v>
      </c>
      <c r="C21" s="41">
        <f t="shared" si="4"/>
        <v>18</v>
      </c>
      <c r="D21" s="47" t="e">
        <f>VLOOKUP(A21,North!A:B,2,FALSE)</f>
        <v>#N/A</v>
      </c>
      <c r="E21" s="40" t="e">
        <f t="shared" si="0"/>
        <v>#N/A</v>
      </c>
      <c r="F21" s="41">
        <f t="shared" si="1"/>
        <v>5</v>
      </c>
      <c r="G21" s="47" t="e">
        <f t="shared" si="1"/>
        <v>#N/A</v>
      </c>
      <c r="H21" s="38" t="e">
        <f t="shared" si="2"/>
        <v>#N/A</v>
      </c>
      <c r="I21" s="47" t="e">
        <f>VLOOKUP(B21,'North Standings'!$A$2:$C$32,2,FALSE)</f>
        <v>#N/A</v>
      </c>
      <c r="J21" s="48" t="e">
        <f>VLOOKUP(B21,'North Standings'!$A$2:$C$32,3,FALSE)</f>
        <v>#N/A</v>
      </c>
      <c r="L21" t="e">
        <f t="shared" si="3"/>
        <v>#N/A</v>
      </c>
    </row>
    <row r="22" spans="1:12">
      <c r="A22">
        <v>19</v>
      </c>
      <c r="B22" t="e">
        <f>VLOOKUP(A22,North!A:C,3,FALSE)</f>
        <v>#N/A</v>
      </c>
      <c r="C22" s="41">
        <f t="shared" si="4"/>
        <v>19</v>
      </c>
      <c r="D22" s="47" t="e">
        <f>VLOOKUP(A22,North!A:B,2,FALSE)</f>
        <v>#N/A</v>
      </c>
      <c r="E22" s="40" t="e">
        <f t="shared" si="0"/>
        <v>#N/A</v>
      </c>
      <c r="F22" s="41">
        <f t="shared" si="1"/>
        <v>5</v>
      </c>
      <c r="G22" s="47" t="e">
        <f t="shared" si="1"/>
        <v>#N/A</v>
      </c>
      <c r="H22" s="38" t="e">
        <f t="shared" si="2"/>
        <v>#N/A</v>
      </c>
      <c r="I22" s="47" t="e">
        <f>VLOOKUP(B22,'North Standings'!$A$2:$C$32,2,FALSE)</f>
        <v>#N/A</v>
      </c>
      <c r="J22" s="48" t="e">
        <f>VLOOKUP(B22,'North Standings'!$A$2:$C$32,3,FALSE)</f>
        <v>#N/A</v>
      </c>
      <c r="L22" t="e">
        <f t="shared" si="3"/>
        <v>#N/A</v>
      </c>
    </row>
    <row r="23" spans="1:12" ht="15.75" thickBot="1">
      <c r="A23">
        <v>20</v>
      </c>
      <c r="B23" t="e">
        <f>VLOOKUP(A23,North!A:C,3,FALSE)</f>
        <v>#N/A</v>
      </c>
      <c r="C23" s="41">
        <f t="shared" si="4"/>
        <v>20</v>
      </c>
      <c r="D23" s="47" t="e">
        <f>VLOOKUP(A23,North!A:B,2,FALSE)</f>
        <v>#N/A</v>
      </c>
      <c r="E23" s="40" t="e">
        <f t="shared" si="0"/>
        <v>#N/A</v>
      </c>
      <c r="F23" s="41">
        <f t="shared" si="1"/>
        <v>5</v>
      </c>
      <c r="G23" s="47" t="e">
        <f t="shared" si="1"/>
        <v>#N/A</v>
      </c>
      <c r="H23" s="38" t="e">
        <f t="shared" si="2"/>
        <v>#N/A</v>
      </c>
      <c r="I23" s="47" t="e">
        <f>VLOOKUP(B23,'North Standings'!$A$2:$C$32,2,FALSE)</f>
        <v>#N/A</v>
      </c>
      <c r="J23" s="48" t="e">
        <f>VLOOKUP(B23,'North Standings'!$A$2:$C$32,3,FALSE)</f>
        <v>#N/A</v>
      </c>
      <c r="L23" t="e">
        <f t="shared" si="3"/>
        <v>#N/A</v>
      </c>
    </row>
    <row r="24" spans="1:12">
      <c r="A24">
        <v>21</v>
      </c>
      <c r="B24" t="e">
        <f>VLOOKUP(A24,North!A:C,3,FALSE)</f>
        <v>#N/A</v>
      </c>
      <c r="C24" s="42">
        <f t="shared" si="4"/>
        <v>21</v>
      </c>
      <c r="D24" s="43" t="e">
        <f>VLOOKUP(A24,North!A:B,2,FALSE)</f>
        <v>#N/A</v>
      </c>
      <c r="E24" s="44" t="e">
        <f t="shared" si="0"/>
        <v>#N/A</v>
      </c>
      <c r="F24" s="42">
        <f t="shared" si="1"/>
        <v>6</v>
      </c>
      <c r="G24" s="43" t="e">
        <f t="shared" si="1"/>
        <v>#N/A</v>
      </c>
      <c r="H24" s="45" t="e">
        <f t="shared" si="2"/>
        <v>#N/A</v>
      </c>
      <c r="I24" s="43" t="e">
        <f>VLOOKUP(B24,'North Standings'!$A$2:$C$32,2,FALSE)</f>
        <v>#N/A</v>
      </c>
      <c r="J24" s="46" t="e">
        <f>VLOOKUP(B24,'North Standings'!$A$2:$C$32,3,FALSE)</f>
        <v>#N/A</v>
      </c>
      <c r="L24" t="e">
        <f t="shared" si="3"/>
        <v>#N/A</v>
      </c>
    </row>
    <row r="25" spans="1:12">
      <c r="A25">
        <v>22</v>
      </c>
      <c r="B25" t="e">
        <f>VLOOKUP(A25,North!A:C,3,FALSE)</f>
        <v>#N/A</v>
      </c>
      <c r="C25" s="41">
        <f t="shared" si="4"/>
        <v>22</v>
      </c>
      <c r="D25" s="47" t="e">
        <f>VLOOKUP(A25,North!A:B,2,FALSE)</f>
        <v>#N/A</v>
      </c>
      <c r="E25" s="40" t="e">
        <f t="shared" si="0"/>
        <v>#N/A</v>
      </c>
      <c r="F25" s="41">
        <f t="shared" si="1"/>
        <v>6</v>
      </c>
      <c r="G25" s="47" t="e">
        <f t="shared" si="1"/>
        <v>#N/A</v>
      </c>
      <c r="H25" s="38" t="e">
        <f t="shared" si="2"/>
        <v>#N/A</v>
      </c>
      <c r="I25" s="47" t="e">
        <f>VLOOKUP(B25,'North Standings'!$A$2:$C$32,2,FALSE)</f>
        <v>#N/A</v>
      </c>
      <c r="J25" s="48" t="e">
        <f>VLOOKUP(B25,'North Standings'!$A$2:$C$32,3,FALSE)</f>
        <v>#N/A</v>
      </c>
      <c r="L25" t="e">
        <f t="shared" si="3"/>
        <v>#N/A</v>
      </c>
    </row>
    <row r="26" spans="1:12">
      <c r="A26">
        <v>23</v>
      </c>
      <c r="B26" t="e">
        <f>VLOOKUP(A26,North!A:C,3,FALSE)</f>
        <v>#N/A</v>
      </c>
      <c r="C26" s="41">
        <f t="shared" si="4"/>
        <v>23</v>
      </c>
      <c r="D26" s="47" t="e">
        <f>VLOOKUP(A26,North!A:B,2,FALSE)</f>
        <v>#N/A</v>
      </c>
      <c r="E26" s="40" t="e">
        <f t="shared" si="0"/>
        <v>#N/A</v>
      </c>
      <c r="F26" s="41">
        <f t="shared" si="1"/>
        <v>6</v>
      </c>
      <c r="G26" s="47" t="e">
        <f t="shared" si="1"/>
        <v>#N/A</v>
      </c>
      <c r="H26" s="38" t="e">
        <f t="shared" si="2"/>
        <v>#N/A</v>
      </c>
      <c r="I26" s="47" t="e">
        <f>VLOOKUP(B26,'North Standings'!$A$2:$C$32,2,FALSE)</f>
        <v>#N/A</v>
      </c>
      <c r="J26" s="48" t="e">
        <f>VLOOKUP(B26,'North Standings'!$A$2:$C$32,3,FALSE)</f>
        <v>#N/A</v>
      </c>
      <c r="L26" t="e">
        <f t="shared" si="3"/>
        <v>#N/A</v>
      </c>
    </row>
    <row r="27" spans="1:12" ht="15.75" thickBot="1">
      <c r="A27">
        <v>24</v>
      </c>
      <c r="B27" t="e">
        <f>VLOOKUP(A27,North!A:C,3,FALSE)</f>
        <v>#N/A</v>
      </c>
      <c r="C27" s="49">
        <f t="shared" si="4"/>
        <v>24</v>
      </c>
      <c r="D27" s="47" t="e">
        <f>VLOOKUP(A27,North!A:B,2,FALSE)</f>
        <v>#N/A</v>
      </c>
      <c r="E27" s="51" t="e">
        <f t="shared" si="0"/>
        <v>#N/A</v>
      </c>
      <c r="F27" s="49">
        <f t="shared" si="1"/>
        <v>6</v>
      </c>
      <c r="G27" s="50" t="e">
        <f t="shared" si="1"/>
        <v>#N/A</v>
      </c>
      <c r="H27" s="52" t="e">
        <f t="shared" si="2"/>
        <v>#N/A</v>
      </c>
      <c r="I27" s="50" t="e">
        <f>VLOOKUP(B27,'North Standings'!$A$2:$C$32,2,FALSE)</f>
        <v>#N/A</v>
      </c>
      <c r="J27" s="53" t="e">
        <f>VLOOKUP(B27,'North Standings'!$A$2:$C$32,3,FALSE)</f>
        <v>#N/A</v>
      </c>
      <c r="L27" t="e">
        <f t="shared" si="3"/>
        <v>#N/A</v>
      </c>
    </row>
    <row r="28" spans="1:12">
      <c r="A28">
        <v>25</v>
      </c>
      <c r="B28" t="e">
        <f>VLOOKUP(A28,North!A:C,3,FALSE)</f>
        <v>#N/A</v>
      </c>
      <c r="C28" s="41">
        <f t="shared" si="4"/>
        <v>25</v>
      </c>
      <c r="D28" s="43" t="e">
        <f>VLOOKUP(A28,North!A:B,2,FALSE)</f>
        <v>#N/A</v>
      </c>
      <c r="E28" s="40" t="e">
        <f t="shared" si="0"/>
        <v>#N/A</v>
      </c>
      <c r="F28" s="41">
        <f t="shared" si="1"/>
        <v>7</v>
      </c>
      <c r="G28" s="47" t="e">
        <f t="shared" si="1"/>
        <v>#N/A</v>
      </c>
      <c r="H28" s="38" t="e">
        <f t="shared" si="2"/>
        <v>#N/A</v>
      </c>
      <c r="I28" s="47" t="e">
        <f>VLOOKUP(B28,'North Standings'!$A$2:$C$32,2,FALSE)</f>
        <v>#N/A</v>
      </c>
      <c r="J28" s="48" t="e">
        <f>VLOOKUP(B28,'North Standings'!$A$2:$C$32,3,FALSE)</f>
        <v>#N/A</v>
      </c>
      <c r="L28" t="e">
        <f t="shared" si="3"/>
        <v>#N/A</v>
      </c>
    </row>
    <row r="29" spans="1:12">
      <c r="A29">
        <v>26</v>
      </c>
      <c r="B29" t="e">
        <f>VLOOKUP(A29,North!A:C,3,FALSE)</f>
        <v>#N/A</v>
      </c>
      <c r="C29" s="41">
        <f t="shared" si="4"/>
        <v>26</v>
      </c>
      <c r="D29" s="47" t="e">
        <f>VLOOKUP(A29,North!A:B,2,FALSE)</f>
        <v>#N/A</v>
      </c>
      <c r="E29" s="40" t="e">
        <f t="shared" si="0"/>
        <v>#N/A</v>
      </c>
      <c r="F29" s="41">
        <f t="shared" si="1"/>
        <v>7</v>
      </c>
      <c r="G29" s="47" t="e">
        <f t="shared" si="1"/>
        <v>#N/A</v>
      </c>
      <c r="H29" s="38" t="e">
        <f t="shared" si="2"/>
        <v>#N/A</v>
      </c>
      <c r="I29" s="47" t="e">
        <f>VLOOKUP(B29,'North Standings'!$A$2:$C$32,2,FALSE)</f>
        <v>#N/A</v>
      </c>
      <c r="J29" s="48" t="e">
        <f>VLOOKUP(B29,'North Standings'!$A$2:$C$32,3,FALSE)</f>
        <v>#N/A</v>
      </c>
      <c r="L29" t="e">
        <f t="shared" si="3"/>
        <v>#N/A</v>
      </c>
    </row>
    <row r="30" spans="1:12">
      <c r="A30">
        <v>27</v>
      </c>
      <c r="B30" t="e">
        <f>VLOOKUP(A30,North!A:C,3,FALSE)</f>
        <v>#N/A</v>
      </c>
      <c r="C30" s="41">
        <f t="shared" si="4"/>
        <v>27</v>
      </c>
      <c r="D30" s="47" t="e">
        <f>VLOOKUP(A30,North!A:B,2,FALSE)</f>
        <v>#N/A</v>
      </c>
      <c r="E30" s="40" t="e">
        <f t="shared" si="0"/>
        <v>#N/A</v>
      </c>
      <c r="F30" s="41">
        <f t="shared" si="1"/>
        <v>7</v>
      </c>
      <c r="G30" s="47" t="e">
        <f t="shared" si="1"/>
        <v>#N/A</v>
      </c>
      <c r="H30" s="38" t="e">
        <f t="shared" si="2"/>
        <v>#N/A</v>
      </c>
      <c r="I30" s="47" t="e">
        <f>VLOOKUP(B30,'North Standings'!$A$2:$C$32,2,FALSE)</f>
        <v>#N/A</v>
      </c>
      <c r="J30" s="48" t="e">
        <f>VLOOKUP(B30,'North Standings'!$A$2:$C$32,3,FALSE)</f>
        <v>#N/A</v>
      </c>
      <c r="L30" t="e">
        <f t="shared" si="3"/>
        <v>#N/A</v>
      </c>
    </row>
    <row r="31" spans="1:12" ht="15.75" thickBot="1">
      <c r="A31">
        <v>28</v>
      </c>
      <c r="B31" t="e">
        <f>VLOOKUP(A31,North!A:C,3,FALSE)</f>
        <v>#N/A</v>
      </c>
      <c r="C31" s="41">
        <f t="shared" si="4"/>
        <v>28</v>
      </c>
      <c r="D31" s="47" t="e">
        <f>VLOOKUP(A31,North!A:B,2,FALSE)</f>
        <v>#N/A</v>
      </c>
      <c r="E31" s="40" t="e">
        <f t="shared" si="0"/>
        <v>#N/A</v>
      </c>
      <c r="F31" s="41">
        <f t="shared" si="1"/>
        <v>7</v>
      </c>
      <c r="G31" s="47" t="e">
        <f t="shared" si="1"/>
        <v>#N/A</v>
      </c>
      <c r="H31" s="38" t="e">
        <f t="shared" si="2"/>
        <v>#N/A</v>
      </c>
      <c r="I31" s="47" t="e">
        <f>VLOOKUP(B31,'North Standings'!$A$2:$C$32,2,FALSE)</f>
        <v>#N/A</v>
      </c>
      <c r="J31" s="48" t="e">
        <f>VLOOKUP(B31,'North Standings'!$A$2:$C$32,3,FALSE)</f>
        <v>#N/A</v>
      </c>
      <c r="L31" t="e">
        <f t="shared" si="3"/>
        <v>#N/A</v>
      </c>
    </row>
    <row r="32" spans="1:12">
      <c r="A32">
        <v>29</v>
      </c>
      <c r="B32" t="e">
        <f>VLOOKUP(A32,North!A:C,3,FALSE)</f>
        <v>#N/A</v>
      </c>
      <c r="C32" s="42">
        <f t="shared" si="4"/>
        <v>29</v>
      </c>
      <c r="D32" s="43" t="e">
        <f>VLOOKUP(A32,North!A:B,2,FALSE)</f>
        <v>#N/A</v>
      </c>
      <c r="E32" s="44" t="e">
        <f t="shared" si="0"/>
        <v>#N/A</v>
      </c>
      <c r="F32" s="42">
        <f t="shared" si="1"/>
        <v>8</v>
      </c>
      <c r="G32" s="43" t="e">
        <f t="shared" si="1"/>
        <v>#N/A</v>
      </c>
      <c r="H32" s="45" t="e">
        <f t="shared" si="2"/>
        <v>#N/A</v>
      </c>
      <c r="I32" s="43" t="e">
        <f>VLOOKUP(B32,'North Standings'!$A$2:$C$32,2,FALSE)</f>
        <v>#N/A</v>
      </c>
      <c r="J32" s="46" t="e">
        <f>VLOOKUP(B32,'North Standings'!$A$2:$C$32,3,FALSE)</f>
        <v>#N/A</v>
      </c>
      <c r="L32" t="e">
        <f t="shared" si="3"/>
        <v>#N/A</v>
      </c>
    </row>
    <row r="33" spans="1:12">
      <c r="A33">
        <v>30</v>
      </c>
      <c r="B33" t="e">
        <f>VLOOKUP(A33,North!A:C,3,FALSE)</f>
        <v>#N/A</v>
      </c>
      <c r="C33" s="41">
        <f t="shared" si="4"/>
        <v>30</v>
      </c>
      <c r="D33" s="47" t="e">
        <f>VLOOKUP(A33,North!A:B,2,FALSE)</f>
        <v>#N/A</v>
      </c>
      <c r="E33" s="40" t="e">
        <f t="shared" si="0"/>
        <v>#N/A</v>
      </c>
      <c r="F33" s="41">
        <f t="shared" si="1"/>
        <v>8</v>
      </c>
      <c r="G33" s="47" t="e">
        <f t="shared" si="1"/>
        <v>#N/A</v>
      </c>
      <c r="H33" s="38" t="e">
        <f t="shared" si="2"/>
        <v>#N/A</v>
      </c>
      <c r="I33" s="47" t="e">
        <f>VLOOKUP(B33,'North Standings'!$A$2:$C$32,2,FALSE)</f>
        <v>#N/A</v>
      </c>
      <c r="J33" s="48" t="e">
        <f>VLOOKUP(B33,'North Standings'!$A$2:$C$32,3,FALSE)</f>
        <v>#N/A</v>
      </c>
      <c r="L33" t="e">
        <f t="shared" si="3"/>
        <v>#N/A</v>
      </c>
    </row>
    <row r="34" spans="1:12">
      <c r="A34">
        <v>31</v>
      </c>
      <c r="B34" t="e">
        <f>VLOOKUP(A34,North!A:C,3,FALSE)</f>
        <v>#N/A</v>
      </c>
      <c r="C34" s="41">
        <f t="shared" si="4"/>
        <v>31</v>
      </c>
      <c r="D34" s="47" t="e">
        <f>VLOOKUP(A34,North!A:B,2,FALSE)</f>
        <v>#N/A</v>
      </c>
      <c r="E34" s="40" t="e">
        <f t="shared" si="0"/>
        <v>#N/A</v>
      </c>
      <c r="F34" s="41">
        <f t="shared" si="1"/>
        <v>8</v>
      </c>
      <c r="G34" s="47" t="e">
        <f t="shared" si="1"/>
        <v>#N/A</v>
      </c>
      <c r="H34" s="38" t="e">
        <f t="shared" si="2"/>
        <v>#N/A</v>
      </c>
      <c r="I34" s="47" t="e">
        <f>VLOOKUP(B34,'North Standings'!$A$2:$C$32,2,FALSE)</f>
        <v>#N/A</v>
      </c>
      <c r="J34" s="48" t="e">
        <f>VLOOKUP(B34,'North Standings'!$A$2:$C$32,3,FALSE)</f>
        <v>#N/A</v>
      </c>
      <c r="L34" t="e">
        <f t="shared" si="3"/>
        <v>#N/A</v>
      </c>
    </row>
    <row r="35" spans="1:12" ht="15.75" thickBot="1">
      <c r="A35">
        <v>32</v>
      </c>
      <c r="B35" t="e">
        <f>VLOOKUP(A35,North!A:C,3,FALSE)</f>
        <v>#N/A</v>
      </c>
      <c r="C35" s="49">
        <f t="shared" si="4"/>
        <v>32</v>
      </c>
      <c r="D35" s="47" t="e">
        <f>VLOOKUP(A35,North!A:B,2,FALSE)</f>
        <v>#N/A</v>
      </c>
      <c r="E35" s="51" t="e">
        <f t="shared" si="0"/>
        <v>#N/A</v>
      </c>
      <c r="F35" s="49">
        <f t="shared" si="1"/>
        <v>8</v>
      </c>
      <c r="G35" s="50" t="e">
        <f t="shared" si="1"/>
        <v>#N/A</v>
      </c>
      <c r="H35" s="52" t="e">
        <f t="shared" si="2"/>
        <v>#N/A</v>
      </c>
      <c r="I35" s="50" t="e">
        <f>VLOOKUP(B35,'North Standings'!$A$2:$C$32,2,FALSE)</f>
        <v>#N/A</v>
      </c>
      <c r="J35" s="53" t="e">
        <f>VLOOKUP(B35,'North Standings'!$A$2:$C$32,3,FALSE)</f>
        <v>#N/A</v>
      </c>
      <c r="L35" t="e">
        <f t="shared" si="3"/>
        <v>#N/A</v>
      </c>
    </row>
    <row r="36" spans="1:12">
      <c r="A36">
        <v>33</v>
      </c>
      <c r="B36" t="e">
        <f>VLOOKUP(A36,North!A:C,3,FALSE)</f>
        <v>#N/A</v>
      </c>
      <c r="C36" s="42">
        <f t="shared" si="4"/>
        <v>33</v>
      </c>
      <c r="D36" s="43" t="e">
        <f>VLOOKUP(A36,North!A:B,2,FALSE)</f>
        <v>#N/A</v>
      </c>
      <c r="E36" s="44" t="e">
        <f t="shared" si="0"/>
        <v>#N/A</v>
      </c>
      <c r="F36" s="42">
        <f t="shared" si="1"/>
        <v>9</v>
      </c>
      <c r="G36" s="43" t="e">
        <f t="shared" si="1"/>
        <v>#N/A</v>
      </c>
      <c r="H36" s="45" t="e">
        <f t="shared" si="2"/>
        <v>#N/A</v>
      </c>
      <c r="I36" s="43" t="e">
        <f>VLOOKUP(B36,'North Standings'!$A$2:$C$32,2,FALSE)</f>
        <v>#N/A</v>
      </c>
      <c r="J36" s="46" t="e">
        <f>VLOOKUP(B36,'North Standings'!$A$2:$C$32,3,FALSE)</f>
        <v>#N/A</v>
      </c>
      <c r="L36" t="e">
        <f t="shared" si="3"/>
        <v>#N/A</v>
      </c>
    </row>
    <row r="37" spans="1:12">
      <c r="A37">
        <v>34</v>
      </c>
      <c r="B37" t="e">
        <f>VLOOKUP(A37,North!A:C,3,FALSE)</f>
        <v>#N/A</v>
      </c>
      <c r="C37" s="41">
        <f t="shared" si="4"/>
        <v>34</v>
      </c>
      <c r="D37" s="47" t="e">
        <f>VLOOKUP(A37,North!A:B,2,FALSE)</f>
        <v>#N/A</v>
      </c>
      <c r="E37" s="40" t="e">
        <f t="shared" si="0"/>
        <v>#N/A</v>
      </c>
      <c r="F37" s="41">
        <f t="shared" si="1"/>
        <v>9</v>
      </c>
      <c r="G37" s="47" t="e">
        <f t="shared" si="1"/>
        <v>#N/A</v>
      </c>
      <c r="H37" s="38" t="e">
        <f t="shared" si="2"/>
        <v>#N/A</v>
      </c>
      <c r="I37" s="47" t="e">
        <f>VLOOKUP(B37,'North Standings'!$A$2:$C$32,2,FALSE)</f>
        <v>#N/A</v>
      </c>
      <c r="J37" s="48" t="e">
        <f>VLOOKUP(B37,'North Standings'!$A$2:$C$32,3,FALSE)</f>
        <v>#N/A</v>
      </c>
      <c r="L37" t="e">
        <f t="shared" si="3"/>
        <v>#N/A</v>
      </c>
    </row>
    <row r="38" spans="1:12" ht="15.75" thickBot="1">
      <c r="A38">
        <v>35</v>
      </c>
      <c r="B38" t="e">
        <f>VLOOKUP(A38,North!A:C,3,FALSE)</f>
        <v>#N/A</v>
      </c>
      <c r="C38" s="49">
        <f t="shared" si="4"/>
        <v>35</v>
      </c>
      <c r="D38" s="50" t="e">
        <f>VLOOKUP(A38,North!A:B,2,FALSE)</f>
        <v>#N/A</v>
      </c>
      <c r="E38" s="51" t="e">
        <f t="shared" si="0"/>
        <v>#N/A</v>
      </c>
      <c r="F38" s="49">
        <f t="shared" si="1"/>
        <v>9</v>
      </c>
      <c r="G38" s="50" t="e">
        <f t="shared" si="1"/>
        <v>#N/A</v>
      </c>
      <c r="H38" s="52" t="e">
        <f t="shared" si="2"/>
        <v>#N/A</v>
      </c>
      <c r="I38" s="50" t="e">
        <f>VLOOKUP(B38,'North Standings'!$A$2:$C$32,2,FALSE)</f>
        <v>#N/A</v>
      </c>
      <c r="J38" s="53" t="e">
        <f>VLOOKUP(B38,'North Standings'!$A$2:$C$32,3,FALSE)</f>
        <v>#N/A</v>
      </c>
      <c r="L38" t="e">
        <f t="shared" si="3"/>
        <v>#N/A</v>
      </c>
    </row>
    <row r="39" spans="1:12">
      <c r="A39">
        <v>36</v>
      </c>
      <c r="B39" t="e">
        <f>VLOOKUP(A39,North!A:C,3,FALSE)</f>
        <v>#N/A</v>
      </c>
      <c r="C39" s="41">
        <f t="shared" si="4"/>
        <v>36</v>
      </c>
      <c r="D39" s="47" t="e">
        <f>VLOOKUP(A39,North!A:B,2,FALSE)</f>
        <v>#N/A</v>
      </c>
      <c r="E39" s="40" t="e">
        <f t="shared" si="0"/>
        <v>#N/A</v>
      </c>
      <c r="F39" s="41">
        <v>10</v>
      </c>
      <c r="G39" s="47">
        <v>10</v>
      </c>
      <c r="H39" s="38" t="str">
        <f t="shared" si="2"/>
        <v>Same</v>
      </c>
      <c r="I39" s="47" t="e">
        <f>VLOOKUP(B39,'North Standings'!$A$2:$C$32,2,FALSE)</f>
        <v>#N/A</v>
      </c>
      <c r="J39" s="48" t="e">
        <f>VLOOKUP(B39,'North Standings'!$A$2:$C$32,3,FALSE)</f>
        <v>#N/A</v>
      </c>
      <c r="L39" t="e">
        <f t="shared" si="3"/>
        <v>#N/A</v>
      </c>
    </row>
    <row r="40" spans="1:12">
      <c r="A40">
        <v>37</v>
      </c>
      <c r="B40" t="e">
        <f>VLOOKUP(A40,North!A:C,3,FALSE)</f>
        <v>#N/A</v>
      </c>
      <c r="C40" s="41">
        <f t="shared" si="4"/>
        <v>37</v>
      </c>
      <c r="D40" s="47" t="e">
        <f>VLOOKUP(A40,North!A:B,2,FALSE)</f>
        <v>#N/A</v>
      </c>
      <c r="E40" s="40" t="e">
        <f t="shared" si="0"/>
        <v>#N/A</v>
      </c>
      <c r="F40" s="41">
        <v>10</v>
      </c>
      <c r="G40" s="47">
        <v>10</v>
      </c>
      <c r="H40" s="38" t="str">
        <f t="shared" si="2"/>
        <v>Same</v>
      </c>
      <c r="I40" s="47" t="e">
        <f>VLOOKUP(B40,'North Standings'!$A$2:$C$32,2,FALSE)</f>
        <v>#N/A</v>
      </c>
      <c r="J40" s="48" t="e">
        <f>VLOOKUP(B40,'North Standings'!$A$2:$C$32,3,FALSE)</f>
        <v>#N/A</v>
      </c>
      <c r="L40" t="e">
        <f t="shared" si="3"/>
        <v>#N/A</v>
      </c>
    </row>
    <row r="41" spans="1:12" ht="15.75" thickBot="1">
      <c r="A41">
        <v>38</v>
      </c>
      <c r="B41" t="e">
        <f>VLOOKUP(A41,North!A:C,3,FALSE)</f>
        <v>#N/A</v>
      </c>
      <c r="C41" s="49">
        <f t="shared" si="4"/>
        <v>38</v>
      </c>
      <c r="D41" s="50" t="e">
        <f>VLOOKUP(A41,North!A:B,2,FALSE)</f>
        <v>#N/A</v>
      </c>
      <c r="E41" s="51" t="e">
        <f t="shared" si="0"/>
        <v>#N/A</v>
      </c>
      <c r="F41" s="49">
        <v>10</v>
      </c>
      <c r="G41" s="50">
        <v>10</v>
      </c>
      <c r="H41" s="52" t="str">
        <f t="shared" si="2"/>
        <v>Same</v>
      </c>
      <c r="I41" s="50" t="e">
        <f>VLOOKUP(B41,'North Standings'!$A$2:$C$32,2,FALSE)</f>
        <v>#N/A</v>
      </c>
      <c r="J41" s="53" t="e">
        <f>VLOOKUP(B41,'North Standings'!$A$2:$C$32,3,FALSE)</f>
        <v>#N/A</v>
      </c>
      <c r="L41" t="e">
        <f t="shared" si="3"/>
        <v>#N/A</v>
      </c>
    </row>
    <row r="42" spans="1:12">
      <c r="B42" s="98"/>
      <c r="C42" s="47"/>
      <c r="D42" s="47"/>
      <c r="E42" s="40"/>
      <c r="F42" s="47"/>
      <c r="G42" s="47"/>
      <c r="H42" s="165"/>
      <c r="I42" s="47"/>
      <c r="J42" s="47"/>
      <c r="K42" s="99"/>
    </row>
    <row r="43" spans="1:12">
      <c r="C43" s="47"/>
      <c r="D43" s="47"/>
      <c r="E43" s="47"/>
      <c r="F43" s="47"/>
      <c r="G43" s="47"/>
      <c r="H43" s="47"/>
      <c r="I43" s="47"/>
      <c r="J43" s="47"/>
      <c r="K43" s="99"/>
    </row>
    <row r="46" spans="1:12">
      <c r="B46" s="98"/>
    </row>
  </sheetData>
  <sortState xmlns:xlrd2="http://schemas.microsoft.com/office/spreadsheetml/2017/richdata2" ref="B4:J41">
    <sortCondition ref="C4:C41"/>
  </sortState>
  <conditionalFormatting sqref="L4:L41">
    <cfRule type="cellIs" dxfId="1" priority="1" operator="lessThan">
      <formula>-3</formula>
    </cfRule>
    <cfRule type="cellIs" dxfId="0" priority="2" operator="greaterThan">
      <formula>3</formula>
    </cfRule>
  </conditionalFormatting>
  <pageMargins left="0.42" right="0.25" top="0.75" bottom="0.75" header="0.3" footer="0.3"/>
  <pageSetup scale="10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autoPageBreaks="0"/>
  </sheetPr>
  <dimension ref="A1:D51"/>
  <sheetViews>
    <sheetView workbookViewId="0">
      <pane ySplit="1" topLeftCell="A3" activePane="bottomLeft" state="frozen"/>
      <selection pane="bottomLeft" activeCell="A3" sqref="A3"/>
    </sheetView>
  </sheetViews>
  <sheetFormatPr defaultRowHeight="15"/>
  <cols>
    <col min="1" max="1" width="39" customWidth="1"/>
    <col min="2" max="2" width="17.5703125" bestFit="1" customWidth="1"/>
    <col min="3" max="3" width="33.140625" style="37" customWidth="1"/>
    <col min="4" max="4" width="31.7109375" style="37" customWidth="1"/>
  </cols>
  <sheetData>
    <row r="1" spans="1:4" ht="16.5" thickBot="1">
      <c r="A1" s="194" t="s">
        <v>794</v>
      </c>
      <c r="B1" s="194"/>
      <c r="C1" s="194"/>
      <c r="D1" s="194"/>
    </row>
    <row r="2" spans="1:4">
      <c r="A2" t="s">
        <v>21</v>
      </c>
      <c r="B2" s="185" t="s">
        <v>150</v>
      </c>
      <c r="C2" s="185" t="s">
        <v>147</v>
      </c>
      <c r="D2" s="177"/>
    </row>
    <row r="3" spans="1:4">
      <c r="A3" t="s">
        <v>96</v>
      </c>
      <c r="B3" s="185" t="s">
        <v>152</v>
      </c>
      <c r="C3" s="185" t="s">
        <v>153</v>
      </c>
      <c r="D3" s="177"/>
    </row>
    <row r="4" spans="1:4">
      <c r="A4" t="s">
        <v>15</v>
      </c>
      <c r="B4" s="185" t="s">
        <v>144</v>
      </c>
      <c r="C4" s="185" t="s">
        <v>149</v>
      </c>
      <c r="D4" s="177"/>
    </row>
    <row r="5" spans="1:4">
      <c r="A5" t="s">
        <v>18</v>
      </c>
      <c r="B5" s="185" t="s">
        <v>146</v>
      </c>
      <c r="C5" s="185" t="s">
        <v>151</v>
      </c>
      <c r="D5" s="177"/>
    </row>
    <row r="6" spans="1:4">
      <c r="A6" t="s">
        <v>25</v>
      </c>
      <c r="B6" s="185" t="s">
        <v>150</v>
      </c>
      <c r="C6" s="185" t="s">
        <v>148</v>
      </c>
      <c r="D6" s="177"/>
    </row>
    <row r="7" spans="1:4">
      <c r="A7" t="s">
        <v>10</v>
      </c>
      <c r="B7" s="185" t="s">
        <v>144</v>
      </c>
      <c r="C7" s="185" t="s">
        <v>151</v>
      </c>
      <c r="D7" s="177"/>
    </row>
    <row r="8" spans="1:4">
      <c r="A8" t="s">
        <v>78</v>
      </c>
      <c r="B8" s="185" t="s">
        <v>152</v>
      </c>
      <c r="C8" s="185" t="s">
        <v>157</v>
      </c>
      <c r="D8" s="177"/>
    </row>
    <row r="9" spans="1:4">
      <c r="A9" t="s">
        <v>11</v>
      </c>
      <c r="B9" s="185" t="s">
        <v>146</v>
      </c>
      <c r="C9" s="185" t="s">
        <v>153</v>
      </c>
      <c r="D9" s="177"/>
    </row>
    <row r="10" spans="1:4">
      <c r="A10" t="s">
        <v>20</v>
      </c>
      <c r="B10" s="185" t="s">
        <v>146</v>
      </c>
      <c r="C10" s="185" t="s">
        <v>147</v>
      </c>
      <c r="D10" s="177"/>
    </row>
    <row r="11" spans="1:4">
      <c r="A11" t="s">
        <v>12</v>
      </c>
      <c r="B11" s="185" t="s">
        <v>144</v>
      </c>
      <c r="C11" s="185" t="s">
        <v>145</v>
      </c>
      <c r="D11" s="177"/>
    </row>
    <row r="12" spans="1:4">
      <c r="A12" t="s">
        <v>19</v>
      </c>
      <c r="B12" s="185" t="s">
        <v>150</v>
      </c>
      <c r="C12" s="185" t="s">
        <v>149</v>
      </c>
      <c r="D12" s="177"/>
    </row>
    <row r="13" spans="1:4">
      <c r="A13" t="s">
        <v>17</v>
      </c>
      <c r="B13" s="185" t="s">
        <v>152</v>
      </c>
      <c r="C13" s="185" t="s">
        <v>148</v>
      </c>
      <c r="D13" s="177"/>
    </row>
    <row r="14" spans="1:4">
      <c r="A14" t="s">
        <v>13</v>
      </c>
      <c r="B14" s="185" t="s">
        <v>158</v>
      </c>
      <c r="C14" s="185" t="s">
        <v>787</v>
      </c>
      <c r="D14" s="177"/>
    </row>
    <row r="15" spans="1:4">
      <c r="A15" t="s">
        <v>26</v>
      </c>
      <c r="B15" s="185" t="s">
        <v>158</v>
      </c>
      <c r="C15" s="185" t="s">
        <v>788</v>
      </c>
      <c r="D15" s="177"/>
    </row>
    <row r="16" spans="1:4">
      <c r="A16" t="s">
        <v>2</v>
      </c>
      <c r="B16" s="185" t="s">
        <v>152</v>
      </c>
      <c r="C16" s="185" t="s">
        <v>148</v>
      </c>
      <c r="D16" s="177"/>
    </row>
    <row r="17" spans="1:4">
      <c r="A17" t="s">
        <v>36</v>
      </c>
      <c r="B17" s="185" t="s">
        <v>146</v>
      </c>
      <c r="C17" s="185" t="s">
        <v>151</v>
      </c>
      <c r="D17" s="177"/>
    </row>
    <row r="18" spans="1:4">
      <c r="A18" t="s">
        <v>16</v>
      </c>
      <c r="B18" s="185" t="s">
        <v>146</v>
      </c>
      <c r="C18" s="185" t="s">
        <v>153</v>
      </c>
      <c r="D18" s="177"/>
    </row>
    <row r="19" spans="1:4">
      <c r="A19" t="s">
        <v>24</v>
      </c>
      <c r="B19" s="185" t="s">
        <v>150</v>
      </c>
      <c r="C19" s="185" t="s">
        <v>147</v>
      </c>
      <c r="D19" s="177"/>
    </row>
    <row r="20" spans="1:4">
      <c r="A20" t="s">
        <v>14</v>
      </c>
      <c r="B20" s="185" t="s">
        <v>150</v>
      </c>
      <c r="C20" s="185" t="s">
        <v>151</v>
      </c>
      <c r="D20" s="177"/>
    </row>
    <row r="21" spans="1:4">
      <c r="A21" t="s">
        <v>29</v>
      </c>
      <c r="B21" s="185" t="s">
        <v>146</v>
      </c>
      <c r="C21" s="185" t="s">
        <v>148</v>
      </c>
      <c r="D21" s="177"/>
    </row>
    <row r="22" spans="1:4">
      <c r="A22" t="s">
        <v>97</v>
      </c>
      <c r="B22" s="185" t="s">
        <v>152</v>
      </c>
      <c r="C22" s="185" t="s">
        <v>157</v>
      </c>
      <c r="D22" s="177"/>
    </row>
    <row r="23" spans="1:4">
      <c r="A23" t="s">
        <v>104</v>
      </c>
      <c r="B23" s="185" t="s">
        <v>146</v>
      </c>
      <c r="C23" s="185" t="s">
        <v>147</v>
      </c>
      <c r="D23" s="177"/>
    </row>
    <row r="24" spans="1:4">
      <c r="A24" t="s">
        <v>27</v>
      </c>
      <c r="B24" s="185" t="s">
        <v>144</v>
      </c>
      <c r="C24" s="185" t="s">
        <v>149</v>
      </c>
      <c r="D24" s="177"/>
    </row>
    <row r="25" spans="1:4">
      <c r="A25" t="s">
        <v>30</v>
      </c>
      <c r="B25" s="185" t="s">
        <v>150</v>
      </c>
      <c r="C25" s="185" t="s">
        <v>149</v>
      </c>
      <c r="D25" s="177"/>
    </row>
    <row r="26" spans="1:4">
      <c r="A26" t="s">
        <v>73</v>
      </c>
      <c r="B26" s="185" t="s">
        <v>144</v>
      </c>
      <c r="C26" s="185" t="s">
        <v>151</v>
      </c>
      <c r="D26" s="177"/>
    </row>
    <row r="27" spans="1:4">
      <c r="A27" t="s">
        <v>23</v>
      </c>
      <c r="B27" s="185" t="s">
        <v>146</v>
      </c>
      <c r="C27" s="185" t="s">
        <v>153</v>
      </c>
      <c r="D27" s="177"/>
    </row>
    <row r="28" spans="1:4">
      <c r="A28" t="s">
        <v>3</v>
      </c>
      <c r="B28" s="185" t="s">
        <v>150</v>
      </c>
      <c r="C28" s="185" t="s">
        <v>147</v>
      </c>
      <c r="D28" s="177"/>
    </row>
    <row r="29" spans="1:4">
      <c r="A29" t="s">
        <v>72</v>
      </c>
      <c r="B29" s="185" t="s">
        <v>152</v>
      </c>
      <c r="C29" s="185" t="s">
        <v>157</v>
      </c>
      <c r="D29" s="177"/>
    </row>
    <row r="30" spans="1:4">
      <c r="A30" t="s">
        <v>82</v>
      </c>
      <c r="B30" s="185" t="s">
        <v>150</v>
      </c>
      <c r="C30" s="185" t="s">
        <v>149</v>
      </c>
      <c r="D30" s="177"/>
    </row>
    <row r="31" spans="1:4">
      <c r="A31" t="s">
        <v>81</v>
      </c>
      <c r="B31" s="185" t="s">
        <v>146</v>
      </c>
      <c r="C31" s="185" t="s">
        <v>148</v>
      </c>
      <c r="D31" s="177"/>
    </row>
    <row r="32" spans="1:4">
      <c r="A32" t="s">
        <v>98</v>
      </c>
      <c r="B32" s="185" t="s">
        <v>152</v>
      </c>
      <c r="C32" s="185" t="s">
        <v>148</v>
      </c>
      <c r="D32" s="177"/>
    </row>
    <row r="33" spans="1:4">
      <c r="A33" t="s">
        <v>105</v>
      </c>
      <c r="B33" s="185" t="s">
        <v>144</v>
      </c>
      <c r="C33" s="185" t="s">
        <v>149</v>
      </c>
      <c r="D33" s="177"/>
    </row>
    <row r="34" spans="1:4">
      <c r="A34" t="s">
        <v>35</v>
      </c>
      <c r="B34" s="185" t="s">
        <v>144</v>
      </c>
      <c r="C34" s="185" t="s">
        <v>145</v>
      </c>
      <c r="D34" s="177"/>
    </row>
    <row r="35" spans="1:4">
      <c r="A35" t="s">
        <v>33</v>
      </c>
      <c r="B35" s="185" t="s">
        <v>146</v>
      </c>
      <c r="C35" s="185" t="s">
        <v>153</v>
      </c>
      <c r="D35" s="177"/>
    </row>
    <row r="36" spans="1:4">
      <c r="A36" t="s">
        <v>28</v>
      </c>
      <c r="B36" s="185" t="s">
        <v>150</v>
      </c>
      <c r="C36" s="185" t="s">
        <v>148</v>
      </c>
      <c r="D36" s="177"/>
    </row>
    <row r="37" spans="1:4">
      <c r="A37" t="s">
        <v>71</v>
      </c>
      <c r="B37" s="185" t="s">
        <v>152</v>
      </c>
      <c r="C37" s="185" t="s">
        <v>153</v>
      </c>
      <c r="D37" s="177"/>
    </row>
    <row r="38" spans="1:4">
      <c r="A38" t="s">
        <v>99</v>
      </c>
      <c r="B38" s="185" t="s">
        <v>144</v>
      </c>
      <c r="C38" s="185" t="s">
        <v>145</v>
      </c>
      <c r="D38" s="177"/>
    </row>
    <row r="39" spans="1:4">
      <c r="A39" t="s">
        <v>37</v>
      </c>
      <c r="B39" s="185" t="s">
        <v>146</v>
      </c>
      <c r="C39" s="185" t="s">
        <v>151</v>
      </c>
      <c r="D39" s="179"/>
    </row>
    <row r="40" spans="1:4">
      <c r="A40" t="s">
        <v>22</v>
      </c>
      <c r="B40" s="185" t="s">
        <v>152</v>
      </c>
      <c r="C40" s="185" t="s">
        <v>148</v>
      </c>
      <c r="D40" s="179"/>
    </row>
    <row r="41" spans="1:4">
      <c r="A41" t="s">
        <v>95</v>
      </c>
      <c r="B41" s="185" t="s">
        <v>150</v>
      </c>
      <c r="C41" s="185" t="s">
        <v>147</v>
      </c>
    </row>
    <row r="42" spans="1:4">
      <c r="A42" t="s">
        <v>38</v>
      </c>
      <c r="B42" s="185" t="s">
        <v>150</v>
      </c>
      <c r="C42" s="185" t="s">
        <v>147</v>
      </c>
    </row>
    <row r="43" spans="1:4">
      <c r="A43" t="s">
        <v>113</v>
      </c>
      <c r="B43" s="185" t="s">
        <v>152</v>
      </c>
      <c r="C43" s="185" t="s">
        <v>153</v>
      </c>
    </row>
    <row r="44" spans="1:4">
      <c r="A44" t="s">
        <v>34</v>
      </c>
      <c r="B44" s="185" t="s">
        <v>150</v>
      </c>
      <c r="C44" s="185" t="s">
        <v>149</v>
      </c>
    </row>
    <row r="45" spans="1:4">
      <c r="A45" t="s">
        <v>31</v>
      </c>
      <c r="B45" s="185" t="s">
        <v>150</v>
      </c>
      <c r="C45" s="185" t="s">
        <v>149</v>
      </c>
    </row>
    <row r="46" spans="1:4">
      <c r="A46" t="s">
        <v>32</v>
      </c>
      <c r="B46" s="185" t="s">
        <v>789</v>
      </c>
      <c r="C46" s="185" t="s">
        <v>159</v>
      </c>
    </row>
    <row r="47" spans="1:4">
      <c r="A47" t="s">
        <v>83</v>
      </c>
      <c r="B47" s="185" t="s">
        <v>790</v>
      </c>
      <c r="C47" s="185" t="s">
        <v>788</v>
      </c>
    </row>
    <row r="48" spans="1:4">
      <c r="A48" t="s">
        <v>39</v>
      </c>
      <c r="B48" s="185" t="s">
        <v>791</v>
      </c>
      <c r="C48" s="185" t="s">
        <v>792</v>
      </c>
    </row>
    <row r="49" spans="1:3">
      <c r="A49" t="s">
        <v>40</v>
      </c>
      <c r="B49" s="185" t="s">
        <v>156</v>
      </c>
      <c r="C49" s="185" t="s">
        <v>160</v>
      </c>
    </row>
    <row r="50" spans="1:3">
      <c r="A50" t="s">
        <v>100</v>
      </c>
      <c r="B50" s="185" t="s">
        <v>155</v>
      </c>
      <c r="C50" s="185" t="s">
        <v>793</v>
      </c>
    </row>
    <row r="51" spans="1:3">
      <c r="A51" t="s">
        <v>171</v>
      </c>
      <c r="B51" s="185" t="s">
        <v>154</v>
      </c>
      <c r="C51" s="185" t="s">
        <v>151</v>
      </c>
    </row>
  </sheetData>
  <customSheetViews>
    <customSheetView guid="{DE7C2479-4243-442D-8A3C-4D0E1EDB2109}">
      <selection activeCell="A12" sqref="A12"/>
      <pageMargins left="0.7" right="0.7" top="0.75" bottom="0.75" header="0.3" footer="0.3"/>
    </customSheetView>
    <customSheetView guid="{DEF8AD2E-C46F-4190-A88E-C6B69C1F99BB}">
      <selection activeCell="A12" sqref="A12"/>
      <pageMargins left="0.7" right="0.7" top="0.75" bottom="0.75" header="0.3" footer="0.3"/>
    </customSheetView>
    <customSheetView guid="{BDC744E3-8A98-4FFB-AA7D-7119F2F68EB6}">
      <selection activeCell="A12" sqref="A12"/>
      <pageMargins left="0.7" right="0.7" top="0.75" bottom="0.75" header="0.3" footer="0.3"/>
    </customSheetView>
    <customSheetView guid="{E7597357-F01A-4EC3-9284-2CC61D1CC724}">
      <selection activeCell="A12" sqref="A12"/>
      <pageMargins left="0.7" right="0.7" top="0.75" bottom="0.75" header="0.3" footer="0.3"/>
    </customSheetView>
  </customSheetViews>
  <mergeCells count="1">
    <mergeCell ref="A1:D1"/>
  </mergeCells>
  <pageMargins left="0.7" right="0.25" top="0.18" bottom="0.17" header="0.17" footer="0.19"/>
  <pageSetup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autoPageBreaks="0" fitToPage="1"/>
  </sheetPr>
  <dimension ref="A1:F3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.140625" customWidth="1"/>
    <col min="2" max="2" width="24.5703125" customWidth="1"/>
    <col min="3" max="3" width="28.140625" customWidth="1"/>
    <col min="4" max="4" width="26.28515625" customWidth="1"/>
  </cols>
  <sheetData>
    <row r="1" spans="1:6" ht="16.5" thickBot="1">
      <c r="A1" s="194" t="s">
        <v>786</v>
      </c>
      <c r="B1" s="194"/>
      <c r="C1" s="194"/>
      <c r="D1" s="194"/>
      <c r="E1" t="s">
        <v>795</v>
      </c>
      <c r="F1" t="s">
        <v>796</v>
      </c>
    </row>
    <row r="2" spans="1:6">
      <c r="A2" t="s">
        <v>8</v>
      </c>
      <c r="B2" s="185" t="s">
        <v>146</v>
      </c>
      <c r="C2" s="185" t="s">
        <v>151</v>
      </c>
      <c r="D2" s="177"/>
      <c r="E2">
        <f>LEN(A2)</f>
        <v>15</v>
      </c>
      <c r="F2" t="str">
        <f>LEFT(A2,E2-1)</f>
        <v>University Clu</v>
      </c>
    </row>
    <row r="3" spans="1:6">
      <c r="A3" t="s">
        <v>4</v>
      </c>
      <c r="B3" s="185" t="s">
        <v>150</v>
      </c>
      <c r="C3" s="185" t="s">
        <v>149</v>
      </c>
      <c r="D3" s="177"/>
      <c r="E3">
        <f t="shared" ref="E3:E39" si="0">LEN(A3)</f>
        <v>10</v>
      </c>
      <c r="F3" t="str">
        <f t="shared" ref="F3:F39" si="1">LEFT(A3,E3-1)</f>
        <v>Seven Oak</v>
      </c>
    </row>
    <row r="4" spans="1:6">
      <c r="A4" t="s">
        <v>62</v>
      </c>
      <c r="B4" s="185" t="s">
        <v>152</v>
      </c>
      <c r="C4" s="185" t="s">
        <v>148</v>
      </c>
      <c r="D4" s="177"/>
      <c r="E4">
        <f t="shared" si="0"/>
        <v>15</v>
      </c>
      <c r="F4" t="str">
        <f t="shared" si="1"/>
        <v>Meredith Towne</v>
      </c>
    </row>
    <row r="5" spans="1:6">
      <c r="A5" t="s">
        <v>63</v>
      </c>
      <c r="B5" s="185" t="s">
        <v>144</v>
      </c>
      <c r="C5" s="185" t="s">
        <v>145</v>
      </c>
      <c r="D5" s="177"/>
      <c r="E5">
        <f t="shared" si="0"/>
        <v>13</v>
      </c>
      <c r="F5" t="str">
        <f t="shared" si="1"/>
        <v>Granite Fall</v>
      </c>
    </row>
    <row r="6" spans="1:6">
      <c r="A6" t="s">
        <v>6</v>
      </c>
      <c r="B6" s="185" t="s">
        <v>150</v>
      </c>
      <c r="C6" s="185" t="s">
        <v>148</v>
      </c>
      <c r="D6" s="177"/>
      <c r="E6">
        <f t="shared" si="0"/>
        <v>9</v>
      </c>
      <c r="F6" t="str">
        <f t="shared" si="1"/>
        <v>Greyston</v>
      </c>
    </row>
    <row r="7" spans="1:6">
      <c r="A7" t="s">
        <v>84</v>
      </c>
      <c r="B7" s="185" t="s">
        <v>146</v>
      </c>
      <c r="C7" s="185" t="s">
        <v>153</v>
      </c>
      <c r="D7" s="177"/>
      <c r="E7">
        <f t="shared" si="0"/>
        <v>13</v>
      </c>
      <c r="F7" t="str">
        <f t="shared" si="1"/>
        <v>Greenway Clu</v>
      </c>
    </row>
    <row r="8" spans="1:6">
      <c r="A8" t="s">
        <v>48</v>
      </c>
      <c r="B8" s="185" t="s">
        <v>152</v>
      </c>
      <c r="C8" s="185" t="s">
        <v>153</v>
      </c>
      <c r="D8" s="177"/>
      <c r="E8">
        <f t="shared" si="0"/>
        <v>10</v>
      </c>
      <c r="F8" t="str">
        <f t="shared" si="1"/>
        <v>Northbroo</v>
      </c>
    </row>
    <row r="9" spans="1:6">
      <c r="A9" t="s">
        <v>54</v>
      </c>
      <c r="B9" s="185" t="s">
        <v>144</v>
      </c>
      <c r="C9" s="185" t="s">
        <v>145</v>
      </c>
      <c r="D9" s="177"/>
      <c r="E9">
        <f t="shared" si="0"/>
        <v>11</v>
      </c>
      <c r="F9" t="str">
        <f t="shared" si="1"/>
        <v>North Hill</v>
      </c>
    </row>
    <row r="10" spans="1:6">
      <c r="A10" t="s">
        <v>129</v>
      </c>
      <c r="B10" s="185" t="s">
        <v>144</v>
      </c>
      <c r="C10" s="185" t="s">
        <v>149</v>
      </c>
      <c r="D10" s="177"/>
      <c r="E10">
        <f t="shared" si="0"/>
        <v>24</v>
      </c>
      <c r="F10" t="str">
        <f t="shared" si="1"/>
        <v>Brier Creek Country Clu</v>
      </c>
    </row>
    <row r="11" spans="1:6">
      <c r="A11" t="s">
        <v>55</v>
      </c>
      <c r="B11" s="185" t="s">
        <v>152</v>
      </c>
      <c r="C11" s="185" t="s">
        <v>153</v>
      </c>
      <c r="D11" s="177"/>
      <c r="E11">
        <f t="shared" si="0"/>
        <v>22</v>
      </c>
      <c r="F11" t="str">
        <f t="shared" si="1"/>
        <v>Bedford at Falls Rive</v>
      </c>
    </row>
    <row r="12" spans="1:6">
      <c r="A12" t="s">
        <v>7</v>
      </c>
      <c r="B12" s="185" t="s">
        <v>146</v>
      </c>
      <c r="C12" s="185" t="s">
        <v>153</v>
      </c>
      <c r="D12" s="177"/>
      <c r="E12">
        <f t="shared" si="0"/>
        <v>10</v>
      </c>
      <c r="F12" t="str">
        <f t="shared" si="1"/>
        <v>Springdal</v>
      </c>
    </row>
    <row r="13" spans="1:6">
      <c r="A13" t="s">
        <v>49</v>
      </c>
      <c r="B13" s="185" t="s">
        <v>150</v>
      </c>
      <c r="C13" s="185" t="s">
        <v>151</v>
      </c>
      <c r="D13" s="177"/>
      <c r="E13">
        <f t="shared" si="0"/>
        <v>16</v>
      </c>
      <c r="F13" t="str">
        <f t="shared" si="1"/>
        <v>Harrington Grov</v>
      </c>
    </row>
    <row r="14" spans="1:6">
      <c r="A14" t="s">
        <v>9</v>
      </c>
      <c r="B14" s="185" t="s">
        <v>146</v>
      </c>
      <c r="C14" s="185" t="s">
        <v>148</v>
      </c>
      <c r="D14" s="177"/>
      <c r="E14">
        <f t="shared" si="0"/>
        <v>11</v>
      </c>
      <c r="F14" t="str">
        <f t="shared" si="1"/>
        <v>Wood Valle</v>
      </c>
    </row>
    <row r="15" spans="1:6">
      <c r="A15" t="s">
        <v>50</v>
      </c>
      <c r="B15" s="185" t="s">
        <v>150</v>
      </c>
      <c r="C15" s="185" t="s">
        <v>149</v>
      </c>
      <c r="D15" s="177"/>
      <c r="E15">
        <f t="shared" si="0"/>
        <v>12</v>
      </c>
      <c r="F15" t="str">
        <f t="shared" si="1"/>
        <v>Quail Hollo</v>
      </c>
    </row>
    <row r="16" spans="1:6">
      <c r="A16" t="s">
        <v>57</v>
      </c>
      <c r="B16" s="185" t="s">
        <v>146</v>
      </c>
      <c r="C16" s="185" t="s">
        <v>147</v>
      </c>
      <c r="D16" s="177"/>
      <c r="E16">
        <f t="shared" si="0"/>
        <v>10</v>
      </c>
      <c r="F16" t="str">
        <f t="shared" si="1"/>
        <v>Mancheste</v>
      </c>
    </row>
    <row r="17" spans="1:6">
      <c r="A17" t="s">
        <v>53</v>
      </c>
      <c r="B17" s="185" t="s">
        <v>150</v>
      </c>
      <c r="C17" s="185" t="s">
        <v>147</v>
      </c>
      <c r="D17" s="177"/>
      <c r="E17">
        <f t="shared" si="0"/>
        <v>11</v>
      </c>
      <c r="F17" t="str">
        <f t="shared" si="1"/>
        <v>Stonebridg</v>
      </c>
    </row>
    <row r="18" spans="1:6">
      <c r="A18" t="s">
        <v>5</v>
      </c>
      <c r="B18" s="185" t="s">
        <v>152</v>
      </c>
      <c r="C18" s="185" t="s">
        <v>157</v>
      </c>
      <c r="D18" s="177"/>
      <c r="E18">
        <f t="shared" si="0"/>
        <v>9</v>
      </c>
      <c r="F18" t="str">
        <f t="shared" si="1"/>
        <v>Lake Par</v>
      </c>
    </row>
    <row r="19" spans="1:6">
      <c r="A19" t="s">
        <v>56</v>
      </c>
      <c r="B19" s="185" t="s">
        <v>150</v>
      </c>
      <c r="C19" s="185" t="s">
        <v>151</v>
      </c>
      <c r="D19" s="177"/>
      <c r="E19">
        <f t="shared" si="0"/>
        <v>13</v>
      </c>
      <c r="F19" t="str">
        <f t="shared" si="1"/>
        <v>North Raleig</v>
      </c>
    </row>
    <row r="20" spans="1:6">
      <c r="A20" t="s">
        <v>161</v>
      </c>
      <c r="B20" s="185" t="s">
        <v>144</v>
      </c>
      <c r="C20" s="185" t="s">
        <v>145</v>
      </c>
      <c r="D20" s="177"/>
      <c r="E20">
        <f t="shared" si="0"/>
        <v>9</v>
      </c>
      <c r="F20" t="str">
        <f t="shared" si="1"/>
        <v>Riverwoo</v>
      </c>
    </row>
    <row r="21" spans="1:6">
      <c r="A21" t="s">
        <v>61</v>
      </c>
      <c r="B21" s="185" t="s">
        <v>146</v>
      </c>
      <c r="C21" s="185" t="s">
        <v>151</v>
      </c>
      <c r="D21" s="177"/>
      <c r="E21">
        <f t="shared" si="0"/>
        <v>15</v>
      </c>
      <c r="F21" t="str">
        <f t="shared" si="1"/>
        <v>Black Horse Ru</v>
      </c>
    </row>
    <row r="22" spans="1:6">
      <c r="A22" t="s">
        <v>52</v>
      </c>
      <c r="B22" s="185" t="s">
        <v>144</v>
      </c>
      <c r="C22" s="185" t="s">
        <v>147</v>
      </c>
      <c r="D22" s="177"/>
      <c r="E22">
        <f t="shared" si="0"/>
        <v>23</v>
      </c>
      <c r="F22" t="str">
        <f t="shared" si="1"/>
        <v>Heritage of Wake Fores</v>
      </c>
    </row>
    <row r="23" spans="1:6">
      <c r="A23" t="s">
        <v>59</v>
      </c>
      <c r="B23" s="185" t="s">
        <v>150</v>
      </c>
      <c r="C23" s="185" t="s">
        <v>147</v>
      </c>
      <c r="D23" s="177"/>
      <c r="E23">
        <f t="shared" si="0"/>
        <v>9</v>
      </c>
      <c r="F23" t="str">
        <f t="shared" si="1"/>
        <v>Hedingha</v>
      </c>
    </row>
    <row r="24" spans="1:6">
      <c r="A24" t="s">
        <v>51</v>
      </c>
      <c r="B24" s="185" t="s">
        <v>146</v>
      </c>
      <c r="C24" s="185" t="s">
        <v>784</v>
      </c>
      <c r="D24" s="177"/>
      <c r="E24">
        <f t="shared" si="0"/>
        <v>17</v>
      </c>
      <c r="F24" t="str">
        <f t="shared" si="1"/>
        <v>Summerfield Nort</v>
      </c>
    </row>
    <row r="25" spans="1:6">
      <c r="A25" t="s">
        <v>58</v>
      </c>
      <c r="B25" s="185" t="s">
        <v>152</v>
      </c>
      <c r="C25" s="185" t="s">
        <v>157</v>
      </c>
      <c r="D25" s="177"/>
      <c r="E25">
        <f t="shared" si="0"/>
        <v>13</v>
      </c>
      <c r="F25" t="str">
        <f t="shared" si="1"/>
        <v>Durant Trail</v>
      </c>
    </row>
    <row r="26" spans="1:6">
      <c r="A26" t="s">
        <v>70</v>
      </c>
      <c r="B26" s="185" t="s">
        <v>146</v>
      </c>
      <c r="C26" s="185" t="s">
        <v>147</v>
      </c>
      <c r="D26" s="177"/>
      <c r="E26">
        <f t="shared" si="0"/>
        <v>16</v>
      </c>
      <c r="F26" t="str">
        <f t="shared" si="1"/>
        <v>Coachman's Trai</v>
      </c>
    </row>
    <row r="27" spans="1:6">
      <c r="A27" t="s">
        <v>65</v>
      </c>
      <c r="B27" s="185" t="s">
        <v>144</v>
      </c>
      <c r="C27" s="185" t="s">
        <v>785</v>
      </c>
      <c r="D27" s="177"/>
      <c r="E27">
        <f t="shared" si="0"/>
        <v>9</v>
      </c>
      <c r="F27" t="str">
        <f t="shared" si="1"/>
        <v>Hasentre</v>
      </c>
    </row>
    <row r="28" spans="1:6">
      <c r="A28" t="s">
        <v>0</v>
      </c>
      <c r="B28" s="185" t="s">
        <v>150</v>
      </c>
      <c r="C28" s="185" t="s">
        <v>151</v>
      </c>
      <c r="D28" s="177"/>
      <c r="E28">
        <f t="shared" si="0"/>
        <v>8</v>
      </c>
      <c r="F28" t="str">
        <f t="shared" si="1"/>
        <v>Lakemon</v>
      </c>
    </row>
    <row r="29" spans="1:6" ht="16.149999999999999" customHeight="1">
      <c r="A29" t="s">
        <v>86</v>
      </c>
      <c r="B29" s="185" t="s">
        <v>152</v>
      </c>
      <c r="C29" s="185" t="s">
        <v>157</v>
      </c>
      <c r="D29" s="177"/>
      <c r="E29">
        <f t="shared" si="0"/>
        <v>31</v>
      </c>
      <c r="F29" t="str">
        <f t="shared" si="1"/>
        <v>Banbury Woods &amp; Hunters Landin</v>
      </c>
    </row>
    <row r="30" spans="1:6">
      <c r="A30" t="s">
        <v>64</v>
      </c>
      <c r="B30" s="185" t="s">
        <v>144</v>
      </c>
      <c r="C30" s="185" t="s">
        <v>149</v>
      </c>
      <c r="D30" s="177"/>
      <c r="E30">
        <f t="shared" si="0"/>
        <v>9</v>
      </c>
      <c r="F30" t="str">
        <f t="shared" si="1"/>
        <v>Hawthorn</v>
      </c>
    </row>
    <row r="31" spans="1:6">
      <c r="A31" t="s">
        <v>67</v>
      </c>
      <c r="B31" s="185" t="s">
        <v>150</v>
      </c>
      <c r="C31" s="185" t="s">
        <v>151</v>
      </c>
      <c r="D31" s="177"/>
      <c r="E31">
        <f t="shared" si="0"/>
        <v>8</v>
      </c>
      <c r="F31" t="str">
        <f t="shared" si="1"/>
        <v>Crabtre</v>
      </c>
    </row>
    <row r="32" spans="1:6">
      <c r="A32" t="s">
        <v>1</v>
      </c>
      <c r="B32" s="185" t="s">
        <v>146</v>
      </c>
      <c r="C32" s="185" t="s">
        <v>147</v>
      </c>
      <c r="D32" s="177"/>
      <c r="E32">
        <f t="shared" si="0"/>
        <v>8</v>
      </c>
      <c r="F32" t="str">
        <f t="shared" si="1"/>
        <v>Oak Par</v>
      </c>
    </row>
    <row r="33" spans="1:6">
      <c r="A33" t="s">
        <v>66</v>
      </c>
      <c r="B33" s="185" t="s">
        <v>152</v>
      </c>
      <c r="C33" s="185" t="s">
        <v>147</v>
      </c>
      <c r="D33" s="178"/>
      <c r="E33">
        <f t="shared" si="0"/>
        <v>7</v>
      </c>
      <c r="F33" t="str">
        <f t="shared" si="1"/>
        <v>Wendel</v>
      </c>
    </row>
    <row r="34" spans="1:6">
      <c r="A34" t="s">
        <v>85</v>
      </c>
      <c r="B34" s="185" t="s">
        <v>154</v>
      </c>
      <c r="C34" s="185" t="s">
        <v>145</v>
      </c>
      <c r="E34">
        <f t="shared" si="0"/>
        <v>23</v>
      </c>
      <c r="F34" t="str">
        <f t="shared" si="1"/>
        <v>Jewish Community Cente</v>
      </c>
    </row>
    <row r="35" spans="1:6">
      <c r="A35" t="s">
        <v>60</v>
      </c>
      <c r="B35" s="185" t="s">
        <v>156</v>
      </c>
      <c r="C35" s="185" t="s">
        <v>147</v>
      </c>
      <c r="E35">
        <f t="shared" si="0"/>
        <v>8</v>
      </c>
      <c r="F35" t="str">
        <f t="shared" si="1"/>
        <v>Southal</v>
      </c>
    </row>
    <row r="36" spans="1:6">
      <c r="A36" t="s">
        <v>106</v>
      </c>
      <c r="B36" s="185" t="s">
        <v>155</v>
      </c>
      <c r="C36" s="185" t="s">
        <v>153</v>
      </c>
      <c r="E36">
        <f t="shared" si="0"/>
        <v>14</v>
      </c>
      <c r="F36" t="str">
        <f t="shared" si="1"/>
        <v>Planter's Wal</v>
      </c>
    </row>
    <row r="37" spans="1:6">
      <c r="A37" t="s">
        <v>128</v>
      </c>
      <c r="B37" s="185" t="s">
        <v>154</v>
      </c>
      <c r="C37" s="185" t="s">
        <v>151</v>
      </c>
      <c r="E37">
        <f t="shared" si="0"/>
        <v>26</v>
      </c>
      <c r="F37" t="str">
        <f t="shared" si="1"/>
        <v>Life Time Athletic Raleig</v>
      </c>
    </row>
    <row r="38" spans="1:6">
      <c r="A38" t="s">
        <v>118</v>
      </c>
      <c r="B38" s="185" t="s">
        <v>156</v>
      </c>
      <c r="C38" s="185" t="s">
        <v>153</v>
      </c>
      <c r="E38">
        <f t="shared" si="0"/>
        <v>7</v>
      </c>
      <c r="F38" t="str">
        <f t="shared" si="1"/>
        <v>Zebulo</v>
      </c>
    </row>
    <row r="39" spans="1:6">
      <c r="A39" t="s">
        <v>130</v>
      </c>
      <c r="B39" s="185" t="s">
        <v>155</v>
      </c>
      <c r="C39" s="185" t="s">
        <v>153</v>
      </c>
      <c r="E39">
        <f t="shared" si="0"/>
        <v>20</v>
      </c>
      <c r="F39" t="str">
        <f t="shared" si="1"/>
        <v>Raleigh Racquet Clu</v>
      </c>
    </row>
  </sheetData>
  <customSheetViews>
    <customSheetView guid="{DE7C2479-4243-442D-8A3C-4D0E1EDB2109}">
      <selection activeCell="A26" sqref="A26"/>
      <pageMargins left="0.7" right="0.7" top="0.75" bottom="0.75" header="0.3" footer="0.3"/>
    </customSheetView>
    <customSheetView guid="{DEF8AD2E-C46F-4190-A88E-C6B69C1F99BB}">
      <selection activeCell="A26" sqref="A26"/>
      <pageMargins left="0.7" right="0.7" top="0.75" bottom="0.75" header="0.3" footer="0.3"/>
    </customSheetView>
    <customSheetView guid="{BDC744E3-8A98-4FFB-AA7D-7119F2F68EB6}">
      <selection activeCell="A26" sqref="A26"/>
      <pageMargins left="0.7" right="0.7" top="0.75" bottom="0.75" header="0.3" footer="0.3"/>
    </customSheetView>
    <customSheetView guid="{E7597357-F01A-4EC3-9284-2CC61D1CC724}">
      <selection activeCell="A26" sqref="A26"/>
      <pageMargins left="0.7" right="0.7" top="0.75" bottom="0.75" header="0.3" footer="0.3"/>
    </customSheetView>
  </customSheetViews>
  <mergeCells count="1">
    <mergeCell ref="A1:D1"/>
  </mergeCells>
  <pageMargins left="0.7" right="0.25" top="0.37" bottom="0.39" header="0.3" footer="0.3"/>
  <pageSetup scale="9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autoPageBreaks="0"/>
  </sheetPr>
  <dimension ref="A1:R27"/>
  <sheetViews>
    <sheetView workbookViewId="0">
      <selection activeCell="B2" sqref="B2"/>
    </sheetView>
  </sheetViews>
  <sheetFormatPr defaultRowHeight="15"/>
  <cols>
    <col min="2" max="2" width="2.85546875" customWidth="1"/>
    <col min="3" max="3" width="14.85546875" bestFit="1" customWidth="1"/>
  </cols>
  <sheetData>
    <row r="1" spans="2:18" ht="15.75">
      <c r="P1" s="102"/>
      <c r="Q1" s="102"/>
      <c r="R1" s="102"/>
    </row>
    <row r="2" spans="2:18" ht="15.75">
      <c r="P2" s="102"/>
      <c r="Q2" s="102"/>
      <c r="R2" s="102"/>
    </row>
    <row r="5" spans="2:18">
      <c r="B5" t="s">
        <v>89</v>
      </c>
    </row>
    <row r="6" spans="2:18">
      <c r="C6" t="s">
        <v>101</v>
      </c>
    </row>
    <row r="7" spans="2:18">
      <c r="C7" t="s">
        <v>90</v>
      </c>
    </row>
    <row r="8" spans="2:18">
      <c r="C8" t="s">
        <v>91</v>
      </c>
    </row>
    <row r="9" spans="2:18">
      <c r="C9" t="s">
        <v>92</v>
      </c>
    </row>
    <row r="10" spans="2:18" ht="21">
      <c r="C10" s="100" t="s">
        <v>93</v>
      </c>
      <c r="E10" s="101" t="s">
        <v>114</v>
      </c>
    </row>
    <row r="12" spans="2:18">
      <c r="C12" s="36" t="s">
        <v>116</v>
      </c>
    </row>
    <row r="16" spans="2:18">
      <c r="B16" s="36"/>
    </row>
    <row r="17" spans="1:3">
      <c r="C17" s="100"/>
    </row>
    <row r="27" spans="1:3">
      <c r="A27" s="60" t="s">
        <v>94</v>
      </c>
    </row>
  </sheetData>
  <customSheetViews>
    <customSheetView guid="{DE7C2479-4243-442D-8A3C-4D0E1EDB2109}">
      <selection activeCell="C16" sqref="C16"/>
      <pageMargins left="0.7" right="0.7" top="0.75" bottom="0.75" header="0.3" footer="0.3"/>
    </customSheetView>
    <customSheetView guid="{DEF8AD2E-C46F-4190-A88E-C6B69C1F99BB}">
      <selection activeCell="C16" sqref="C16"/>
      <pageMargins left="0.7" right="0.7" top="0.75" bottom="0.75" header="0.3" footer="0.3"/>
    </customSheetView>
    <customSheetView guid="{BDC744E3-8A98-4FFB-AA7D-7119F2F68EB6}">
      <selection activeCell="C16" sqref="C16"/>
      <pageMargins left="0.7" right="0.7" top="0.75" bottom="0.75" header="0.3" footer="0.3"/>
    </customSheetView>
    <customSheetView guid="{E7597357-F01A-4EC3-9284-2CC61D1CC724}">
      <selection activeCell="C16" sqref="C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G90"/>
  <sheetViews>
    <sheetView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29.7109375" style="99" bestFit="1" customWidth="1"/>
    <col min="2" max="2" width="7.85546875" style="47" customWidth="1"/>
    <col min="3" max="3" width="5.85546875" style="47" customWidth="1"/>
    <col min="4" max="4" width="6.42578125" style="47" customWidth="1"/>
    <col min="5" max="5" width="9.140625" style="99"/>
  </cols>
  <sheetData>
    <row r="1" spans="1:7" ht="21">
      <c r="A1" s="36" t="s">
        <v>87</v>
      </c>
      <c r="B1" s="39" t="s">
        <v>88</v>
      </c>
      <c r="C1" s="39" t="s">
        <v>69</v>
      </c>
      <c r="D1" s="39" t="s">
        <v>43</v>
      </c>
      <c r="E1" s="39" t="s">
        <v>115</v>
      </c>
      <c r="G1" s="166" t="s">
        <v>170</v>
      </c>
    </row>
    <row r="2" spans="1:7">
      <c r="A2" s="99" t="s">
        <v>78</v>
      </c>
      <c r="B2" s="47" t="s">
        <v>102</v>
      </c>
      <c r="C2" s="47">
        <v>2</v>
      </c>
      <c r="D2" s="47">
        <v>7</v>
      </c>
      <c r="E2" s="99">
        <v>0</v>
      </c>
    </row>
    <row r="3" spans="1:7">
      <c r="A3" s="99" t="s">
        <v>82</v>
      </c>
      <c r="B3" s="47" t="s">
        <v>102</v>
      </c>
      <c r="C3" s="47">
        <v>8</v>
      </c>
      <c r="D3" s="47">
        <v>29</v>
      </c>
      <c r="E3" s="99">
        <v>0</v>
      </c>
    </row>
    <row r="4" spans="1:7">
      <c r="A4" s="99" t="s">
        <v>21</v>
      </c>
      <c r="B4" s="47" t="s">
        <v>102</v>
      </c>
      <c r="C4" s="47">
        <v>1</v>
      </c>
      <c r="D4" s="47">
        <v>1</v>
      </c>
      <c r="E4" s="99">
        <v>0</v>
      </c>
    </row>
    <row r="5" spans="1:7">
      <c r="A5" s="99" t="s">
        <v>86</v>
      </c>
      <c r="B5" s="47" t="s">
        <v>103</v>
      </c>
      <c r="C5" s="47">
        <v>7</v>
      </c>
      <c r="D5" s="47">
        <v>28</v>
      </c>
      <c r="E5" s="99">
        <v>0</v>
      </c>
    </row>
    <row r="6" spans="1:7">
      <c r="A6" s="99" t="s">
        <v>55</v>
      </c>
      <c r="B6" s="47" t="s">
        <v>103</v>
      </c>
      <c r="C6" s="47">
        <v>3</v>
      </c>
      <c r="D6" s="47">
        <v>10</v>
      </c>
      <c r="E6" s="99">
        <v>0</v>
      </c>
    </row>
    <row r="7" spans="1:7">
      <c r="A7" s="99" t="s">
        <v>98</v>
      </c>
      <c r="B7" s="47" t="s">
        <v>102</v>
      </c>
      <c r="C7" s="47">
        <v>8</v>
      </c>
      <c r="D7" s="47">
        <v>31</v>
      </c>
      <c r="E7" s="99">
        <v>0</v>
      </c>
    </row>
    <row r="8" spans="1:7">
      <c r="A8" s="99" t="s">
        <v>38</v>
      </c>
      <c r="B8" s="47" t="s">
        <v>102</v>
      </c>
      <c r="C8" s="47">
        <v>11</v>
      </c>
      <c r="D8" s="47">
        <v>41</v>
      </c>
      <c r="E8" s="99">
        <v>0</v>
      </c>
    </row>
    <row r="9" spans="1:7">
      <c r="A9" s="99" t="s">
        <v>61</v>
      </c>
      <c r="B9" s="47" t="s">
        <v>103</v>
      </c>
      <c r="C9" s="47">
        <v>5</v>
      </c>
      <c r="D9" s="47">
        <v>20</v>
      </c>
      <c r="E9" s="99">
        <v>0</v>
      </c>
    </row>
    <row r="10" spans="1:7">
      <c r="A10" s="99" t="s">
        <v>129</v>
      </c>
      <c r="B10" s="47" t="s">
        <v>103</v>
      </c>
      <c r="C10" s="47">
        <v>3</v>
      </c>
      <c r="D10" s="47">
        <v>9</v>
      </c>
      <c r="E10" s="99">
        <v>0</v>
      </c>
    </row>
    <row r="11" spans="1:7">
      <c r="A11" s="99" t="s">
        <v>95</v>
      </c>
      <c r="B11" s="47" t="s">
        <v>102</v>
      </c>
      <c r="C11" s="47">
        <v>10</v>
      </c>
      <c r="D11" s="47">
        <v>40</v>
      </c>
      <c r="E11" s="99">
        <v>0</v>
      </c>
    </row>
    <row r="12" spans="1:7">
      <c r="A12" s="99" t="s">
        <v>30</v>
      </c>
      <c r="B12" s="47" t="s">
        <v>102</v>
      </c>
      <c r="C12" s="47">
        <v>6</v>
      </c>
      <c r="D12" s="47">
        <v>24</v>
      </c>
      <c r="E12" s="99">
        <v>0</v>
      </c>
    </row>
    <row r="13" spans="1:7">
      <c r="A13" s="99" t="s">
        <v>37</v>
      </c>
      <c r="B13" s="47" t="s">
        <v>102</v>
      </c>
      <c r="C13" s="47">
        <v>10</v>
      </c>
      <c r="D13" s="47">
        <v>38</v>
      </c>
      <c r="E13" s="99">
        <v>0</v>
      </c>
    </row>
    <row r="14" spans="1:7">
      <c r="A14" s="99" t="s">
        <v>17</v>
      </c>
      <c r="B14" s="47" t="s">
        <v>102</v>
      </c>
      <c r="C14" s="47">
        <v>3</v>
      </c>
      <c r="D14" s="47">
        <v>12</v>
      </c>
      <c r="E14" s="99">
        <v>0</v>
      </c>
    </row>
    <row r="15" spans="1:7">
      <c r="A15" s="99" t="s">
        <v>15</v>
      </c>
      <c r="B15" s="47" t="s">
        <v>102</v>
      </c>
      <c r="C15" s="47">
        <v>1</v>
      </c>
      <c r="D15" s="47">
        <v>3</v>
      </c>
      <c r="E15" s="99">
        <v>0</v>
      </c>
    </row>
    <row r="16" spans="1:7">
      <c r="A16" s="99" t="s">
        <v>34</v>
      </c>
      <c r="B16" s="47" t="s">
        <v>102</v>
      </c>
      <c r="C16" s="47">
        <v>11</v>
      </c>
      <c r="D16" s="47">
        <v>43</v>
      </c>
      <c r="E16" s="99">
        <v>0</v>
      </c>
    </row>
    <row r="17" spans="1:5">
      <c r="A17" s="99" t="s">
        <v>73</v>
      </c>
      <c r="B17" s="47" t="s">
        <v>102</v>
      </c>
      <c r="C17" s="47">
        <v>7</v>
      </c>
      <c r="D17" s="47">
        <v>25</v>
      </c>
      <c r="E17" s="99">
        <v>0</v>
      </c>
    </row>
    <row r="18" spans="1:5">
      <c r="A18" s="99" t="s">
        <v>70</v>
      </c>
      <c r="B18" s="47" t="s">
        <v>103</v>
      </c>
      <c r="C18" s="47">
        <v>7</v>
      </c>
      <c r="D18" s="47">
        <v>25</v>
      </c>
      <c r="E18" s="99">
        <v>0</v>
      </c>
    </row>
    <row r="19" spans="1:5">
      <c r="A19" s="99" t="s">
        <v>67</v>
      </c>
      <c r="B19" s="47" t="s">
        <v>103</v>
      </c>
      <c r="C19" s="47">
        <v>8</v>
      </c>
      <c r="D19" s="47">
        <v>30</v>
      </c>
      <c r="E19" s="99">
        <v>0</v>
      </c>
    </row>
    <row r="20" spans="1:5">
      <c r="A20" s="99" t="s">
        <v>32</v>
      </c>
      <c r="B20" s="47" t="s">
        <v>102</v>
      </c>
      <c r="C20" s="47">
        <v>12</v>
      </c>
      <c r="D20" s="47">
        <v>45</v>
      </c>
      <c r="E20" s="99">
        <v>0</v>
      </c>
    </row>
    <row r="21" spans="1:5">
      <c r="A21" s="99" t="s">
        <v>22</v>
      </c>
      <c r="B21" s="47" t="s">
        <v>102</v>
      </c>
      <c r="C21" s="47">
        <v>10</v>
      </c>
      <c r="D21" s="47">
        <v>39</v>
      </c>
      <c r="E21" s="99">
        <v>0</v>
      </c>
    </row>
    <row r="22" spans="1:5">
      <c r="A22" s="99" t="s">
        <v>58</v>
      </c>
      <c r="B22" s="47" t="s">
        <v>103</v>
      </c>
      <c r="C22" s="47">
        <v>6</v>
      </c>
      <c r="D22" s="47">
        <v>24</v>
      </c>
      <c r="E22" s="99">
        <v>0</v>
      </c>
    </row>
    <row r="23" spans="1:5">
      <c r="A23" s="99" t="s">
        <v>16</v>
      </c>
      <c r="B23" s="47" t="s">
        <v>102</v>
      </c>
      <c r="C23" s="47">
        <v>5</v>
      </c>
      <c r="D23" s="47">
        <v>17</v>
      </c>
      <c r="E23" s="99">
        <v>0</v>
      </c>
    </row>
    <row r="24" spans="1:5">
      <c r="A24" s="99" t="s">
        <v>31</v>
      </c>
      <c r="B24" s="47" t="s">
        <v>102</v>
      </c>
      <c r="C24" s="47">
        <v>11</v>
      </c>
      <c r="D24" s="47">
        <v>44</v>
      </c>
      <c r="E24" s="99">
        <v>0</v>
      </c>
    </row>
    <row r="25" spans="1:5">
      <c r="A25" s="99" t="s">
        <v>33</v>
      </c>
      <c r="B25" s="47" t="s">
        <v>102</v>
      </c>
      <c r="C25" s="47">
        <v>9</v>
      </c>
      <c r="D25" s="47">
        <v>34</v>
      </c>
      <c r="E25" s="99">
        <v>0</v>
      </c>
    </row>
    <row r="26" spans="1:5">
      <c r="A26" s="99" t="s">
        <v>28</v>
      </c>
      <c r="B26" s="47" t="s">
        <v>102</v>
      </c>
      <c r="C26" s="47">
        <v>9</v>
      </c>
      <c r="D26" s="47">
        <v>35</v>
      </c>
      <c r="E26" s="99">
        <v>0</v>
      </c>
    </row>
    <row r="27" spans="1:5">
      <c r="A27" s="99" t="s">
        <v>63</v>
      </c>
      <c r="B27" s="47" t="s">
        <v>103</v>
      </c>
      <c r="C27" s="47">
        <v>1</v>
      </c>
      <c r="D27" s="47">
        <v>4</v>
      </c>
      <c r="E27" s="99">
        <v>0</v>
      </c>
    </row>
    <row r="28" spans="1:5">
      <c r="A28" s="99" t="s">
        <v>84</v>
      </c>
      <c r="B28" s="47" t="s">
        <v>103</v>
      </c>
      <c r="C28" s="47">
        <v>2</v>
      </c>
      <c r="D28" s="47">
        <v>6</v>
      </c>
      <c r="E28" s="99">
        <v>0</v>
      </c>
    </row>
    <row r="29" spans="1:5">
      <c r="A29" s="99" t="s">
        <v>6</v>
      </c>
      <c r="B29" s="47" t="s">
        <v>103</v>
      </c>
      <c r="C29" s="47">
        <v>2</v>
      </c>
      <c r="D29" s="47">
        <v>5</v>
      </c>
      <c r="E29" s="99">
        <v>0</v>
      </c>
    </row>
    <row r="30" spans="1:5">
      <c r="A30" s="99" t="s">
        <v>36</v>
      </c>
      <c r="B30" s="47" t="s">
        <v>102</v>
      </c>
      <c r="C30" s="47">
        <v>4</v>
      </c>
      <c r="D30" s="47">
        <v>16</v>
      </c>
      <c r="E30" s="99">
        <v>0</v>
      </c>
    </row>
    <row r="31" spans="1:5">
      <c r="A31" s="99" t="s">
        <v>113</v>
      </c>
      <c r="B31" s="47" t="s">
        <v>102</v>
      </c>
      <c r="C31" s="47">
        <v>11</v>
      </c>
      <c r="D31" s="47">
        <v>42</v>
      </c>
      <c r="E31" s="99">
        <v>0</v>
      </c>
    </row>
    <row r="32" spans="1:5">
      <c r="A32" s="99" t="s">
        <v>49</v>
      </c>
      <c r="B32" s="47" t="s">
        <v>103</v>
      </c>
      <c r="C32" s="47">
        <v>3</v>
      </c>
      <c r="D32" s="47">
        <v>12</v>
      </c>
      <c r="E32" s="99">
        <v>0</v>
      </c>
    </row>
    <row r="33" spans="1:5">
      <c r="A33" s="99" t="s">
        <v>65</v>
      </c>
      <c r="B33" s="47" t="s">
        <v>103</v>
      </c>
      <c r="C33" s="47">
        <v>7</v>
      </c>
      <c r="D33" s="47">
        <v>26</v>
      </c>
      <c r="E33" s="99">
        <v>0</v>
      </c>
    </row>
    <row r="34" spans="1:5">
      <c r="A34" s="99" t="s">
        <v>64</v>
      </c>
      <c r="B34" s="47" t="s">
        <v>103</v>
      </c>
      <c r="C34" s="47">
        <v>8</v>
      </c>
      <c r="D34" s="47">
        <v>29</v>
      </c>
      <c r="E34" s="99">
        <v>0</v>
      </c>
    </row>
    <row r="35" spans="1:5">
      <c r="A35" s="99" t="s">
        <v>59</v>
      </c>
      <c r="B35" s="47" t="s">
        <v>103</v>
      </c>
      <c r="C35" s="47">
        <v>6</v>
      </c>
      <c r="D35" s="47">
        <v>22</v>
      </c>
      <c r="E35" s="99">
        <v>0</v>
      </c>
    </row>
    <row r="36" spans="1:5">
      <c r="A36" s="99" t="s">
        <v>52</v>
      </c>
      <c r="B36" s="47" t="s">
        <v>103</v>
      </c>
      <c r="C36" s="47">
        <v>6</v>
      </c>
      <c r="D36" s="47">
        <v>21</v>
      </c>
      <c r="E36" s="99">
        <v>0</v>
      </c>
    </row>
    <row r="37" spans="1:5">
      <c r="A37" s="99" t="s">
        <v>27</v>
      </c>
      <c r="B37" s="47" t="s">
        <v>102</v>
      </c>
      <c r="C37" s="47">
        <v>6</v>
      </c>
      <c r="D37" s="47">
        <v>23</v>
      </c>
      <c r="E37" s="99">
        <v>0</v>
      </c>
    </row>
    <row r="38" spans="1:5">
      <c r="A38" s="99" t="s">
        <v>171</v>
      </c>
      <c r="B38" s="47" t="s">
        <v>102</v>
      </c>
      <c r="C38" s="47">
        <v>13</v>
      </c>
      <c r="D38" s="47">
        <v>51</v>
      </c>
      <c r="E38" s="99">
        <v>0</v>
      </c>
    </row>
    <row r="39" spans="1:5">
      <c r="A39" s="99" t="s">
        <v>85</v>
      </c>
      <c r="B39" s="47" t="s">
        <v>103</v>
      </c>
      <c r="C39" s="47">
        <v>9</v>
      </c>
      <c r="D39" s="47">
        <v>33</v>
      </c>
      <c r="E39" s="99">
        <v>0</v>
      </c>
    </row>
    <row r="40" spans="1:5">
      <c r="A40" s="99" t="s">
        <v>71</v>
      </c>
      <c r="B40" s="47" t="s">
        <v>102</v>
      </c>
      <c r="C40" s="47">
        <v>9</v>
      </c>
      <c r="D40" s="47">
        <v>36</v>
      </c>
      <c r="E40" s="99">
        <v>0</v>
      </c>
    </row>
    <row r="41" spans="1:5">
      <c r="A41" s="99" t="s">
        <v>83</v>
      </c>
      <c r="B41" s="47" t="s">
        <v>102</v>
      </c>
      <c r="C41" s="47">
        <v>12</v>
      </c>
      <c r="D41" s="47">
        <v>46</v>
      </c>
      <c r="E41" s="99">
        <v>0</v>
      </c>
    </row>
    <row r="42" spans="1:5">
      <c r="A42" s="99" t="s">
        <v>5</v>
      </c>
      <c r="B42" s="47" t="s">
        <v>103</v>
      </c>
      <c r="C42" s="47">
        <v>5</v>
      </c>
      <c r="D42" s="47">
        <v>17</v>
      </c>
      <c r="E42" s="99">
        <v>0</v>
      </c>
    </row>
    <row r="43" spans="1:5">
      <c r="A43" s="99" t="s">
        <v>0</v>
      </c>
      <c r="B43" s="47" t="s">
        <v>103</v>
      </c>
      <c r="C43" s="47">
        <v>7</v>
      </c>
      <c r="D43" s="47">
        <v>27</v>
      </c>
      <c r="E43" s="99">
        <v>0</v>
      </c>
    </row>
    <row r="44" spans="1:5">
      <c r="A44" s="99" t="s">
        <v>128</v>
      </c>
      <c r="B44" s="47" t="s">
        <v>103</v>
      </c>
      <c r="C44" s="47">
        <v>10</v>
      </c>
      <c r="D44" s="47">
        <v>36</v>
      </c>
      <c r="E44" s="99">
        <v>0</v>
      </c>
    </row>
    <row r="45" spans="1:5">
      <c r="A45" s="99" t="s">
        <v>104</v>
      </c>
      <c r="B45" s="47" t="s">
        <v>102</v>
      </c>
      <c r="C45" s="47">
        <v>6</v>
      </c>
      <c r="D45" s="47">
        <v>22</v>
      </c>
      <c r="E45" s="99">
        <v>0</v>
      </c>
    </row>
    <row r="46" spans="1:5">
      <c r="A46" s="99" t="s">
        <v>11</v>
      </c>
      <c r="B46" s="47" t="s">
        <v>102</v>
      </c>
      <c r="C46" s="47">
        <v>2</v>
      </c>
      <c r="D46" s="47">
        <v>8</v>
      </c>
      <c r="E46" s="99">
        <v>0</v>
      </c>
    </row>
    <row r="47" spans="1:5">
      <c r="A47" s="99" t="s">
        <v>173</v>
      </c>
      <c r="B47" s="47" t="s">
        <v>102</v>
      </c>
      <c r="C47" s="47">
        <v>13</v>
      </c>
      <c r="D47" s="47">
        <v>50</v>
      </c>
      <c r="E47" s="99">
        <v>0</v>
      </c>
    </row>
    <row r="48" spans="1:5">
      <c r="A48" s="99" t="s">
        <v>57</v>
      </c>
      <c r="B48" s="47" t="s">
        <v>103</v>
      </c>
      <c r="C48" s="47">
        <v>4</v>
      </c>
      <c r="D48" s="47">
        <v>15</v>
      </c>
      <c r="E48" s="99">
        <v>0</v>
      </c>
    </row>
    <row r="49" spans="1:5">
      <c r="A49" s="99" t="s">
        <v>25</v>
      </c>
      <c r="B49" s="47" t="s">
        <v>102</v>
      </c>
      <c r="C49" s="47">
        <v>2</v>
      </c>
      <c r="D49" s="47">
        <v>5</v>
      </c>
      <c r="E49" s="99">
        <v>0</v>
      </c>
    </row>
    <row r="50" spans="1:5">
      <c r="A50" s="99" t="s">
        <v>62</v>
      </c>
      <c r="B50" s="47" t="s">
        <v>103</v>
      </c>
      <c r="C50" s="47">
        <v>1</v>
      </c>
      <c r="D50" s="47">
        <v>3</v>
      </c>
      <c r="E50" s="99">
        <v>0</v>
      </c>
    </row>
    <row r="51" spans="1:5">
      <c r="A51" s="99" t="s">
        <v>54</v>
      </c>
      <c r="B51" s="47" t="s">
        <v>103</v>
      </c>
      <c r="C51" s="47">
        <v>2</v>
      </c>
      <c r="D51" s="47">
        <v>8</v>
      </c>
      <c r="E51" s="99">
        <v>0</v>
      </c>
    </row>
    <row r="52" spans="1:5">
      <c r="A52" s="99" t="s">
        <v>56</v>
      </c>
      <c r="B52" s="47" t="s">
        <v>103</v>
      </c>
      <c r="C52" s="47">
        <v>5</v>
      </c>
      <c r="D52" s="47">
        <v>18</v>
      </c>
      <c r="E52" s="99">
        <v>0</v>
      </c>
    </row>
    <row r="53" spans="1:5">
      <c r="A53" s="99" t="s">
        <v>48</v>
      </c>
      <c r="B53" s="47" t="s">
        <v>103</v>
      </c>
      <c r="C53" s="47">
        <v>2</v>
      </c>
      <c r="D53" s="47">
        <v>7</v>
      </c>
      <c r="E53" s="99">
        <v>0</v>
      </c>
    </row>
    <row r="54" spans="1:5">
      <c r="A54" s="99" t="s">
        <v>1</v>
      </c>
      <c r="B54" s="47" t="s">
        <v>103</v>
      </c>
      <c r="C54" s="47">
        <v>8</v>
      </c>
      <c r="D54" s="47">
        <v>31</v>
      </c>
      <c r="E54" s="99">
        <v>0</v>
      </c>
    </row>
    <row r="55" spans="1:5">
      <c r="A55" s="99" t="s">
        <v>20</v>
      </c>
      <c r="B55" s="47" t="s">
        <v>102</v>
      </c>
      <c r="C55" s="47">
        <v>3</v>
      </c>
      <c r="D55" s="47">
        <v>9</v>
      </c>
      <c r="E55" s="99">
        <v>0</v>
      </c>
    </row>
    <row r="56" spans="1:5">
      <c r="A56" s="99" t="s">
        <v>29</v>
      </c>
      <c r="B56" s="47" t="s">
        <v>102</v>
      </c>
      <c r="C56" s="47">
        <v>5</v>
      </c>
      <c r="D56" s="47">
        <v>20</v>
      </c>
      <c r="E56" s="99">
        <v>0</v>
      </c>
    </row>
    <row r="57" spans="1:5">
      <c r="A57" s="99" t="s">
        <v>3</v>
      </c>
      <c r="B57" s="47" t="s">
        <v>102</v>
      </c>
      <c r="C57" s="47">
        <v>7</v>
      </c>
      <c r="D57" s="47">
        <v>27</v>
      </c>
      <c r="E57" s="99">
        <v>0</v>
      </c>
    </row>
    <row r="58" spans="1:5">
      <c r="A58" s="99" t="s">
        <v>23</v>
      </c>
      <c r="B58" s="47" t="s">
        <v>102</v>
      </c>
      <c r="C58" s="47">
        <v>7</v>
      </c>
      <c r="D58" s="47">
        <v>26</v>
      </c>
      <c r="E58" s="99">
        <v>0</v>
      </c>
    </row>
    <row r="59" spans="1:5">
      <c r="A59" s="99" t="s">
        <v>106</v>
      </c>
      <c r="B59" s="47" t="s">
        <v>103</v>
      </c>
      <c r="C59" s="47">
        <v>9</v>
      </c>
      <c r="D59" s="47">
        <v>35</v>
      </c>
      <c r="E59" s="99">
        <v>0</v>
      </c>
    </row>
    <row r="60" spans="1:5">
      <c r="A60" s="99" t="s">
        <v>81</v>
      </c>
      <c r="B60" s="47" t="s">
        <v>102</v>
      </c>
      <c r="C60" s="47">
        <v>8</v>
      </c>
      <c r="D60" s="47">
        <v>30</v>
      </c>
      <c r="E60" s="99">
        <v>0</v>
      </c>
    </row>
    <row r="61" spans="1:5">
      <c r="A61" s="99" t="s">
        <v>10</v>
      </c>
      <c r="B61" s="47" t="s">
        <v>102</v>
      </c>
      <c r="C61" s="47">
        <v>2</v>
      </c>
      <c r="D61" s="47">
        <v>6</v>
      </c>
      <c r="E61" s="99">
        <v>0</v>
      </c>
    </row>
    <row r="62" spans="1:5">
      <c r="A62" s="99" t="s">
        <v>50</v>
      </c>
      <c r="B62" s="47" t="s">
        <v>103</v>
      </c>
      <c r="C62" s="47">
        <v>4</v>
      </c>
      <c r="D62" s="47">
        <v>14</v>
      </c>
      <c r="E62" s="99">
        <v>0</v>
      </c>
    </row>
    <row r="63" spans="1:5">
      <c r="A63" s="99" t="s">
        <v>130</v>
      </c>
      <c r="B63" s="47" t="s">
        <v>103</v>
      </c>
      <c r="C63" s="47">
        <v>10</v>
      </c>
      <c r="D63" s="47">
        <v>38</v>
      </c>
      <c r="E63" s="176">
        <v>0</v>
      </c>
    </row>
    <row r="64" spans="1:5">
      <c r="A64" s="99" t="s">
        <v>97</v>
      </c>
      <c r="B64" s="47" t="s">
        <v>102</v>
      </c>
      <c r="C64" s="47">
        <v>6</v>
      </c>
      <c r="D64" s="47">
        <v>21</v>
      </c>
      <c r="E64" s="99">
        <v>0</v>
      </c>
    </row>
    <row r="65" spans="1:5">
      <c r="A65" s="99" t="s">
        <v>100</v>
      </c>
      <c r="B65" s="47" t="s">
        <v>102</v>
      </c>
      <c r="C65" s="47">
        <v>13</v>
      </c>
      <c r="D65" s="47">
        <v>49</v>
      </c>
      <c r="E65" s="99">
        <v>0</v>
      </c>
    </row>
    <row r="66" spans="1:5">
      <c r="A66" s="99" t="s">
        <v>161</v>
      </c>
      <c r="B66" s="47" t="s">
        <v>103</v>
      </c>
      <c r="C66" s="47">
        <v>5</v>
      </c>
      <c r="D66" s="47">
        <v>19</v>
      </c>
      <c r="E66" s="99">
        <v>0</v>
      </c>
    </row>
    <row r="67" spans="1:5">
      <c r="A67" s="99" t="s">
        <v>12</v>
      </c>
      <c r="B67" s="40" t="s">
        <v>102</v>
      </c>
      <c r="C67" s="40">
        <v>3</v>
      </c>
      <c r="D67" s="47">
        <v>10</v>
      </c>
      <c r="E67" s="176">
        <v>0</v>
      </c>
    </row>
    <row r="68" spans="1:5">
      <c r="A68" s="99" t="s">
        <v>13</v>
      </c>
      <c r="B68" s="47" t="s">
        <v>102</v>
      </c>
      <c r="C68" s="47">
        <v>4</v>
      </c>
      <c r="D68" s="47">
        <v>13</v>
      </c>
      <c r="E68" s="99">
        <v>0</v>
      </c>
    </row>
    <row r="69" spans="1:5">
      <c r="A69" s="99" t="s">
        <v>4</v>
      </c>
      <c r="B69" s="47" t="s">
        <v>103</v>
      </c>
      <c r="C69" s="47">
        <v>1</v>
      </c>
      <c r="D69" s="47">
        <v>2</v>
      </c>
      <c r="E69" s="99">
        <v>0</v>
      </c>
    </row>
    <row r="70" spans="1:5">
      <c r="A70" s="99" t="s">
        <v>96</v>
      </c>
      <c r="B70" s="47" t="s">
        <v>102</v>
      </c>
      <c r="C70" s="47">
        <v>1</v>
      </c>
      <c r="D70" s="47">
        <v>2</v>
      </c>
      <c r="E70" s="99">
        <v>0</v>
      </c>
    </row>
    <row r="71" spans="1:5">
      <c r="A71" s="99" t="s">
        <v>14</v>
      </c>
      <c r="B71" s="47" t="s">
        <v>102</v>
      </c>
      <c r="C71" s="47">
        <v>5</v>
      </c>
      <c r="D71" s="47">
        <v>19</v>
      </c>
      <c r="E71" s="99">
        <v>0</v>
      </c>
    </row>
    <row r="72" spans="1:5">
      <c r="A72" s="99" t="s">
        <v>60</v>
      </c>
      <c r="B72" s="47" t="s">
        <v>103</v>
      </c>
      <c r="C72" s="47">
        <v>9</v>
      </c>
      <c r="D72" s="47">
        <v>34</v>
      </c>
      <c r="E72" s="99">
        <v>0</v>
      </c>
    </row>
    <row r="73" spans="1:5">
      <c r="A73" s="99" t="s">
        <v>7</v>
      </c>
      <c r="B73" s="47" t="s">
        <v>103</v>
      </c>
      <c r="C73" s="47">
        <v>3</v>
      </c>
      <c r="D73" s="47">
        <v>11</v>
      </c>
      <c r="E73" s="99">
        <v>0</v>
      </c>
    </row>
    <row r="74" spans="1:5">
      <c r="A74" s="99" t="s">
        <v>53</v>
      </c>
      <c r="B74" s="47" t="s">
        <v>103</v>
      </c>
      <c r="C74" s="47">
        <v>4</v>
      </c>
      <c r="D74" s="47">
        <v>16</v>
      </c>
      <c r="E74" s="99">
        <v>0</v>
      </c>
    </row>
    <row r="75" spans="1:5">
      <c r="A75" s="99" t="s">
        <v>51</v>
      </c>
      <c r="B75" s="47" t="s">
        <v>103</v>
      </c>
      <c r="C75" s="47">
        <v>6</v>
      </c>
      <c r="D75" s="47">
        <v>23</v>
      </c>
      <c r="E75" s="99">
        <v>0</v>
      </c>
    </row>
    <row r="76" spans="1:5">
      <c r="A76" s="99" t="s">
        <v>18</v>
      </c>
      <c r="B76" s="47" t="s">
        <v>102</v>
      </c>
      <c r="C76" s="47">
        <v>1</v>
      </c>
      <c r="D76" s="47">
        <v>4</v>
      </c>
      <c r="E76" s="99">
        <v>0</v>
      </c>
    </row>
    <row r="77" spans="1:5">
      <c r="A77" s="99" t="s">
        <v>39</v>
      </c>
      <c r="B77" s="47" t="s">
        <v>102</v>
      </c>
      <c r="C77" s="47">
        <v>12</v>
      </c>
      <c r="D77" s="47">
        <v>47</v>
      </c>
      <c r="E77" s="99">
        <v>0</v>
      </c>
    </row>
    <row r="78" spans="1:5">
      <c r="A78" s="99" t="s">
        <v>72</v>
      </c>
      <c r="B78" s="47" t="s">
        <v>102</v>
      </c>
      <c r="C78" s="47">
        <v>7</v>
      </c>
      <c r="D78" s="47">
        <v>28</v>
      </c>
      <c r="E78" s="99">
        <v>0</v>
      </c>
    </row>
    <row r="79" spans="1:5">
      <c r="A79" s="99" t="s">
        <v>24</v>
      </c>
      <c r="B79" s="47" t="s">
        <v>102</v>
      </c>
      <c r="C79" s="47">
        <v>5</v>
      </c>
      <c r="D79" s="47">
        <v>18</v>
      </c>
      <c r="E79" s="99">
        <v>0</v>
      </c>
    </row>
    <row r="80" spans="1:5">
      <c r="A80" s="99" t="s">
        <v>99</v>
      </c>
      <c r="B80" s="47" t="s">
        <v>102</v>
      </c>
      <c r="C80" s="47">
        <v>10</v>
      </c>
      <c r="D80" s="47">
        <v>37</v>
      </c>
      <c r="E80" s="99">
        <v>0</v>
      </c>
    </row>
    <row r="81" spans="1:5">
      <c r="A81" s="99" t="s">
        <v>8</v>
      </c>
      <c r="B81" s="47" t="s">
        <v>103</v>
      </c>
      <c r="C81" s="47">
        <v>1</v>
      </c>
      <c r="D81" s="47">
        <v>1</v>
      </c>
      <c r="E81" s="99">
        <v>0</v>
      </c>
    </row>
    <row r="82" spans="1:5">
      <c r="A82" s="99" t="s">
        <v>19</v>
      </c>
      <c r="B82" s="47" t="s">
        <v>102</v>
      </c>
      <c r="C82" s="47">
        <v>3</v>
      </c>
      <c r="D82" s="47">
        <v>11</v>
      </c>
      <c r="E82" s="99">
        <v>0</v>
      </c>
    </row>
    <row r="83" spans="1:5">
      <c r="A83" s="99" t="s">
        <v>26</v>
      </c>
      <c r="B83" s="47" t="s">
        <v>102</v>
      </c>
      <c r="C83" s="47">
        <v>4</v>
      </c>
      <c r="D83" s="47">
        <v>14</v>
      </c>
      <c r="E83" s="99">
        <v>0</v>
      </c>
    </row>
    <row r="84" spans="1:5">
      <c r="A84" s="99" t="s">
        <v>35</v>
      </c>
      <c r="B84" s="47" t="s">
        <v>102</v>
      </c>
      <c r="C84" s="47">
        <v>9</v>
      </c>
      <c r="D84" s="47">
        <v>33</v>
      </c>
      <c r="E84" s="99">
        <v>0</v>
      </c>
    </row>
    <row r="85" spans="1:5">
      <c r="A85" s="99" t="s">
        <v>40</v>
      </c>
      <c r="B85" s="47" t="s">
        <v>102</v>
      </c>
      <c r="C85" s="47">
        <v>12</v>
      </c>
      <c r="D85" s="47">
        <v>48</v>
      </c>
      <c r="E85" s="99">
        <v>0</v>
      </c>
    </row>
    <row r="86" spans="1:5">
      <c r="A86" s="99" t="s">
        <v>2</v>
      </c>
      <c r="B86" s="47" t="s">
        <v>102</v>
      </c>
      <c r="C86" s="47">
        <v>4</v>
      </c>
      <c r="D86" s="47">
        <v>15</v>
      </c>
      <c r="E86" s="99">
        <v>0</v>
      </c>
    </row>
    <row r="87" spans="1:5">
      <c r="A87" s="99" t="s">
        <v>66</v>
      </c>
      <c r="B87" s="47" t="s">
        <v>103</v>
      </c>
      <c r="C87" s="47">
        <v>8</v>
      </c>
      <c r="D87" s="47">
        <v>32</v>
      </c>
      <c r="E87" s="99">
        <v>0</v>
      </c>
    </row>
    <row r="88" spans="1:5">
      <c r="A88" s="99" t="s">
        <v>9</v>
      </c>
      <c r="B88" s="47" t="s">
        <v>103</v>
      </c>
      <c r="C88" s="47">
        <v>4</v>
      </c>
      <c r="D88" s="47">
        <v>13</v>
      </c>
      <c r="E88" s="99">
        <v>0</v>
      </c>
    </row>
    <row r="89" spans="1:5">
      <c r="A89" s="99" t="s">
        <v>105</v>
      </c>
      <c r="B89" s="47" t="s">
        <v>102</v>
      </c>
      <c r="C89" s="47">
        <v>8</v>
      </c>
      <c r="D89" s="47">
        <v>32</v>
      </c>
      <c r="E89" s="99">
        <v>0</v>
      </c>
    </row>
    <row r="90" spans="1:5">
      <c r="A90" s="99" t="s">
        <v>118</v>
      </c>
      <c r="B90" s="47" t="s">
        <v>103</v>
      </c>
      <c r="C90" s="47">
        <v>10</v>
      </c>
      <c r="D90" s="47">
        <v>37</v>
      </c>
      <c r="E90" s="176">
        <v>0</v>
      </c>
    </row>
  </sheetData>
  <sortState xmlns:xlrd2="http://schemas.microsoft.com/office/spreadsheetml/2017/richdata2" ref="A2:E90">
    <sortCondition ref="A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South</vt:lpstr>
      <vt:lpstr>North</vt:lpstr>
      <vt:lpstr>Results</vt:lpstr>
      <vt:lpstr>Visuals</vt:lpstr>
      <vt:lpstr>Visual-South</vt:lpstr>
      <vt:lpstr>South Report</vt:lpstr>
      <vt:lpstr>North Report</vt:lpstr>
      <vt:lpstr>South Standings</vt:lpstr>
      <vt:lpstr>North Standings</vt:lpstr>
      <vt:lpstr>Notes</vt:lpstr>
      <vt:lpstr>Entry</vt:lpstr>
      <vt:lpstr>Entry!Print_Area</vt:lpstr>
      <vt:lpstr>North!Print_Area</vt:lpstr>
      <vt:lpstr>'North Report'!Print_Area</vt:lpstr>
      <vt:lpstr>South!Print_Area</vt:lpstr>
      <vt:lpstr>'South Report'!Print_Area</vt:lpstr>
      <vt:lpstr>Entry!Print_Titles</vt:lpstr>
      <vt:lpstr>North!Print_Titles</vt:lpstr>
    </vt:vector>
  </TitlesOfParts>
  <Company>Berktek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Stringfellow</dc:creator>
  <cp:lastModifiedBy>Xylem Inc.</cp:lastModifiedBy>
  <cp:lastPrinted>2020-01-17T17:38:36Z</cp:lastPrinted>
  <dcterms:created xsi:type="dcterms:W3CDTF">2012-07-06T13:46:22Z</dcterms:created>
  <dcterms:modified xsi:type="dcterms:W3CDTF">2020-01-17T17:38:44Z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