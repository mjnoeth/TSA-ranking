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xylemonline-my.sharepoint.com/personal/stefan_xylemonline_onmicrosoft_com/Documents/STEFAN/CSC/TSA/LEAGUES AND SCHEDULING/2026/RANKING/"/>
    </mc:Choice>
  </mc:AlternateContent>
  <xr:revisionPtr revIDLastSave="1390" documentId="8_{93FD90AE-58B3-4298-9E05-7933ED624A4D}" xr6:coauthVersionLast="47" xr6:coauthVersionMax="47" xr10:uidLastSave="{5189AB15-117F-45F8-88BB-FDFAEBB0401A}"/>
  <bookViews>
    <workbookView xWindow="-120" yWindow="-120" windowWidth="29040" windowHeight="15720" activeTab="8" xr2:uid="{33F1BB13-7E57-4250-8321-21B871C002FD}"/>
  </bookViews>
  <sheets>
    <sheet name="South" sheetId="7" r:id="rId1"/>
    <sheet name="North" sheetId="8" r:id="rId2"/>
    <sheet name="Results" sheetId="34" r:id="rId3"/>
    <sheet name="Visuals" sheetId="28" r:id="rId4"/>
    <sheet name="Visual-South" sheetId="33" state="hidden" r:id="rId5"/>
    <sheet name="South Report" sheetId="26" r:id="rId6"/>
    <sheet name="South Report (2)" sheetId="36" r:id="rId7"/>
    <sheet name="North Report" sheetId="27" r:id="rId8"/>
    <sheet name="North Report (2)" sheetId="37" r:id="rId9"/>
    <sheet name="South Standings" sheetId="10" r:id="rId10"/>
    <sheet name="North Standings" sheetId="9" r:id="rId11"/>
    <sheet name="Notes" sheetId="16" r:id="rId12"/>
    <sheet name="Entry" sheetId="31" r:id="rId13"/>
    <sheet name="Version Control" sheetId="35" r:id="rId14"/>
  </sheets>
  <definedNames>
    <definedName name="_xlnm._FilterDatabase" localSheetId="2" hidden="1">Results!$G$1:$G$276</definedName>
    <definedName name="_xlnm.Print_Area" localSheetId="12">Entry!$A:$E</definedName>
    <definedName name="_xlnm.Print_Area" localSheetId="1">North!$A$1:$BI$41</definedName>
    <definedName name="_xlnm.Print_Area" localSheetId="7">'North Report'!$A$1:$J$41</definedName>
    <definedName name="_xlnm.Print_Area" localSheetId="8">'North Report (2)'!$A$1:$J$40</definedName>
    <definedName name="_xlnm.Print_Area" localSheetId="0">South!$A$1:$BV$54</definedName>
    <definedName name="_xlnm.Print_Area" localSheetId="5">'South Report'!$A$1:$J$54</definedName>
    <definedName name="_xlnm.Print_Area" localSheetId="6">'South Report (2)'!$A$1:$J$54</definedName>
    <definedName name="_xlnm.Print_Titles" localSheetId="12">Entry!$1:$1</definedName>
    <definedName name="_xlnm.Print_Titles" localSheetId="1">North!$B:$S,North!$1:$3</definedName>
    <definedName name="Z_BDC744E3_8A98_4FFB_AA7D_7119F2F68EB6_.wvu.Cols" localSheetId="0" hidden="1">South!#REF!</definedName>
    <definedName name="Z_BDC744E3_8A98_4FFB_AA7D_7119F2F68EB6_.wvu.PrintArea" localSheetId="1" hidden="1">North!$AR$24:$BH$40</definedName>
    <definedName name="Z_BDC744E3_8A98_4FFB_AA7D_7119F2F68EB6_.wvu.PrintArea" localSheetId="0" hidden="1">South!$AR$24:$BO$47</definedName>
    <definedName name="Z_BDC744E3_8A98_4FFB_AA7D_7119F2F68EB6_.wvu.PrintTitles" localSheetId="1" hidden="1">North!$A:$S,North!$1:$3</definedName>
    <definedName name="Z_BDC744E3_8A98_4FFB_AA7D_7119F2F68EB6_.wvu.PrintTitles" localSheetId="0" hidden="1">South!$A:$S,South!$1:$3</definedName>
    <definedName name="Z_DE7C2479_4243_442D_8A3C_4D0E1EDB2109_.wvu.Cols" localSheetId="0" hidden="1">South!#REF!</definedName>
    <definedName name="Z_DE7C2479_4243_442D_8A3C_4D0E1EDB2109_.wvu.PrintArea" localSheetId="1" hidden="1">North!$AR$24:$BH$40</definedName>
    <definedName name="Z_DE7C2479_4243_442D_8A3C_4D0E1EDB2109_.wvu.PrintArea" localSheetId="0" hidden="1">South!$A$1:$AU$27</definedName>
    <definedName name="Z_DE7C2479_4243_442D_8A3C_4D0E1EDB2109_.wvu.PrintTitles" localSheetId="1" hidden="1">North!$A:$S,North!$1:$3</definedName>
    <definedName name="Z_DEF8AD2E_C46F_4190_A88E_C6B69C1F99BB_.wvu.Cols" localSheetId="0" hidden="1">South!#REF!</definedName>
    <definedName name="Z_DEF8AD2E_C46F_4190_A88E_C6B69C1F99BB_.wvu.PrintArea" localSheetId="1" hidden="1">North!$U$4:$AU$27</definedName>
    <definedName name="Z_DEF8AD2E_C46F_4190_A88E_C6B69C1F99BB_.wvu.PrintArea" localSheetId="0" hidden="1">South!$A$1:$AU$27</definedName>
    <definedName name="Z_DEF8AD2E_C46F_4190_A88E_C6B69C1F99BB_.wvu.PrintTitles" localSheetId="1" hidden="1">North!$A:$S,North!$1:$3</definedName>
    <definedName name="Z_E7597357_F01A_4EC3_9284_2CC61D1CC724_.wvu.Cols" localSheetId="0" hidden="1">South!#REF!</definedName>
    <definedName name="Z_E7597357_F01A_4EC3_9284_2CC61D1CC724_.wvu.PrintArea" localSheetId="1" hidden="1">North!$AR$24:$BH$40</definedName>
    <definedName name="Z_E7597357_F01A_4EC3_9284_2CC61D1CC724_.wvu.PrintArea" localSheetId="0" hidden="1">South!$A$1:$AU$27</definedName>
    <definedName name="Z_E7597357_F01A_4EC3_9284_2CC61D1CC724_.wvu.PrintTitles" localSheetId="1" hidden="1">North!$A:$S,North!$1:$3</definedName>
  </definedNames>
  <calcPr calcId="191029"/>
  <customWorkbookViews>
    <customWorkbookView name="N-Lower" guid="{DE7C2479-4243-442D-8A3C-4D0E1EDB2109}" maximized="1" xWindow="1" yWindow="1" windowWidth="1920" windowHeight="833" activeSheetId="8"/>
    <customWorkbookView name="N-Upper" guid="{DEF8AD2E-C46F-4190-A88E-C6B69C1F99BB}" maximized="1" xWindow="1" yWindow="1" windowWidth="1920" windowHeight="833" activeSheetId="8"/>
    <customWorkbookView name="S-Lower" guid="{BDC744E3-8A98-4FFB-AA7D-7119F2F68EB6}" maximized="1" xWindow="1" yWindow="1" windowWidth="1920" windowHeight="829" activeSheetId="7"/>
    <customWorkbookView name="S-Upper" guid="{E7597357-F01A-4EC3-9284-2CC61D1CC724}" maximized="1" xWindow="1" yWindow="1" windowWidth="1920" windowHeight="829" activeSheetId="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0" i="37" l="1"/>
  <c r="L40" i="37" s="1"/>
  <c r="C40" i="37"/>
  <c r="B40" i="37"/>
  <c r="J40" i="37" s="1"/>
  <c r="D39" i="37"/>
  <c r="L39" i="37" s="1"/>
  <c r="C39" i="37"/>
  <c r="B39" i="37"/>
  <c r="J39" i="37" s="1"/>
  <c r="H38" i="37"/>
  <c r="D38" i="37"/>
  <c r="E38" i="37" s="1"/>
  <c r="C38" i="37"/>
  <c r="B38" i="37"/>
  <c r="J38" i="37" s="1"/>
  <c r="D37" i="37"/>
  <c r="G37" i="37" s="1"/>
  <c r="C37" i="37"/>
  <c r="B37" i="37"/>
  <c r="I37" i="37" s="1"/>
  <c r="D36" i="37"/>
  <c r="C36" i="37"/>
  <c r="B36" i="37"/>
  <c r="J36" i="37" s="1"/>
  <c r="J35" i="37"/>
  <c r="D35" i="37"/>
  <c r="G35" i="37" s="1"/>
  <c r="H35" i="37" s="1"/>
  <c r="C35" i="37"/>
  <c r="B35" i="37"/>
  <c r="I35" i="37" s="1"/>
  <c r="J34" i="37"/>
  <c r="D34" i="37"/>
  <c r="G34" i="37" s="1"/>
  <c r="C34" i="37"/>
  <c r="F34" i="37" s="1"/>
  <c r="B34" i="37"/>
  <c r="I34" i="37" s="1"/>
  <c r="D33" i="37"/>
  <c r="C33" i="37"/>
  <c r="F33" i="37" s="1"/>
  <c r="B33" i="37"/>
  <c r="I33" i="37" s="1"/>
  <c r="L32" i="37"/>
  <c r="J32" i="37"/>
  <c r="F32" i="37"/>
  <c r="D32" i="37"/>
  <c r="G32" i="37" s="1"/>
  <c r="C32" i="37"/>
  <c r="B32" i="37"/>
  <c r="I32" i="37" s="1"/>
  <c r="D31" i="37"/>
  <c r="E31" i="37" s="1"/>
  <c r="C31" i="37"/>
  <c r="F31" i="37" s="1"/>
  <c r="B31" i="37"/>
  <c r="I31" i="37" s="1"/>
  <c r="F30" i="37"/>
  <c r="D30" i="37"/>
  <c r="G30" i="37" s="1"/>
  <c r="H30" i="37" s="1"/>
  <c r="C30" i="37"/>
  <c r="B30" i="37"/>
  <c r="I30" i="37" s="1"/>
  <c r="D29" i="37"/>
  <c r="E29" i="37" s="1"/>
  <c r="C29" i="37"/>
  <c r="F29" i="37" s="1"/>
  <c r="B29" i="37"/>
  <c r="I29" i="37" s="1"/>
  <c r="L28" i="37"/>
  <c r="J28" i="37"/>
  <c r="D28" i="37"/>
  <c r="E28" i="37" s="1"/>
  <c r="C28" i="37"/>
  <c r="F28" i="37" s="1"/>
  <c r="B28" i="37"/>
  <c r="I28" i="37" s="1"/>
  <c r="D27" i="37"/>
  <c r="G27" i="37" s="1"/>
  <c r="H27" i="37" s="1"/>
  <c r="C27" i="37"/>
  <c r="F27" i="37" s="1"/>
  <c r="B27" i="37"/>
  <c r="I27" i="37" s="1"/>
  <c r="D26" i="37"/>
  <c r="G26" i="37" s="1"/>
  <c r="C26" i="37"/>
  <c r="F26" i="37" s="1"/>
  <c r="B26" i="37"/>
  <c r="I26" i="37" s="1"/>
  <c r="J25" i="37"/>
  <c r="D25" i="37"/>
  <c r="C25" i="37"/>
  <c r="F25" i="37" s="1"/>
  <c r="B25" i="37"/>
  <c r="I25" i="37" s="1"/>
  <c r="J24" i="37"/>
  <c r="D24" i="37"/>
  <c r="G24" i="37" s="1"/>
  <c r="C24" i="37"/>
  <c r="F24" i="37" s="1"/>
  <c r="B24" i="37"/>
  <c r="I24" i="37" s="1"/>
  <c r="L23" i="37"/>
  <c r="D23" i="37"/>
  <c r="G23" i="37" s="1"/>
  <c r="C23" i="37"/>
  <c r="F23" i="37" s="1"/>
  <c r="B23" i="37"/>
  <c r="I23" i="37" s="1"/>
  <c r="D22" i="37"/>
  <c r="C22" i="37"/>
  <c r="F22" i="37" s="1"/>
  <c r="B22" i="37"/>
  <c r="I22" i="37" s="1"/>
  <c r="J21" i="37"/>
  <c r="D21" i="37"/>
  <c r="E21" i="37" s="1"/>
  <c r="C21" i="37"/>
  <c r="F21" i="37" s="1"/>
  <c r="B21" i="37"/>
  <c r="I21" i="37" s="1"/>
  <c r="L20" i="37"/>
  <c r="F20" i="37"/>
  <c r="D20" i="37"/>
  <c r="G20" i="37" s="1"/>
  <c r="H20" i="37" s="1"/>
  <c r="C20" i="37"/>
  <c r="B20" i="37"/>
  <c r="I20" i="37" s="1"/>
  <c r="J19" i="37"/>
  <c r="D19" i="37"/>
  <c r="G19" i="37" s="1"/>
  <c r="C19" i="37"/>
  <c r="F19" i="37" s="1"/>
  <c r="B19" i="37"/>
  <c r="I19" i="37" s="1"/>
  <c r="D18" i="37"/>
  <c r="G18" i="37" s="1"/>
  <c r="C18" i="37"/>
  <c r="F18" i="37" s="1"/>
  <c r="B18" i="37"/>
  <c r="I18" i="37" s="1"/>
  <c r="L17" i="37"/>
  <c r="J17" i="37"/>
  <c r="D17" i="37"/>
  <c r="C17" i="37"/>
  <c r="F17" i="37" s="1"/>
  <c r="B17" i="37"/>
  <c r="I17" i="37" s="1"/>
  <c r="J16" i="37"/>
  <c r="D16" i="37"/>
  <c r="G16" i="37" s="1"/>
  <c r="C16" i="37"/>
  <c r="F16" i="37" s="1"/>
  <c r="B16" i="37"/>
  <c r="I16" i="37" s="1"/>
  <c r="L15" i="37"/>
  <c r="J15" i="37"/>
  <c r="D15" i="37"/>
  <c r="G15" i="37" s="1"/>
  <c r="C15" i="37"/>
  <c r="F15" i="37" s="1"/>
  <c r="B15" i="37"/>
  <c r="I15" i="37" s="1"/>
  <c r="J14" i="37"/>
  <c r="D14" i="37"/>
  <c r="E14" i="37" s="1"/>
  <c r="C14" i="37"/>
  <c r="F14" i="37" s="1"/>
  <c r="B14" i="37"/>
  <c r="I14" i="37" s="1"/>
  <c r="J13" i="37"/>
  <c r="D13" i="37"/>
  <c r="E13" i="37" s="1"/>
  <c r="C13" i="37"/>
  <c r="F13" i="37" s="1"/>
  <c r="B13" i="37"/>
  <c r="I13" i="37" s="1"/>
  <c r="J12" i="37"/>
  <c r="D12" i="37"/>
  <c r="E12" i="37" s="1"/>
  <c r="C12" i="37"/>
  <c r="F12" i="37" s="1"/>
  <c r="B12" i="37"/>
  <c r="I12" i="37" s="1"/>
  <c r="D11" i="37"/>
  <c r="G11" i="37" s="1"/>
  <c r="C11" i="37"/>
  <c r="F11" i="37" s="1"/>
  <c r="B11" i="37"/>
  <c r="I11" i="37" s="1"/>
  <c r="L10" i="37"/>
  <c r="J10" i="37"/>
  <c r="F10" i="37"/>
  <c r="D10" i="37"/>
  <c r="G10" i="37" s="1"/>
  <c r="C10" i="37"/>
  <c r="B10" i="37"/>
  <c r="I10" i="37" s="1"/>
  <c r="D9" i="37"/>
  <c r="E9" i="37" s="1"/>
  <c r="C9" i="37"/>
  <c r="F9" i="37" s="1"/>
  <c r="B9" i="37"/>
  <c r="I9" i="37" s="1"/>
  <c r="J8" i="37"/>
  <c r="F8" i="37"/>
  <c r="D8" i="37"/>
  <c r="E8" i="37" s="1"/>
  <c r="C8" i="37"/>
  <c r="B8" i="37"/>
  <c r="I8" i="37" s="1"/>
  <c r="D7" i="37"/>
  <c r="G7" i="37" s="1"/>
  <c r="C7" i="37"/>
  <c r="F7" i="37" s="1"/>
  <c r="B7" i="37"/>
  <c r="I7" i="37" s="1"/>
  <c r="L6" i="37"/>
  <c r="J6" i="37"/>
  <c r="D6" i="37"/>
  <c r="G6" i="37" s="1"/>
  <c r="C6" i="37"/>
  <c r="F6" i="37" s="1"/>
  <c r="B6" i="37"/>
  <c r="I6" i="37" s="1"/>
  <c r="D5" i="37"/>
  <c r="G5" i="37" s="1"/>
  <c r="H5" i="37" s="1"/>
  <c r="C5" i="37"/>
  <c r="F5" i="37" s="1"/>
  <c r="B5" i="37"/>
  <c r="I5" i="37" s="1"/>
  <c r="J4" i="37"/>
  <c r="D4" i="37"/>
  <c r="C4" i="37"/>
  <c r="F4" i="37" s="1"/>
  <c r="B4" i="37"/>
  <c r="I4" i="37" s="1"/>
  <c r="F54" i="36"/>
  <c r="D54" i="36"/>
  <c r="L54" i="36" s="1"/>
  <c r="B54" i="36"/>
  <c r="A54" i="36"/>
  <c r="F53" i="36"/>
  <c r="A53" i="36"/>
  <c r="D53" i="36" s="1"/>
  <c r="F52" i="36"/>
  <c r="H52" i="36" s="1"/>
  <c r="D52" i="36"/>
  <c r="L52" i="36" s="1"/>
  <c r="B52" i="36"/>
  <c r="A52" i="36"/>
  <c r="A51" i="36"/>
  <c r="B51" i="36" s="1"/>
  <c r="F50" i="36"/>
  <c r="A50" i="36"/>
  <c r="D50" i="36" s="1"/>
  <c r="G50" i="36" s="1"/>
  <c r="H50" i="36" s="1"/>
  <c r="F49" i="36"/>
  <c r="A49" i="36"/>
  <c r="D49" i="36" s="1"/>
  <c r="F48" i="36"/>
  <c r="A48" i="36"/>
  <c r="D48" i="36" s="1"/>
  <c r="F47" i="36"/>
  <c r="D47" i="36"/>
  <c r="G47" i="36" s="1"/>
  <c r="H47" i="36" s="1"/>
  <c r="A47" i="36"/>
  <c r="B47" i="36" s="1"/>
  <c r="I47" i="36" s="1"/>
  <c r="F46" i="36"/>
  <c r="A46" i="36"/>
  <c r="B46" i="36" s="1"/>
  <c r="F45" i="36"/>
  <c r="A45" i="36"/>
  <c r="D45" i="36" s="1"/>
  <c r="F44" i="36"/>
  <c r="A44" i="36"/>
  <c r="B44" i="36" s="1"/>
  <c r="F43" i="36"/>
  <c r="D43" i="36"/>
  <c r="G43" i="36" s="1"/>
  <c r="H43" i="36" s="1"/>
  <c r="A43" i="36"/>
  <c r="B43" i="36" s="1"/>
  <c r="F42" i="36"/>
  <c r="A42" i="36"/>
  <c r="D42" i="36" s="1"/>
  <c r="F41" i="36"/>
  <c r="A41" i="36"/>
  <c r="B41" i="36" s="1"/>
  <c r="L40" i="36"/>
  <c r="F40" i="36"/>
  <c r="D40" i="36"/>
  <c r="G40" i="36" s="1"/>
  <c r="H40" i="36" s="1"/>
  <c r="B40" i="36"/>
  <c r="A40" i="36"/>
  <c r="F39" i="36"/>
  <c r="A39" i="36"/>
  <c r="D39" i="36" s="1"/>
  <c r="F38" i="36"/>
  <c r="A38" i="36"/>
  <c r="B38" i="36" s="1"/>
  <c r="L37" i="36"/>
  <c r="F37" i="36"/>
  <c r="D37" i="36"/>
  <c r="G37" i="36" s="1"/>
  <c r="H37" i="36" s="1"/>
  <c r="B37" i="36"/>
  <c r="I37" i="36" s="1"/>
  <c r="A37" i="36"/>
  <c r="F36" i="36"/>
  <c r="A36" i="36"/>
  <c r="D36" i="36" s="1"/>
  <c r="F35" i="36"/>
  <c r="A35" i="36"/>
  <c r="D35" i="36" s="1"/>
  <c r="F34" i="36"/>
  <c r="D34" i="36"/>
  <c r="L34" i="36" s="1"/>
  <c r="A34" i="36"/>
  <c r="B34" i="36" s="1"/>
  <c r="F33" i="36"/>
  <c r="A33" i="36"/>
  <c r="D33" i="36" s="1"/>
  <c r="F32" i="36"/>
  <c r="D32" i="36"/>
  <c r="L32" i="36" s="1"/>
  <c r="B32" i="36"/>
  <c r="A32" i="36"/>
  <c r="F31" i="36"/>
  <c r="A31" i="36"/>
  <c r="D31" i="36" s="1"/>
  <c r="F30" i="36"/>
  <c r="A30" i="36"/>
  <c r="B30" i="36" s="1"/>
  <c r="F29" i="36"/>
  <c r="D29" i="36"/>
  <c r="G29" i="36" s="1"/>
  <c r="H29" i="36" s="1"/>
  <c r="B29" i="36"/>
  <c r="I29" i="36" s="1"/>
  <c r="A29" i="36"/>
  <c r="F28" i="36"/>
  <c r="A28" i="36"/>
  <c r="D28" i="36" s="1"/>
  <c r="F27" i="36"/>
  <c r="A27" i="36"/>
  <c r="D27" i="36" s="1"/>
  <c r="F26" i="36"/>
  <c r="D26" i="36"/>
  <c r="L26" i="36" s="1"/>
  <c r="B26" i="36"/>
  <c r="A26" i="36"/>
  <c r="F25" i="36"/>
  <c r="A25" i="36"/>
  <c r="D25" i="36" s="1"/>
  <c r="F24" i="36"/>
  <c r="A24" i="36"/>
  <c r="B24" i="36" s="1"/>
  <c r="F23" i="36"/>
  <c r="A23" i="36"/>
  <c r="D23" i="36" s="1"/>
  <c r="L22" i="36"/>
  <c r="F22" i="36"/>
  <c r="D22" i="36"/>
  <c r="G22" i="36" s="1"/>
  <c r="H22" i="36" s="1"/>
  <c r="B22" i="36"/>
  <c r="A22" i="36"/>
  <c r="F21" i="36"/>
  <c r="A21" i="36"/>
  <c r="D21" i="36" s="1"/>
  <c r="F20" i="36"/>
  <c r="A20" i="36"/>
  <c r="D20" i="36" s="1"/>
  <c r="F19" i="36"/>
  <c r="D19" i="36"/>
  <c r="G19" i="36" s="1"/>
  <c r="H19" i="36" s="1"/>
  <c r="A19" i="36"/>
  <c r="B19" i="36" s="1"/>
  <c r="F18" i="36"/>
  <c r="A18" i="36"/>
  <c r="D18" i="36" s="1"/>
  <c r="L17" i="36"/>
  <c r="F17" i="36"/>
  <c r="D17" i="36"/>
  <c r="G17" i="36" s="1"/>
  <c r="H17" i="36" s="1"/>
  <c r="B17" i="36"/>
  <c r="I17" i="36" s="1"/>
  <c r="A17" i="36"/>
  <c r="F16" i="36"/>
  <c r="A16" i="36"/>
  <c r="D16" i="36" s="1"/>
  <c r="F15" i="36"/>
  <c r="A15" i="36"/>
  <c r="D15" i="36" s="1"/>
  <c r="L14" i="36"/>
  <c r="F14" i="36"/>
  <c r="D14" i="36"/>
  <c r="G14" i="36" s="1"/>
  <c r="H14" i="36" s="1"/>
  <c r="A14" i="36"/>
  <c r="B14" i="36" s="1"/>
  <c r="F13" i="36"/>
  <c r="A13" i="36"/>
  <c r="D13" i="36" s="1"/>
  <c r="F12" i="36"/>
  <c r="A12" i="36"/>
  <c r="D12" i="36" s="1"/>
  <c r="F11" i="36"/>
  <c r="A11" i="36"/>
  <c r="D11" i="36" s="1"/>
  <c r="S10" i="36"/>
  <c r="F10" i="36"/>
  <c r="A10" i="36"/>
  <c r="B10" i="36" s="1"/>
  <c r="S9" i="36"/>
  <c r="F9" i="36"/>
  <c r="A9" i="36"/>
  <c r="D9" i="36" s="1"/>
  <c r="L9" i="36" s="1"/>
  <c r="S8" i="36"/>
  <c r="F8" i="36"/>
  <c r="A8" i="36"/>
  <c r="S7" i="36"/>
  <c r="F7" i="36"/>
  <c r="A7" i="36"/>
  <c r="B7" i="36" s="1"/>
  <c r="S6" i="36"/>
  <c r="F6" i="36"/>
  <c r="A6" i="36"/>
  <c r="B6" i="36" s="1"/>
  <c r="S5" i="36"/>
  <c r="F5" i="36"/>
  <c r="A5" i="36"/>
  <c r="D5" i="36" s="1"/>
  <c r="S4" i="36"/>
  <c r="G4" i="36"/>
  <c r="H4" i="36" s="1"/>
  <c r="F4" i="36"/>
  <c r="A4" i="36"/>
  <c r="D4" i="36" s="1"/>
  <c r="L4" i="36" s="1"/>
  <c r="G2" i="36"/>
  <c r="F2" i="36"/>
  <c r="J1" i="36"/>
  <c r="I1" i="36"/>
  <c r="AO1" i="7"/>
  <c r="H278" i="34"/>
  <c r="G278" i="34"/>
  <c r="F278" i="34"/>
  <c r="E25" i="37" l="1"/>
  <c r="E36" i="37"/>
  <c r="L21" i="37"/>
  <c r="H18" i="37"/>
  <c r="L25" i="37"/>
  <c r="L36" i="37"/>
  <c r="J7" i="37"/>
  <c r="L14" i="37"/>
  <c r="J29" i="37"/>
  <c r="L7" i="37"/>
  <c r="J18" i="37"/>
  <c r="L22" i="37"/>
  <c r="L29" i="37"/>
  <c r="E33" i="37"/>
  <c r="E4" i="37"/>
  <c r="J11" i="37"/>
  <c r="L18" i="37"/>
  <c r="H26" i="37"/>
  <c r="J33" i="37"/>
  <c r="H37" i="37"/>
  <c r="L11" i="37"/>
  <c r="J22" i="37"/>
  <c r="L33" i="37"/>
  <c r="J37" i="37"/>
  <c r="J26" i="37"/>
  <c r="L37" i="37"/>
  <c r="L4" i="37"/>
  <c r="L26" i="37"/>
  <c r="J30" i="37"/>
  <c r="H34" i="37"/>
  <c r="L8" i="37"/>
  <c r="L19" i="37"/>
  <c r="J23" i="37"/>
  <c r="L30" i="37"/>
  <c r="H16" i="37"/>
  <c r="J5" i="37"/>
  <c r="L12" i="37"/>
  <c r="J27" i="37"/>
  <c r="L34" i="37"/>
  <c r="L38" i="37"/>
  <c r="L5" i="37"/>
  <c r="L27" i="37"/>
  <c r="J9" i="37"/>
  <c r="L16" i="37"/>
  <c r="H24" i="37"/>
  <c r="J31" i="37"/>
  <c r="L9" i="37"/>
  <c r="J20" i="37"/>
  <c r="L31" i="37"/>
  <c r="H6" i="37"/>
  <c r="L13" i="37"/>
  <c r="E17" i="37"/>
  <c r="L24" i="37"/>
  <c r="L35" i="37"/>
  <c r="H10" i="37"/>
  <c r="H32" i="37"/>
  <c r="L53" i="36"/>
  <c r="G53" i="36"/>
  <c r="H53" i="36" s="1"/>
  <c r="B53" i="36"/>
  <c r="J53" i="36" s="1"/>
  <c r="B50" i="36"/>
  <c r="J50" i="36" s="1"/>
  <c r="D46" i="36"/>
  <c r="G46" i="36" s="1"/>
  <c r="H46" i="36" s="1"/>
  <c r="H11" i="37"/>
  <c r="H15" i="37"/>
  <c r="H19" i="37"/>
  <c r="H23" i="37"/>
  <c r="H7" i="37"/>
  <c r="E40" i="37"/>
  <c r="E20" i="37"/>
  <c r="E16" i="37"/>
  <c r="E6" i="37"/>
  <c r="E10" i="37"/>
  <c r="E18" i="37"/>
  <c r="E24" i="37"/>
  <c r="E26" i="37"/>
  <c r="E30" i="37"/>
  <c r="E32" i="37"/>
  <c r="E34" i="37"/>
  <c r="G40" i="37"/>
  <c r="H40" i="37" s="1"/>
  <c r="G4" i="37"/>
  <c r="H4" i="37" s="1"/>
  <c r="G8" i="37"/>
  <c r="H8" i="37" s="1"/>
  <c r="G12" i="37"/>
  <c r="H12" i="37" s="1"/>
  <c r="G14" i="37"/>
  <c r="H14" i="37" s="1"/>
  <c r="G22" i="37"/>
  <c r="H22" i="37" s="1"/>
  <c r="G28" i="37"/>
  <c r="H28" i="37" s="1"/>
  <c r="G36" i="37"/>
  <c r="H36" i="37" s="1"/>
  <c r="I40" i="37"/>
  <c r="I38" i="37"/>
  <c r="E22" i="37"/>
  <c r="I36" i="37"/>
  <c r="E23" i="37"/>
  <c r="E7" i="37"/>
  <c r="E15" i="37"/>
  <c r="E35" i="37"/>
  <c r="E5" i="37"/>
  <c r="E11" i="37"/>
  <c r="E19" i="37"/>
  <c r="E27" i="37"/>
  <c r="E37" i="37"/>
  <c r="G9" i="37"/>
  <c r="H9" i="37" s="1"/>
  <c r="G13" i="37"/>
  <c r="H13" i="37" s="1"/>
  <c r="G17" i="37"/>
  <c r="H17" i="37" s="1"/>
  <c r="G21" i="37"/>
  <c r="H21" i="37" s="1"/>
  <c r="G25" i="37"/>
  <c r="H25" i="37" s="1"/>
  <c r="G29" i="37"/>
  <c r="H29" i="37" s="1"/>
  <c r="G31" i="37"/>
  <c r="H31" i="37" s="1"/>
  <c r="G33" i="37"/>
  <c r="H33" i="37" s="1"/>
  <c r="I39" i="37"/>
  <c r="E39" i="37"/>
  <c r="G39" i="37"/>
  <c r="H39" i="37" s="1"/>
  <c r="G25" i="36"/>
  <c r="H25" i="36" s="1"/>
  <c r="L25" i="36"/>
  <c r="E25" i="36"/>
  <c r="G49" i="36"/>
  <c r="H49" i="36" s="1"/>
  <c r="L49" i="36"/>
  <c r="E49" i="36"/>
  <c r="G35" i="36"/>
  <c r="H35" i="36" s="1"/>
  <c r="L35" i="36"/>
  <c r="E35" i="36"/>
  <c r="G42" i="36"/>
  <c r="H42" i="36" s="1"/>
  <c r="L42" i="36"/>
  <c r="E42" i="36"/>
  <c r="J24" i="36"/>
  <c r="I24" i="36"/>
  <c r="G33" i="36"/>
  <c r="H33" i="36" s="1"/>
  <c r="L33" i="36"/>
  <c r="E33" i="36"/>
  <c r="G11" i="36"/>
  <c r="H11" i="36" s="1"/>
  <c r="L11" i="36"/>
  <c r="E11" i="36"/>
  <c r="L12" i="36"/>
  <c r="G12" i="36"/>
  <c r="H12" i="36" s="1"/>
  <c r="E12" i="36"/>
  <c r="I6" i="36"/>
  <c r="J6" i="36"/>
  <c r="R8" i="36" s="1"/>
  <c r="J44" i="36"/>
  <c r="I44" i="36"/>
  <c r="G39" i="36"/>
  <c r="H39" i="36" s="1"/>
  <c r="L39" i="36"/>
  <c r="E39" i="36"/>
  <c r="G48" i="36"/>
  <c r="H48" i="36" s="1"/>
  <c r="L48" i="36"/>
  <c r="E48" i="36"/>
  <c r="L5" i="36"/>
  <c r="G5" i="36"/>
  <c r="H5" i="36" s="1"/>
  <c r="E5" i="36"/>
  <c r="G27" i="36"/>
  <c r="H27" i="36" s="1"/>
  <c r="L27" i="36"/>
  <c r="E27" i="36"/>
  <c r="E20" i="36"/>
  <c r="L20" i="36"/>
  <c r="G20" i="36"/>
  <c r="H20" i="36" s="1"/>
  <c r="L28" i="36"/>
  <c r="G28" i="36"/>
  <c r="H28" i="36" s="1"/>
  <c r="E28" i="36"/>
  <c r="G21" i="36"/>
  <c r="H21" i="36" s="1"/>
  <c r="E21" i="36"/>
  <c r="L21" i="36"/>
  <c r="L36" i="36"/>
  <c r="G36" i="36"/>
  <c r="H36" i="36" s="1"/>
  <c r="E36" i="36"/>
  <c r="J7" i="36"/>
  <c r="I7" i="36"/>
  <c r="J30" i="36"/>
  <c r="I30" i="36"/>
  <c r="G45" i="36"/>
  <c r="H45" i="36" s="1"/>
  <c r="L45" i="36"/>
  <c r="E45" i="36"/>
  <c r="L16" i="36"/>
  <c r="G16" i="36"/>
  <c r="H16" i="36" s="1"/>
  <c r="E16" i="36"/>
  <c r="J10" i="36"/>
  <c r="I10" i="36"/>
  <c r="G18" i="36"/>
  <c r="H18" i="36" s="1"/>
  <c r="E18" i="36"/>
  <c r="L18" i="36"/>
  <c r="I41" i="36"/>
  <c r="J41" i="36"/>
  <c r="G13" i="36"/>
  <c r="H13" i="36" s="1"/>
  <c r="L13" i="36"/>
  <c r="E13" i="36"/>
  <c r="J14" i="36"/>
  <c r="I14" i="36"/>
  <c r="I43" i="36"/>
  <c r="J43" i="36"/>
  <c r="J51" i="36"/>
  <c r="I51" i="36"/>
  <c r="G15" i="36"/>
  <c r="H15" i="36" s="1"/>
  <c r="L15" i="36"/>
  <c r="E15" i="36"/>
  <c r="G23" i="36"/>
  <c r="H23" i="36" s="1"/>
  <c r="E23" i="36"/>
  <c r="L23" i="36"/>
  <c r="G31" i="36"/>
  <c r="H31" i="36" s="1"/>
  <c r="L31" i="36"/>
  <c r="E31" i="36"/>
  <c r="J38" i="36"/>
  <c r="I38" i="36"/>
  <c r="J46" i="36"/>
  <c r="I46" i="36"/>
  <c r="I19" i="36"/>
  <c r="J19" i="36"/>
  <c r="J34" i="36"/>
  <c r="I34" i="36"/>
  <c r="J17" i="36"/>
  <c r="B18" i="36"/>
  <c r="E32" i="36"/>
  <c r="D41" i="36"/>
  <c r="B21" i="36"/>
  <c r="J47" i="36"/>
  <c r="D10" i="36"/>
  <c r="D24" i="36"/>
  <c r="D6" i="36"/>
  <c r="B13" i="36"/>
  <c r="D30" i="36"/>
  <c r="B33" i="36"/>
  <c r="B45" i="36"/>
  <c r="B48" i="36"/>
  <c r="D51" i="36"/>
  <c r="B16" i="36"/>
  <c r="B36" i="36"/>
  <c r="B39" i="36"/>
  <c r="B42" i="36"/>
  <c r="E4" i="36"/>
  <c r="J52" i="36"/>
  <c r="I52" i="36"/>
  <c r="E19" i="36"/>
  <c r="B12" i="36"/>
  <c r="B15" i="36"/>
  <c r="J22" i="36"/>
  <c r="I22" i="36"/>
  <c r="B25" i="36"/>
  <c r="E22" i="36"/>
  <c r="B28" i="36"/>
  <c r="E52" i="36"/>
  <c r="B11" i="36"/>
  <c r="B31" i="36"/>
  <c r="B49" i="36"/>
  <c r="L19" i="36"/>
  <c r="J40" i="36"/>
  <c r="I40" i="36"/>
  <c r="B20" i="36"/>
  <c r="E34" i="36"/>
  <c r="B5" i="36"/>
  <c r="D7" i="36"/>
  <c r="E17" i="36"/>
  <c r="B23" i="36"/>
  <c r="E37" i="36"/>
  <c r="E40" i="36"/>
  <c r="E9" i="36"/>
  <c r="E14" i="36"/>
  <c r="E43" i="36"/>
  <c r="G9" i="36"/>
  <c r="H9" i="36" s="1"/>
  <c r="J26" i="36"/>
  <c r="R10" i="36" s="1"/>
  <c r="I26" i="36"/>
  <c r="G34" i="36"/>
  <c r="H34" i="36" s="1"/>
  <c r="J37" i="36"/>
  <c r="L43" i="36"/>
  <c r="J54" i="36"/>
  <c r="I54" i="36"/>
  <c r="E26" i="36"/>
  <c r="E29" i="36"/>
  <c r="D44" i="36"/>
  <c r="D38" i="36"/>
  <c r="E54" i="36"/>
  <c r="J32" i="36"/>
  <c r="I32" i="36"/>
  <c r="B35" i="36"/>
  <c r="J29" i="36"/>
  <c r="G32" i="36"/>
  <c r="H32" i="36" s="1"/>
  <c r="L50" i="36"/>
  <c r="G26" i="36"/>
  <c r="H26" i="36" s="1"/>
  <c r="E47" i="36"/>
  <c r="L47" i="36"/>
  <c r="G54" i="36"/>
  <c r="H54" i="36" s="1"/>
  <c r="E50" i="36"/>
  <c r="L29" i="36"/>
  <c r="D8" i="36"/>
  <c r="B8" i="36"/>
  <c r="B27" i="36"/>
  <c r="B4" i="36"/>
  <c r="B9" i="36"/>
  <c r="E53" i="36"/>
  <c r="H140" i="34"/>
  <c r="G140" i="34"/>
  <c r="F140" i="34"/>
  <c r="F186" i="34"/>
  <c r="G186" i="34"/>
  <c r="F54" i="26"/>
  <c r="A54" i="26"/>
  <c r="I53" i="36" l="1"/>
  <c r="I50" i="36"/>
  <c r="L46" i="36"/>
  <c r="E46" i="36"/>
  <c r="G38" i="36"/>
  <c r="H38" i="36" s="1"/>
  <c r="L38" i="36"/>
  <c r="E38" i="36"/>
  <c r="J12" i="36"/>
  <c r="I12" i="36"/>
  <c r="G41" i="36"/>
  <c r="H41" i="36" s="1"/>
  <c r="L41" i="36"/>
  <c r="E41" i="36"/>
  <c r="J4" i="36"/>
  <c r="R4" i="36" s="1"/>
  <c r="I4" i="36"/>
  <c r="J5" i="36"/>
  <c r="R6" i="36" s="1"/>
  <c r="I5" i="36"/>
  <c r="J18" i="36"/>
  <c r="I18" i="36"/>
  <c r="J42" i="36"/>
  <c r="I42" i="36"/>
  <c r="J9" i="36"/>
  <c r="R7" i="36" s="1"/>
  <c r="I9" i="36"/>
  <c r="I39" i="36"/>
  <c r="J39" i="36"/>
  <c r="I21" i="36"/>
  <c r="J21" i="36"/>
  <c r="I27" i="36"/>
  <c r="J27" i="36"/>
  <c r="L8" i="36"/>
  <c r="G8" i="36"/>
  <c r="H8" i="36" s="1"/>
  <c r="E8" i="36"/>
  <c r="I15" i="36"/>
  <c r="J15" i="36"/>
  <c r="J36" i="36"/>
  <c r="I36" i="36"/>
  <c r="J16" i="36"/>
  <c r="I16" i="36"/>
  <c r="G44" i="36"/>
  <c r="H44" i="36" s="1"/>
  <c r="L44" i="36"/>
  <c r="E44" i="36"/>
  <c r="G7" i="36"/>
  <c r="H7" i="36" s="1"/>
  <c r="L7" i="36"/>
  <c r="E7" i="36"/>
  <c r="J8" i="36"/>
  <c r="R5" i="36" s="1"/>
  <c r="I8" i="36"/>
  <c r="J20" i="36"/>
  <c r="I20" i="36"/>
  <c r="L51" i="36"/>
  <c r="G51" i="36"/>
  <c r="H51" i="36" s="1"/>
  <c r="E51" i="36"/>
  <c r="I23" i="36"/>
  <c r="J23" i="36"/>
  <c r="I49" i="36"/>
  <c r="J49" i="36"/>
  <c r="J48" i="36"/>
  <c r="I48" i="36"/>
  <c r="L30" i="36"/>
  <c r="G30" i="36"/>
  <c r="H30" i="36" s="1"/>
  <c r="E30" i="36"/>
  <c r="I11" i="36"/>
  <c r="J11" i="36"/>
  <c r="R9" i="36" s="1"/>
  <c r="I13" i="36"/>
  <c r="J13" i="36"/>
  <c r="I31" i="36"/>
  <c r="J31" i="36"/>
  <c r="G6" i="36"/>
  <c r="H6" i="36" s="1"/>
  <c r="L6" i="36"/>
  <c r="E6" i="36"/>
  <c r="I33" i="36"/>
  <c r="J33" i="36"/>
  <c r="E24" i="36"/>
  <c r="L24" i="36"/>
  <c r="G24" i="36"/>
  <c r="H24" i="36" s="1"/>
  <c r="I45" i="36"/>
  <c r="J45" i="36"/>
  <c r="J28" i="36"/>
  <c r="I28" i="36"/>
  <c r="I35" i="36"/>
  <c r="J35" i="36"/>
  <c r="I25" i="36"/>
  <c r="J25" i="36"/>
  <c r="L10" i="36"/>
  <c r="E10" i="36"/>
  <c r="G10" i="36"/>
  <c r="H10" i="36" s="1"/>
  <c r="BV1" i="7"/>
  <c r="A52" i="10"/>
  <c r="CF54" i="7"/>
  <c r="CG54" i="7" s="1"/>
  <c r="L54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  <c r="BI1" i="7"/>
  <c r="BJ1" i="7"/>
  <c r="BK1" i="7"/>
  <c r="BL1" i="7"/>
  <c r="BM1" i="7"/>
  <c r="BN1" i="7"/>
  <c r="BO1" i="7"/>
  <c r="BP1" i="7"/>
  <c r="BQ1" i="7"/>
  <c r="BR1" i="7"/>
  <c r="BS1" i="7"/>
  <c r="BT1" i="7"/>
  <c r="BU1" i="7"/>
  <c r="S10" i="26"/>
  <c r="S9" i="26"/>
  <c r="S8" i="26"/>
  <c r="S7" i="26"/>
  <c r="S6" i="26"/>
  <c r="S5" i="26"/>
  <c r="S4" i="26"/>
  <c r="J1" i="26"/>
  <c r="I1" i="26"/>
  <c r="G2" i="26"/>
  <c r="F2" i="26"/>
  <c r="B2" i="8"/>
  <c r="A2" i="8"/>
  <c r="F41" i="27"/>
  <c r="F40" i="27"/>
  <c r="BT41" i="8" l="1"/>
  <c r="BT39" i="8"/>
  <c r="BT36" i="8"/>
  <c r="BT40" i="8"/>
  <c r="BT33" i="8"/>
  <c r="BT35" i="8"/>
  <c r="BT37" i="8"/>
  <c r="BT38" i="8"/>
  <c r="BT28" i="8"/>
  <c r="BT29" i="8"/>
  <c r="BT32" i="8"/>
  <c r="BT31" i="8"/>
  <c r="BT25" i="8"/>
  <c r="BT34" i="8"/>
  <c r="BT26" i="8"/>
  <c r="BT24" i="8"/>
  <c r="BT30" i="8"/>
  <c r="BT23" i="8"/>
  <c r="BT20" i="8"/>
  <c r="BT27" i="8"/>
  <c r="BT21" i="8"/>
  <c r="BT16" i="8"/>
  <c r="BT22" i="8"/>
  <c r="BT19" i="8"/>
  <c r="BT13" i="8"/>
  <c r="BT15" i="8"/>
  <c r="BT17" i="8"/>
  <c r="BT18" i="8"/>
  <c r="BT14" i="8"/>
  <c r="BT11" i="8"/>
  <c r="BT12" i="8"/>
  <c r="BT8" i="8"/>
  <c r="BT7" i="8"/>
  <c r="BT6" i="8"/>
  <c r="BT9" i="8"/>
  <c r="BT10" i="8"/>
  <c r="BT5" i="8"/>
  <c r="BT4" i="8"/>
  <c r="L52" i="7"/>
  <c r="L47" i="7"/>
  <c r="L49" i="7"/>
  <c r="L46" i="7"/>
  <c r="L51" i="7"/>
  <c r="L50" i="7"/>
  <c r="L43" i="7"/>
  <c r="L41" i="7"/>
  <c r="L39" i="7"/>
  <c r="L48" i="7"/>
  <c r="L44" i="7"/>
  <c r="L40" i="7"/>
  <c r="L45" i="7"/>
  <c r="L36" i="7"/>
  <c r="L42" i="7"/>
  <c r="L37" i="7"/>
  <c r="L31" i="7"/>
  <c r="L33" i="7"/>
  <c r="L38" i="7"/>
  <c r="L32" i="7"/>
  <c r="L35" i="7"/>
  <c r="L27" i="7"/>
  <c r="L28" i="7"/>
  <c r="L34" i="7"/>
  <c r="L23" i="7"/>
  <c r="L29" i="7"/>
  <c r="L24" i="7"/>
  <c r="L30" i="7"/>
  <c r="L25" i="7"/>
  <c r="L20" i="7"/>
  <c r="L53" i="7"/>
  <c r="L22" i="7"/>
  <c r="L16" i="7"/>
  <c r="L26" i="7"/>
  <c r="L19" i="7"/>
  <c r="L18" i="7"/>
  <c r="L21" i="7"/>
  <c r="L13" i="7"/>
  <c r="L12" i="7"/>
  <c r="L17" i="7"/>
  <c r="L14" i="7"/>
  <c r="L8" i="7"/>
  <c r="L15" i="7"/>
  <c r="L9" i="7"/>
  <c r="L7" i="7"/>
  <c r="L10" i="7"/>
  <c r="L4" i="7"/>
  <c r="L5" i="7"/>
  <c r="L6" i="7"/>
  <c r="L11" i="7"/>
  <c r="L41" i="8"/>
  <c r="L39" i="8"/>
  <c r="L36" i="8"/>
  <c r="L40" i="8"/>
  <c r="L33" i="8"/>
  <c r="L35" i="8"/>
  <c r="L37" i="8"/>
  <c r="L38" i="8"/>
  <c r="L28" i="8"/>
  <c r="L29" i="8"/>
  <c r="L32" i="8"/>
  <c r="L31" i="8"/>
  <c r="L25" i="8"/>
  <c r="L34" i="8"/>
  <c r="L26" i="8"/>
  <c r="L24" i="8"/>
  <c r="L30" i="8"/>
  <c r="L23" i="8"/>
  <c r="L20" i="8"/>
  <c r="L27" i="8"/>
  <c r="L21" i="8"/>
  <c r="L16" i="8"/>
  <c r="L22" i="8"/>
  <c r="L19" i="8"/>
  <c r="L13" i="8"/>
  <c r="L15" i="8"/>
  <c r="L17" i="8"/>
  <c r="L18" i="8"/>
  <c r="L14" i="8"/>
  <c r="L11" i="8"/>
  <c r="L12" i="8"/>
  <c r="L8" i="8"/>
  <c r="L7" i="8"/>
  <c r="L6" i="8"/>
  <c r="L9" i="8"/>
  <c r="L10" i="8"/>
  <c r="L5" i="8"/>
  <c r="L4" i="8"/>
  <c r="F52" i="26" l="1"/>
  <c r="F53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53" i="26"/>
  <c r="G277" i="34"/>
  <c r="F277" i="34"/>
  <c r="G276" i="34"/>
  <c r="F276" i="34"/>
  <c r="G275" i="34"/>
  <c r="F275" i="34"/>
  <c r="G274" i="34"/>
  <c r="F274" i="34"/>
  <c r="G273" i="34"/>
  <c r="F273" i="34"/>
  <c r="G272" i="34"/>
  <c r="F272" i="34"/>
  <c r="G271" i="34"/>
  <c r="F271" i="34"/>
  <c r="G270" i="34"/>
  <c r="F270" i="34"/>
  <c r="G269" i="34"/>
  <c r="F269" i="34"/>
  <c r="G268" i="34"/>
  <c r="F268" i="34"/>
  <c r="G267" i="34"/>
  <c r="F267" i="34"/>
  <c r="G266" i="34"/>
  <c r="F266" i="34"/>
  <c r="G265" i="34"/>
  <c r="F265" i="34"/>
  <c r="G264" i="34"/>
  <c r="F264" i="34"/>
  <c r="G263" i="34"/>
  <c r="F263" i="34"/>
  <c r="G262" i="34"/>
  <c r="F262" i="34"/>
  <c r="G261" i="34"/>
  <c r="F261" i="34"/>
  <c r="G260" i="34"/>
  <c r="F260" i="34"/>
  <c r="G259" i="34"/>
  <c r="F259" i="34"/>
  <c r="G258" i="34"/>
  <c r="F258" i="34"/>
  <c r="G257" i="34"/>
  <c r="F257" i="34"/>
  <c r="G256" i="34"/>
  <c r="F256" i="34"/>
  <c r="G255" i="34"/>
  <c r="F255" i="34"/>
  <c r="G254" i="34"/>
  <c r="F254" i="34"/>
  <c r="G253" i="34"/>
  <c r="F253" i="34"/>
  <c r="G252" i="34"/>
  <c r="F252" i="34"/>
  <c r="G251" i="34"/>
  <c r="F251" i="34"/>
  <c r="G250" i="34"/>
  <c r="F250" i="34"/>
  <c r="G249" i="34"/>
  <c r="F249" i="34"/>
  <c r="G248" i="34"/>
  <c r="F248" i="34"/>
  <c r="G247" i="34"/>
  <c r="F247" i="34"/>
  <c r="G246" i="34"/>
  <c r="F246" i="34"/>
  <c r="G245" i="34"/>
  <c r="F245" i="34"/>
  <c r="G244" i="34"/>
  <c r="F244" i="34"/>
  <c r="G243" i="34"/>
  <c r="F243" i="34"/>
  <c r="G242" i="34"/>
  <c r="F242" i="34"/>
  <c r="G241" i="34"/>
  <c r="F241" i="34"/>
  <c r="G240" i="34"/>
  <c r="F240" i="34"/>
  <c r="G239" i="34"/>
  <c r="F239" i="34"/>
  <c r="G238" i="34"/>
  <c r="F238" i="34"/>
  <c r="G237" i="34"/>
  <c r="F237" i="34"/>
  <c r="G236" i="34"/>
  <c r="F236" i="34"/>
  <c r="G235" i="34"/>
  <c r="F235" i="34"/>
  <c r="G234" i="34"/>
  <c r="F234" i="34"/>
  <c r="H277" i="34"/>
  <c r="H276" i="34"/>
  <c r="H275" i="34"/>
  <c r="H274" i="34"/>
  <c r="H273" i="34"/>
  <c r="H272" i="34"/>
  <c r="H271" i="34"/>
  <c r="H270" i="34"/>
  <c r="H269" i="34"/>
  <c r="H268" i="34"/>
  <c r="H267" i="34"/>
  <c r="H266" i="34"/>
  <c r="H265" i="34"/>
  <c r="H264" i="34"/>
  <c r="H263" i="34"/>
  <c r="H262" i="34"/>
  <c r="H261" i="34"/>
  <c r="H260" i="34"/>
  <c r="H259" i="34"/>
  <c r="H258" i="34"/>
  <c r="H257" i="34"/>
  <c r="H256" i="34"/>
  <c r="H255" i="34"/>
  <c r="H254" i="34"/>
  <c r="H253" i="34"/>
  <c r="H252" i="34"/>
  <c r="H251" i="34"/>
  <c r="H250" i="34"/>
  <c r="H249" i="34"/>
  <c r="H248" i="34"/>
  <c r="H247" i="34"/>
  <c r="H246" i="34"/>
  <c r="H245" i="34"/>
  <c r="H244" i="34"/>
  <c r="H243" i="34"/>
  <c r="H242" i="34"/>
  <c r="H241" i="34"/>
  <c r="H240" i="34"/>
  <c r="H239" i="34"/>
  <c r="H238" i="34"/>
  <c r="H237" i="34"/>
  <c r="H236" i="34"/>
  <c r="H235" i="34"/>
  <c r="H234" i="34"/>
  <c r="H188" i="34"/>
  <c r="H189" i="34"/>
  <c r="H190" i="34"/>
  <c r="H191" i="34"/>
  <c r="H192" i="34"/>
  <c r="H193" i="34"/>
  <c r="H194" i="34"/>
  <c r="H195" i="34"/>
  <c r="H196" i="34"/>
  <c r="H19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3" i="34"/>
  <c r="H214" i="34"/>
  <c r="H215" i="34"/>
  <c r="H216" i="34"/>
  <c r="H217" i="34"/>
  <c r="H218" i="34"/>
  <c r="H219" i="34"/>
  <c r="H220" i="34"/>
  <c r="H221" i="34"/>
  <c r="H222" i="34"/>
  <c r="H223" i="34"/>
  <c r="H224" i="34"/>
  <c r="H225" i="34"/>
  <c r="H226" i="34"/>
  <c r="H227" i="34"/>
  <c r="H228" i="34"/>
  <c r="H229" i="34"/>
  <c r="H230" i="34"/>
  <c r="H231" i="34"/>
  <c r="G231" i="34"/>
  <c r="F231" i="34"/>
  <c r="G230" i="34"/>
  <c r="F230" i="34"/>
  <c r="G229" i="34"/>
  <c r="F229" i="34"/>
  <c r="G228" i="34"/>
  <c r="F228" i="34"/>
  <c r="G227" i="34"/>
  <c r="F227" i="34"/>
  <c r="G226" i="34"/>
  <c r="F226" i="34"/>
  <c r="G225" i="34"/>
  <c r="F225" i="34"/>
  <c r="G224" i="34"/>
  <c r="F224" i="34"/>
  <c r="G223" i="34"/>
  <c r="F223" i="34"/>
  <c r="G222" i="34"/>
  <c r="F222" i="34"/>
  <c r="G221" i="34"/>
  <c r="F221" i="34"/>
  <c r="G220" i="34"/>
  <c r="F220" i="34"/>
  <c r="G219" i="34"/>
  <c r="F219" i="34"/>
  <c r="G218" i="34"/>
  <c r="F218" i="34"/>
  <c r="G217" i="34"/>
  <c r="F217" i="34"/>
  <c r="G216" i="34"/>
  <c r="F216" i="34"/>
  <c r="G215" i="34"/>
  <c r="F215" i="34"/>
  <c r="G214" i="34"/>
  <c r="F214" i="34"/>
  <c r="G213" i="34"/>
  <c r="F213" i="34"/>
  <c r="G212" i="34"/>
  <c r="F212" i="34"/>
  <c r="G211" i="34"/>
  <c r="F211" i="34"/>
  <c r="G210" i="34"/>
  <c r="F210" i="34"/>
  <c r="G209" i="34"/>
  <c r="F209" i="34"/>
  <c r="G208" i="34"/>
  <c r="F208" i="34"/>
  <c r="G207" i="34"/>
  <c r="F207" i="34"/>
  <c r="G206" i="34"/>
  <c r="F206" i="34"/>
  <c r="G205" i="34"/>
  <c r="F205" i="34"/>
  <c r="G204" i="34"/>
  <c r="F204" i="34"/>
  <c r="G203" i="34"/>
  <c r="F203" i="34"/>
  <c r="G202" i="34"/>
  <c r="F202" i="34"/>
  <c r="G201" i="34"/>
  <c r="F201" i="34"/>
  <c r="G200" i="34"/>
  <c r="F200" i="34"/>
  <c r="G199" i="34"/>
  <c r="F199" i="34"/>
  <c r="G198" i="34"/>
  <c r="F198" i="34"/>
  <c r="G197" i="34"/>
  <c r="F197" i="34"/>
  <c r="G196" i="34"/>
  <c r="F196" i="34"/>
  <c r="G195" i="34"/>
  <c r="F195" i="34"/>
  <c r="G194" i="34"/>
  <c r="F194" i="34"/>
  <c r="G193" i="34"/>
  <c r="F193" i="34"/>
  <c r="G192" i="34"/>
  <c r="F192" i="34"/>
  <c r="G191" i="34"/>
  <c r="F191" i="34"/>
  <c r="G190" i="34"/>
  <c r="F190" i="34"/>
  <c r="G189" i="34"/>
  <c r="F189" i="34"/>
  <c r="G188" i="34"/>
  <c r="F188" i="34"/>
  <c r="H185" i="34"/>
  <c r="H184" i="34"/>
  <c r="H183" i="34"/>
  <c r="H182" i="34"/>
  <c r="H181" i="34"/>
  <c r="H180" i="34"/>
  <c r="H179" i="34"/>
  <c r="H178" i="34"/>
  <c r="H177" i="34"/>
  <c r="H176" i="34"/>
  <c r="H175" i="34"/>
  <c r="H174" i="34"/>
  <c r="H173" i="34"/>
  <c r="H172" i="34"/>
  <c r="H171" i="34"/>
  <c r="H170" i="34"/>
  <c r="H169" i="34"/>
  <c r="H168" i="34"/>
  <c r="H167" i="34"/>
  <c r="H166" i="34"/>
  <c r="H165" i="34"/>
  <c r="H164" i="34"/>
  <c r="H163" i="34"/>
  <c r="H162" i="34"/>
  <c r="H161" i="34"/>
  <c r="H160" i="34"/>
  <c r="H159" i="34"/>
  <c r="H158" i="34"/>
  <c r="H157" i="34"/>
  <c r="H156" i="34"/>
  <c r="H155" i="34"/>
  <c r="H154" i="34"/>
  <c r="H153" i="34"/>
  <c r="H152" i="34"/>
  <c r="H151" i="34"/>
  <c r="H150" i="34"/>
  <c r="H149" i="34"/>
  <c r="H148" i="34"/>
  <c r="H147" i="34"/>
  <c r="H146" i="34"/>
  <c r="H145" i="34"/>
  <c r="H144" i="34"/>
  <c r="H143" i="34"/>
  <c r="H142" i="34"/>
  <c r="G185" i="34"/>
  <c r="F185" i="34"/>
  <c r="G184" i="34"/>
  <c r="F184" i="34"/>
  <c r="G183" i="34"/>
  <c r="F183" i="34"/>
  <c r="G182" i="34"/>
  <c r="F182" i="34"/>
  <c r="G181" i="34"/>
  <c r="F181" i="34"/>
  <c r="G180" i="34"/>
  <c r="F180" i="34"/>
  <c r="G179" i="34"/>
  <c r="F179" i="34"/>
  <c r="G178" i="34"/>
  <c r="F178" i="34"/>
  <c r="G177" i="34"/>
  <c r="F177" i="34"/>
  <c r="G176" i="34"/>
  <c r="F176" i="34"/>
  <c r="G175" i="34"/>
  <c r="F175" i="34"/>
  <c r="G174" i="34"/>
  <c r="F174" i="34"/>
  <c r="G173" i="34"/>
  <c r="F173" i="34"/>
  <c r="G172" i="34"/>
  <c r="F172" i="34"/>
  <c r="G171" i="34"/>
  <c r="F171" i="34"/>
  <c r="G170" i="34"/>
  <c r="F170" i="34"/>
  <c r="G169" i="34"/>
  <c r="F169" i="34"/>
  <c r="G168" i="34"/>
  <c r="F168" i="34"/>
  <c r="G167" i="34"/>
  <c r="F167" i="34"/>
  <c r="G166" i="34"/>
  <c r="F166" i="34"/>
  <c r="G165" i="34"/>
  <c r="F165" i="34"/>
  <c r="G164" i="34"/>
  <c r="F164" i="34"/>
  <c r="G163" i="34"/>
  <c r="F163" i="34"/>
  <c r="G162" i="34"/>
  <c r="F162" i="34"/>
  <c r="G161" i="34"/>
  <c r="F161" i="34"/>
  <c r="G160" i="34"/>
  <c r="F160" i="34"/>
  <c r="G159" i="34"/>
  <c r="F159" i="34"/>
  <c r="G158" i="34"/>
  <c r="F158" i="34"/>
  <c r="G157" i="34"/>
  <c r="F157" i="34"/>
  <c r="G156" i="34"/>
  <c r="F156" i="34"/>
  <c r="G155" i="34"/>
  <c r="F155" i="34"/>
  <c r="G154" i="34"/>
  <c r="F154" i="34"/>
  <c r="G153" i="34"/>
  <c r="F153" i="34"/>
  <c r="G152" i="34"/>
  <c r="F152" i="34"/>
  <c r="G151" i="34"/>
  <c r="F151" i="34"/>
  <c r="G150" i="34"/>
  <c r="F150" i="34"/>
  <c r="G149" i="34"/>
  <c r="F149" i="34"/>
  <c r="G148" i="34"/>
  <c r="F148" i="34"/>
  <c r="G147" i="34"/>
  <c r="F147" i="34"/>
  <c r="G146" i="34"/>
  <c r="F146" i="34"/>
  <c r="G145" i="34"/>
  <c r="F145" i="34"/>
  <c r="G144" i="34"/>
  <c r="F144" i="34"/>
  <c r="G143" i="34"/>
  <c r="F143" i="34"/>
  <c r="G142" i="34"/>
  <c r="F142" i="34"/>
  <c r="G137" i="34"/>
  <c r="F137" i="34"/>
  <c r="H137" i="34"/>
  <c r="H136" i="34"/>
  <c r="H135" i="34"/>
  <c r="H134" i="34"/>
  <c r="H133" i="34"/>
  <c r="H132" i="34"/>
  <c r="H131" i="34"/>
  <c r="H130" i="34"/>
  <c r="H129" i="34"/>
  <c r="H128" i="34"/>
  <c r="H127" i="34"/>
  <c r="H126" i="34"/>
  <c r="H125" i="34"/>
  <c r="H124" i="34"/>
  <c r="H123" i="34"/>
  <c r="H122" i="34"/>
  <c r="H121" i="34"/>
  <c r="H120" i="34"/>
  <c r="H119" i="34"/>
  <c r="H118" i="34"/>
  <c r="H117" i="34"/>
  <c r="H116" i="34"/>
  <c r="H115" i="34"/>
  <c r="H114" i="34"/>
  <c r="H113" i="34"/>
  <c r="H112" i="34"/>
  <c r="H111" i="34"/>
  <c r="H110" i="34"/>
  <c r="H109" i="34"/>
  <c r="H108" i="34"/>
  <c r="H107" i="34"/>
  <c r="H106" i="34"/>
  <c r="H105" i="34"/>
  <c r="H104" i="34"/>
  <c r="H103" i="34"/>
  <c r="H102" i="34"/>
  <c r="H101" i="34"/>
  <c r="H100" i="34"/>
  <c r="H99" i="34"/>
  <c r="H98" i="34"/>
  <c r="H97" i="34"/>
  <c r="H96" i="34"/>
  <c r="H95" i="34"/>
  <c r="H94" i="34"/>
  <c r="G136" i="34"/>
  <c r="F136" i="34"/>
  <c r="G135" i="34"/>
  <c r="F135" i="34"/>
  <c r="G134" i="34"/>
  <c r="F134" i="34"/>
  <c r="G133" i="34"/>
  <c r="F133" i="34"/>
  <c r="G132" i="34"/>
  <c r="F132" i="34"/>
  <c r="G131" i="34"/>
  <c r="F131" i="34"/>
  <c r="G130" i="34"/>
  <c r="F130" i="34"/>
  <c r="G129" i="34"/>
  <c r="F129" i="34"/>
  <c r="G128" i="34"/>
  <c r="F128" i="34"/>
  <c r="G127" i="34"/>
  <c r="F127" i="34"/>
  <c r="G126" i="34"/>
  <c r="F126" i="34"/>
  <c r="G125" i="34"/>
  <c r="F125" i="34"/>
  <c r="G124" i="34"/>
  <c r="F124" i="34"/>
  <c r="G123" i="34"/>
  <c r="F123" i="34"/>
  <c r="G122" i="34"/>
  <c r="F122" i="34"/>
  <c r="G121" i="34"/>
  <c r="F121" i="34"/>
  <c r="G120" i="34"/>
  <c r="F120" i="34"/>
  <c r="G119" i="34"/>
  <c r="F119" i="34"/>
  <c r="G118" i="34"/>
  <c r="F118" i="34"/>
  <c r="G117" i="34"/>
  <c r="F117" i="34"/>
  <c r="G116" i="34"/>
  <c r="F116" i="34"/>
  <c r="G115" i="34"/>
  <c r="F115" i="34"/>
  <c r="G114" i="34"/>
  <c r="F114" i="34"/>
  <c r="G113" i="34"/>
  <c r="F113" i="34"/>
  <c r="G112" i="34"/>
  <c r="F112" i="34"/>
  <c r="G111" i="34"/>
  <c r="F111" i="34"/>
  <c r="G110" i="34"/>
  <c r="F110" i="34"/>
  <c r="G109" i="34"/>
  <c r="F109" i="34"/>
  <c r="G108" i="34"/>
  <c r="F108" i="34"/>
  <c r="G107" i="34"/>
  <c r="F107" i="34"/>
  <c r="G106" i="34"/>
  <c r="F106" i="34"/>
  <c r="G105" i="34"/>
  <c r="F105" i="34"/>
  <c r="G104" i="34"/>
  <c r="F104" i="34"/>
  <c r="G103" i="34"/>
  <c r="F103" i="34"/>
  <c r="G102" i="34"/>
  <c r="F102" i="34"/>
  <c r="G101" i="34"/>
  <c r="F101" i="34"/>
  <c r="G100" i="34"/>
  <c r="F100" i="34"/>
  <c r="G99" i="34"/>
  <c r="F99" i="34"/>
  <c r="G98" i="34"/>
  <c r="F98" i="34"/>
  <c r="G97" i="34"/>
  <c r="F97" i="34"/>
  <c r="G96" i="34"/>
  <c r="F96" i="34"/>
  <c r="G95" i="34"/>
  <c r="F95" i="34"/>
  <c r="G94" i="34"/>
  <c r="F94" i="34"/>
  <c r="H91" i="34"/>
  <c r="H90" i="34"/>
  <c r="H89" i="34"/>
  <c r="H88" i="34"/>
  <c r="H87" i="34"/>
  <c r="H86" i="34"/>
  <c r="H85" i="34"/>
  <c r="H84" i="34"/>
  <c r="H83" i="34"/>
  <c r="H82" i="34"/>
  <c r="H81" i="34"/>
  <c r="H80" i="34"/>
  <c r="H79" i="34"/>
  <c r="H78" i="34"/>
  <c r="H77" i="34"/>
  <c r="H76" i="34"/>
  <c r="H75" i="34"/>
  <c r="H74" i="34"/>
  <c r="H73" i="34"/>
  <c r="H72" i="34"/>
  <c r="H71" i="34"/>
  <c r="H70" i="34"/>
  <c r="H69" i="34"/>
  <c r="H68" i="34"/>
  <c r="H67" i="34"/>
  <c r="H66" i="34"/>
  <c r="H65" i="34"/>
  <c r="H64" i="34"/>
  <c r="H63" i="34"/>
  <c r="H62" i="34"/>
  <c r="H61" i="34"/>
  <c r="H60" i="34"/>
  <c r="H59" i="34"/>
  <c r="H58" i="34"/>
  <c r="H57" i="34"/>
  <c r="H56" i="34"/>
  <c r="H55" i="34"/>
  <c r="H54" i="34"/>
  <c r="H53" i="34"/>
  <c r="H52" i="34"/>
  <c r="H51" i="34"/>
  <c r="H50" i="34"/>
  <c r="H49" i="34"/>
  <c r="H48" i="34"/>
  <c r="H45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H4" i="34"/>
  <c r="H3" i="34"/>
  <c r="H2" i="34"/>
  <c r="G91" i="34"/>
  <c r="F91" i="34"/>
  <c r="G90" i="34"/>
  <c r="F90" i="34"/>
  <c r="G89" i="34"/>
  <c r="F89" i="34"/>
  <c r="G88" i="34"/>
  <c r="F88" i="34"/>
  <c r="G87" i="34"/>
  <c r="F87" i="34"/>
  <c r="G86" i="34"/>
  <c r="F86" i="34"/>
  <c r="G85" i="34"/>
  <c r="F85" i="34"/>
  <c r="G84" i="34"/>
  <c r="F84" i="34"/>
  <c r="G83" i="34"/>
  <c r="F83" i="34"/>
  <c r="G82" i="34"/>
  <c r="F82" i="34"/>
  <c r="G81" i="34"/>
  <c r="F81" i="34"/>
  <c r="G80" i="34"/>
  <c r="F80" i="34"/>
  <c r="G79" i="34"/>
  <c r="F79" i="34"/>
  <c r="G78" i="34"/>
  <c r="F78" i="34"/>
  <c r="G77" i="34"/>
  <c r="F77" i="34"/>
  <c r="G76" i="34"/>
  <c r="F76" i="34"/>
  <c r="G75" i="34"/>
  <c r="F75" i="34"/>
  <c r="G74" i="34"/>
  <c r="F74" i="34"/>
  <c r="G73" i="34"/>
  <c r="F73" i="34"/>
  <c r="G72" i="34"/>
  <c r="F72" i="34"/>
  <c r="G71" i="34"/>
  <c r="F71" i="34"/>
  <c r="G70" i="34"/>
  <c r="F70" i="34"/>
  <c r="G69" i="34"/>
  <c r="F69" i="34"/>
  <c r="G68" i="34"/>
  <c r="F68" i="34"/>
  <c r="G67" i="34"/>
  <c r="F67" i="34"/>
  <c r="G66" i="34"/>
  <c r="F66" i="34"/>
  <c r="G65" i="34"/>
  <c r="F65" i="34"/>
  <c r="G64" i="34"/>
  <c r="F64" i="34"/>
  <c r="G63" i="34"/>
  <c r="F63" i="34"/>
  <c r="G62" i="34"/>
  <c r="F62" i="34"/>
  <c r="G61" i="34"/>
  <c r="F61" i="34"/>
  <c r="G60" i="34"/>
  <c r="F60" i="34"/>
  <c r="G59" i="34"/>
  <c r="F59" i="34"/>
  <c r="G58" i="34"/>
  <c r="F58" i="34"/>
  <c r="G57" i="34"/>
  <c r="F57" i="34"/>
  <c r="G56" i="34"/>
  <c r="F56" i="34"/>
  <c r="G55" i="34"/>
  <c r="F55" i="34"/>
  <c r="G54" i="34"/>
  <c r="F54" i="34"/>
  <c r="G53" i="34"/>
  <c r="F53" i="34"/>
  <c r="G52" i="34"/>
  <c r="F52" i="34"/>
  <c r="G51" i="34"/>
  <c r="F51" i="34"/>
  <c r="G50" i="34"/>
  <c r="F50" i="34"/>
  <c r="G49" i="34"/>
  <c r="F49" i="34"/>
  <c r="G48" i="34"/>
  <c r="F48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G3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G2" i="34"/>
  <c r="F2" i="34"/>
  <c r="W1" i="7"/>
  <c r="V1" i="7"/>
  <c r="U1" i="7"/>
  <c r="BI1" i="8"/>
  <c r="BH1" i="8"/>
  <c r="BG1" i="8"/>
  <c r="BF1" i="8"/>
  <c r="BE1" i="8"/>
  <c r="BD1" i="8"/>
  <c r="BC1" i="8"/>
  <c r="BB1" i="8"/>
  <c r="BA1" i="8"/>
  <c r="BA30" i="8" s="1"/>
  <c r="AZ1" i="8"/>
  <c r="AZ30" i="8" s="1"/>
  <c r="AY1" i="8"/>
  <c r="AX1" i="8"/>
  <c r="AW1" i="8"/>
  <c r="AV1" i="8"/>
  <c r="AU1" i="8"/>
  <c r="AU28" i="8" s="1"/>
  <c r="AT1" i="8"/>
  <c r="AT28" i="8" s="1"/>
  <c r="AS1" i="8"/>
  <c r="AS28" i="8" s="1"/>
  <c r="AR1" i="8"/>
  <c r="AR28" i="8" s="1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W1" i="8"/>
  <c r="V1" i="8"/>
  <c r="U1" i="8"/>
  <c r="AA1" i="8"/>
  <c r="Z1" i="8"/>
  <c r="Y1" i="8"/>
  <c r="X1" i="8"/>
  <c r="BE34" i="8" l="1"/>
  <c r="AR22" i="8"/>
  <c r="BV54" i="7"/>
  <c r="BT54" i="7"/>
  <c r="BR54" i="7"/>
  <c r="BP54" i="7"/>
  <c r="BN54" i="7"/>
  <c r="BL54" i="7"/>
  <c r="AQ22" i="8"/>
  <c r="BV53" i="7"/>
  <c r="BT53" i="7"/>
  <c r="BR53" i="7"/>
  <c r="BP53" i="7"/>
  <c r="BN53" i="7"/>
  <c r="BL53" i="7"/>
  <c r="AP22" i="8"/>
  <c r="BU54" i="7"/>
  <c r="BS54" i="7"/>
  <c r="BQ54" i="7"/>
  <c r="BO54" i="7"/>
  <c r="BM54" i="7"/>
  <c r="BG34" i="8"/>
  <c r="AS22" i="8"/>
  <c r="BU53" i="7"/>
  <c r="BS53" i="7"/>
  <c r="BQ53" i="7"/>
  <c r="BO53" i="7"/>
  <c r="BM53" i="7"/>
  <c r="BE35" i="7"/>
  <c r="BA35" i="7"/>
  <c r="BC34" i="7"/>
  <c r="AY34" i="7"/>
  <c r="BA32" i="7"/>
  <c r="AW32" i="7"/>
  <c r="AK17" i="7"/>
  <c r="AM15" i="7"/>
  <c r="AI15" i="7"/>
  <c r="AJ13" i="7"/>
  <c r="AF13" i="7"/>
  <c r="BG35" i="7"/>
  <c r="BE34" i="7"/>
  <c r="BC32" i="7"/>
  <c r="AM17" i="7"/>
  <c r="AK15" i="7"/>
  <c r="AH13" i="7"/>
  <c r="BF35" i="7"/>
  <c r="BD34" i="7"/>
  <c r="BB32" i="7"/>
  <c r="AL17" i="7"/>
  <c r="AJ15" i="7"/>
  <c r="AG13" i="7"/>
  <c r="BD35" i="7"/>
  <c r="AZ35" i="7"/>
  <c r="BB34" i="7"/>
  <c r="BF32" i="7"/>
  <c r="AZ32" i="7"/>
  <c r="AN17" i="7"/>
  <c r="AJ17" i="7"/>
  <c r="AL15" i="7"/>
  <c r="AH15" i="7"/>
  <c r="AI13" i="7"/>
  <c r="AE13" i="7"/>
  <c r="BC35" i="7"/>
  <c r="BA34" i="7"/>
  <c r="AY32" i="7"/>
  <c r="AI17" i="7"/>
  <c r="AG15" i="7"/>
  <c r="AD13" i="7"/>
  <c r="BB35" i="7"/>
  <c r="AZ34" i="7"/>
  <c r="AX32" i="7"/>
  <c r="AH17" i="7"/>
  <c r="AF15" i="7"/>
  <c r="AH11" i="7"/>
  <c r="Z8" i="7"/>
  <c r="AG11" i="7"/>
  <c r="Y8" i="7"/>
  <c r="AF11" i="7"/>
  <c r="AA8" i="7"/>
  <c r="AL54" i="7"/>
  <c r="AD7" i="7"/>
  <c r="AB4" i="7"/>
  <c r="AA6" i="7"/>
  <c r="X7" i="7"/>
  <c r="AI7" i="7"/>
  <c r="AJ8" i="7"/>
  <c r="Z9" i="7"/>
  <c r="AG9" i="7"/>
  <c r="AC10" i="7"/>
  <c r="AH10" i="7"/>
  <c r="AB11" i="7"/>
  <c r="AB12" i="7"/>
  <c r="AF12" i="7"/>
  <c r="AL12" i="7"/>
  <c r="AM13" i="7"/>
  <c r="AW13" i="7"/>
  <c r="BA13" i="7"/>
  <c r="AC14" i="7"/>
  <c r="AG14" i="7"/>
  <c r="AL14" i="7"/>
  <c r="AC15" i="7"/>
  <c r="AG16" i="7"/>
  <c r="AL16" i="7"/>
  <c r="AU16" i="7"/>
  <c r="AY16" i="7"/>
  <c r="BC16" i="7"/>
  <c r="AE17" i="7"/>
  <c r="AG18" i="7"/>
  <c r="AL18" i="7"/>
  <c r="AU18" i="7"/>
  <c r="AZ18" i="7"/>
  <c r="AF19" i="7"/>
  <c r="AJ19" i="7"/>
  <c r="AR19" i="7"/>
  <c r="AX19" i="7"/>
  <c r="BB19" i="7"/>
  <c r="AH20" i="7"/>
  <c r="AM20" i="7"/>
  <c r="AW20" i="7"/>
  <c r="BA20" i="7"/>
  <c r="AG21" i="7"/>
  <c r="AL21" i="7"/>
  <c r="AG7" i="7"/>
  <c r="AA5" i="7"/>
  <c r="AB6" i="7"/>
  <c r="AA7" i="7"/>
  <c r="AD8" i="7"/>
  <c r="AL8" i="7"/>
  <c r="AA9" i="7"/>
  <c r="X10" i="7"/>
  <c r="AE10" i="7"/>
  <c r="AI10" i="7"/>
  <c r="AC11" i="7"/>
  <c r="AC12" i="7"/>
  <c r="AG12" i="7"/>
  <c r="AM12" i="7"/>
  <c r="AO13" i="7"/>
  <c r="AX13" i="7"/>
  <c r="BB13" i="7"/>
  <c r="AD14" i="7"/>
  <c r="AH14" i="7"/>
  <c r="AM14" i="7"/>
  <c r="AD15" i="7"/>
  <c r="AH16" i="7"/>
  <c r="AM16" i="7"/>
  <c r="AV16" i="7"/>
  <c r="AZ16" i="7"/>
  <c r="AB17" i="7"/>
  <c r="AF17" i="7"/>
  <c r="AH18" i="7"/>
  <c r="AM18" i="7"/>
  <c r="AW18" i="7"/>
  <c r="BA18" i="7"/>
  <c r="AG19" i="7"/>
  <c r="AL19" i="7"/>
  <c r="AU19" i="7"/>
  <c r="AY19" i="7"/>
  <c r="BC19" i="7"/>
  <c r="AI20" i="7"/>
  <c r="AO20" i="7"/>
  <c r="AX20" i="7"/>
  <c r="BB20" i="7"/>
  <c r="AH21" i="7"/>
  <c r="AM21" i="7"/>
  <c r="AV21" i="7"/>
  <c r="AZ21" i="7"/>
  <c r="AF22" i="7"/>
  <c r="AJ22" i="7"/>
  <c r="AT22" i="7"/>
  <c r="AX22" i="7"/>
  <c r="BB22" i="7"/>
  <c r="AH23" i="7"/>
  <c r="AN23" i="7"/>
  <c r="AU23" i="7"/>
  <c r="AY23" i="7"/>
  <c r="BC23" i="7"/>
  <c r="AI24" i="7"/>
  <c r="AO24" i="7"/>
  <c r="AV24" i="7"/>
  <c r="AZ24" i="7"/>
  <c r="AF25" i="7"/>
  <c r="AJ25" i="7"/>
  <c r="AO25" i="7"/>
  <c r="AV25" i="7"/>
  <c r="AZ25" i="7"/>
  <c r="AF26" i="7"/>
  <c r="AJ26" i="7"/>
  <c r="AO26" i="7"/>
  <c r="AT26" i="7"/>
  <c r="X4" i="7"/>
  <c r="X6" i="7"/>
  <c r="AD6" i="7"/>
  <c r="AE7" i="7"/>
  <c r="AG8" i="7"/>
  <c r="AM8" i="7"/>
  <c r="AE9" i="7"/>
  <c r="AA10" i="7"/>
  <c r="AF10" i="7"/>
  <c r="X11" i="7"/>
  <c r="AD11" i="7"/>
  <c r="AD12" i="7"/>
  <c r="AI12" i="7"/>
  <c r="AR13" i="7"/>
  <c r="AY13" i="7"/>
  <c r="BC13" i="7"/>
  <c r="AE14" i="7"/>
  <c r="AI14" i="7"/>
  <c r="AA15" i="7"/>
  <c r="AE15" i="7"/>
  <c r="AI16" i="7"/>
  <c r="AO16" i="7"/>
  <c r="AW16" i="7"/>
  <c r="BA16" i="7"/>
  <c r="AC17" i="7"/>
  <c r="AG17" i="7"/>
  <c r="AI18" i="7"/>
  <c r="AO18" i="7"/>
  <c r="AX18" i="7"/>
  <c r="BB18" i="7"/>
  <c r="AH19" i="7"/>
  <c r="AM19" i="7"/>
  <c r="AV19" i="7"/>
  <c r="AZ19" i="7"/>
  <c r="AF20" i="7"/>
  <c r="AJ20" i="7"/>
  <c r="AU20" i="7"/>
  <c r="AY20" i="7"/>
  <c r="BC20" i="7"/>
  <c r="AI21" i="7"/>
  <c r="AO21" i="7"/>
  <c r="AW21" i="7"/>
  <c r="BA21" i="7"/>
  <c r="AG22" i="7"/>
  <c r="AM22" i="7"/>
  <c r="AU22" i="7"/>
  <c r="AY22" i="7"/>
  <c r="BC22" i="7"/>
  <c r="AI23" i="7"/>
  <c r="AO23" i="7"/>
  <c r="AV23" i="7"/>
  <c r="AZ23" i="7"/>
  <c r="AF24" i="7"/>
  <c r="AJ24" i="7"/>
  <c r="AR24" i="7"/>
  <c r="AW24" i="7"/>
  <c r="BA24" i="7"/>
  <c r="AG25" i="7"/>
  <c r="AK25" i="7"/>
  <c r="AR25" i="7"/>
  <c r="AW25" i="7"/>
  <c r="BA25" i="7"/>
  <c r="AG26" i="7"/>
  <c r="AL26" i="7"/>
  <c r="AP26" i="7"/>
  <c r="AU26" i="7"/>
  <c r="AY26" i="7"/>
  <c r="BC26" i="7"/>
  <c r="AV27" i="7"/>
  <c r="AZ27" i="7"/>
  <c r="BD27" i="7"/>
  <c r="BH27" i="7"/>
  <c r="BM27" i="7"/>
  <c r="AM54" i="7"/>
  <c r="AE6" i="7"/>
  <c r="AF9" i="7"/>
  <c r="AE11" i="7"/>
  <c r="AL13" i="7"/>
  <c r="AF14" i="7"/>
  <c r="AF16" i="7"/>
  <c r="BB16" i="7"/>
  <c r="AJ18" i="7"/>
  <c r="AI19" i="7"/>
  <c r="AG20" i="7"/>
  <c r="AF21" i="7"/>
  <c r="AX21" i="7"/>
  <c r="AH22" i="7"/>
  <c r="AV22" i="7"/>
  <c r="AF23" i="7"/>
  <c r="AR23" i="7"/>
  <c r="BA23" i="7"/>
  <c r="AL24" i="7"/>
  <c r="AX24" i="7"/>
  <c r="AH25" i="7"/>
  <c r="AT25" i="7"/>
  <c r="BB25" i="7"/>
  <c r="AM26" i="7"/>
  <c r="AV26" i="7"/>
  <c r="BA26" i="7"/>
  <c r="AU27" i="7"/>
  <c r="BA27" i="7"/>
  <c r="BF27" i="7"/>
  <c r="BL27" i="7"/>
  <c r="BQ27" i="7"/>
  <c r="AF28" i="7"/>
  <c r="AJ28" i="7"/>
  <c r="AN28" i="7"/>
  <c r="AR28" i="7"/>
  <c r="AV28" i="7"/>
  <c r="AZ28" i="7"/>
  <c r="AF29" i="7"/>
  <c r="AJ29" i="7"/>
  <c r="AN29" i="7"/>
  <c r="AS29" i="7"/>
  <c r="AW29" i="7"/>
  <c r="BA29" i="7"/>
  <c r="AG30" i="7"/>
  <c r="AK30" i="7"/>
  <c r="AO30" i="7"/>
  <c r="AS30" i="7"/>
  <c r="AW30" i="7"/>
  <c r="BA30" i="7"/>
  <c r="AS31" i="7"/>
  <c r="AW31" i="7"/>
  <c r="BA31" i="7"/>
  <c r="BE31" i="7"/>
  <c r="BI31" i="7"/>
  <c r="BM31" i="7"/>
  <c r="BQ31" i="7"/>
  <c r="AR32" i="7"/>
  <c r="AV32" i="7"/>
  <c r="BP32" i="7"/>
  <c r="BT32" i="7"/>
  <c r="AU33" i="7"/>
  <c r="AY33" i="7"/>
  <c r="BC33" i="7"/>
  <c r="BG33" i="7"/>
  <c r="BK33" i="7"/>
  <c r="BO33" i="7"/>
  <c r="BS33" i="7"/>
  <c r="AH34" i="7"/>
  <c r="AL34" i="7"/>
  <c r="AP34" i="7"/>
  <c r="AT34" i="7"/>
  <c r="AX34" i="7"/>
  <c r="AT35" i="7"/>
  <c r="AX35" i="7"/>
  <c r="BJ35" i="7"/>
  <c r="BN35" i="7"/>
  <c r="BR35" i="7"/>
  <c r="AS36" i="7"/>
  <c r="AF7" i="7"/>
  <c r="AB10" i="7"/>
  <c r="AE12" i="7"/>
  <c r="AU13" i="7"/>
  <c r="AJ14" i="7"/>
  <c r="AJ16" i="7"/>
  <c r="AD17" i="7"/>
  <c r="AR18" i="7"/>
  <c r="AO19" i="7"/>
  <c r="AL20" i="7"/>
  <c r="AJ21" i="7"/>
  <c r="AY21" i="7"/>
  <c r="AI22" i="7"/>
  <c r="AW22" i="7"/>
  <c r="AG23" i="7"/>
  <c r="AT23" i="7"/>
  <c r="BB23" i="7"/>
  <c r="AM24" i="7"/>
  <c r="AY24" i="7"/>
  <c r="AI25" i="7"/>
  <c r="AU25" i="7"/>
  <c r="BC25" i="7"/>
  <c r="AN26" i="7"/>
  <c r="AW26" i="7"/>
  <c r="BB26" i="7"/>
  <c r="AW27" i="7"/>
  <c r="BB27" i="7"/>
  <c r="BG27" i="7"/>
  <c r="BN27" i="7"/>
  <c r="BR27" i="7"/>
  <c r="AG28" i="7"/>
  <c r="AK28" i="7"/>
  <c r="AO28" i="7"/>
  <c r="AS28" i="7"/>
  <c r="AW28" i="7"/>
  <c r="BA28" i="7"/>
  <c r="AG29" i="7"/>
  <c r="AK29" i="7"/>
  <c r="AO29" i="7"/>
  <c r="AT29" i="7"/>
  <c r="AX29" i="7"/>
  <c r="BB29" i="7"/>
  <c r="AH30" i="7"/>
  <c r="AL30" i="7"/>
  <c r="AP30" i="7"/>
  <c r="AT30" i="7"/>
  <c r="AX30" i="7"/>
  <c r="BB30" i="7"/>
  <c r="AT31" i="7"/>
  <c r="AX31" i="7"/>
  <c r="BB31" i="7"/>
  <c r="BF31" i="7"/>
  <c r="BJ31" i="7"/>
  <c r="BN31" i="7"/>
  <c r="BR31" i="7"/>
  <c r="AS32" i="7"/>
  <c r="BM32" i="7"/>
  <c r="BQ32" i="7"/>
  <c r="AR33" i="7"/>
  <c r="AV33" i="7"/>
  <c r="AZ33" i="7"/>
  <c r="BD33" i="7"/>
  <c r="BH33" i="7"/>
  <c r="BL33" i="7"/>
  <c r="BP33" i="7"/>
  <c r="BT33" i="7"/>
  <c r="AI34" i="7"/>
  <c r="AM34" i="7"/>
  <c r="AQ34" i="7"/>
  <c r="AU34" i="7"/>
  <c r="AA4" i="7"/>
  <c r="AI8" i="7"/>
  <c r="AG10" i="7"/>
  <c r="AJ12" i="7"/>
  <c r="AZ13" i="7"/>
  <c r="AB15" i="7"/>
  <c r="AR16" i="7"/>
  <c r="AY18" i="7"/>
  <c r="AW19" i="7"/>
  <c r="AV20" i="7"/>
  <c r="AR21" i="7"/>
  <c r="BB21" i="7"/>
  <c r="AO22" i="7"/>
  <c r="AZ22" i="7"/>
  <c r="AL23" i="7"/>
  <c r="AW23" i="7"/>
  <c r="AG24" i="7"/>
  <c r="AT24" i="7"/>
  <c r="BB24" i="7"/>
  <c r="AL25" i="7"/>
  <c r="AX25" i="7"/>
  <c r="AH26" i="7"/>
  <c r="AQ26" i="7"/>
  <c r="AX26" i="7"/>
  <c r="AR27" i="7"/>
  <c r="AX27" i="7"/>
  <c r="BC27" i="7"/>
  <c r="BI27" i="7"/>
  <c r="BO27" i="7"/>
  <c r="BS27" i="7"/>
  <c r="AH28" i="7"/>
  <c r="AL28" i="7"/>
  <c r="AP28" i="7"/>
  <c r="AT28" i="7"/>
  <c r="AX28" i="7"/>
  <c r="BB28" i="7"/>
  <c r="AH29" i="7"/>
  <c r="AL29" i="7"/>
  <c r="AQ29" i="7"/>
  <c r="AU29" i="7"/>
  <c r="AY29" i="7"/>
  <c r="BC29" i="7"/>
  <c r="AI30" i="7"/>
  <c r="AM30" i="7"/>
  <c r="AQ30" i="7"/>
  <c r="AU30" i="7"/>
  <c r="AY30" i="7"/>
  <c r="BC30" i="7"/>
  <c r="AU31" i="7"/>
  <c r="AY31" i="7"/>
  <c r="BC31" i="7"/>
  <c r="BG31" i="7"/>
  <c r="BK31" i="7"/>
  <c r="BO31" i="7"/>
  <c r="BS31" i="7"/>
  <c r="AT32" i="7"/>
  <c r="BN32" i="7"/>
  <c r="BR32" i="7"/>
  <c r="AS33" i="7"/>
  <c r="AW33" i="7"/>
  <c r="BA33" i="7"/>
  <c r="BE33" i="7"/>
  <c r="BI33" i="7"/>
  <c r="BM33" i="7"/>
  <c r="BQ33" i="7"/>
  <c r="AF34" i="7"/>
  <c r="AJ34" i="7"/>
  <c r="AN34" i="7"/>
  <c r="AR34" i="7"/>
  <c r="AV34" i="7"/>
  <c r="AR35" i="7"/>
  <c r="AV35" i="7"/>
  <c r="BH35" i="7"/>
  <c r="BL35" i="7"/>
  <c r="BP35" i="7"/>
  <c r="BT35" i="7"/>
  <c r="AU36" i="7"/>
  <c r="AY36" i="7"/>
  <c r="BC36" i="7"/>
  <c r="BG36" i="7"/>
  <c r="BK36" i="7"/>
  <c r="BO36" i="7"/>
  <c r="BS36" i="7"/>
  <c r="AT37" i="7"/>
  <c r="AX37" i="7"/>
  <c r="BB37" i="7"/>
  <c r="BF37" i="7"/>
  <c r="BJ37" i="7"/>
  <c r="BN37" i="7"/>
  <c r="BR37" i="7"/>
  <c r="AS38" i="7"/>
  <c r="AA11" i="7"/>
  <c r="AX16" i="7"/>
  <c r="AZ20" i="7"/>
  <c r="BA22" i="7"/>
  <c r="AU24" i="7"/>
  <c r="AI26" i="7"/>
  <c r="AY27" i="7"/>
  <c r="BT27" i="7"/>
  <c r="AU28" i="7"/>
  <c r="AM29" i="7"/>
  <c r="AF30" i="7"/>
  <c r="AV30" i="7"/>
  <c r="AZ31" i="7"/>
  <c r="BP31" i="7"/>
  <c r="BS32" i="7"/>
  <c r="BF33" i="7"/>
  <c r="AG34" i="7"/>
  <c r="AW34" i="7"/>
  <c r="AW35" i="7"/>
  <c r="BM35" i="7"/>
  <c r="AR36" i="7"/>
  <c r="AX36" i="7"/>
  <c r="BD36" i="7"/>
  <c r="BI36" i="7"/>
  <c r="BN36" i="7"/>
  <c r="BT36" i="7"/>
  <c r="AV37" i="7"/>
  <c r="BA37" i="7"/>
  <c r="BG37" i="7"/>
  <c r="BL37" i="7"/>
  <c r="BQ37" i="7"/>
  <c r="AT38" i="7"/>
  <c r="AX38" i="7"/>
  <c r="BB38" i="7"/>
  <c r="BF38" i="7"/>
  <c r="BJ38" i="7"/>
  <c r="BN38" i="7"/>
  <c r="BR38" i="7"/>
  <c r="AS39" i="7"/>
  <c r="AW39" i="7"/>
  <c r="BA39" i="7"/>
  <c r="BE39" i="7"/>
  <c r="BI39" i="7"/>
  <c r="BM39" i="7"/>
  <c r="BQ39" i="7"/>
  <c r="BU39" i="7"/>
  <c r="AU40" i="7"/>
  <c r="AY40" i="7"/>
  <c r="BC40" i="7"/>
  <c r="BG40" i="7"/>
  <c r="BK40" i="7"/>
  <c r="BO40" i="7"/>
  <c r="BS40" i="7"/>
  <c r="AT41" i="7"/>
  <c r="AX41" i="7"/>
  <c r="BB41" i="7"/>
  <c r="BF41" i="7"/>
  <c r="BK41" i="7"/>
  <c r="BO41" i="7"/>
  <c r="BS41" i="7"/>
  <c r="AT42" i="7"/>
  <c r="AX42" i="7"/>
  <c r="BB42" i="7"/>
  <c r="BF42" i="7"/>
  <c r="BJ42" i="7"/>
  <c r="BN42" i="7"/>
  <c r="BR42" i="7"/>
  <c r="AS43" i="7"/>
  <c r="AW43" i="7"/>
  <c r="BA43" i="7"/>
  <c r="BE43" i="7"/>
  <c r="BI43" i="7"/>
  <c r="BN43" i="7"/>
  <c r="BR43" i="7"/>
  <c r="AS44" i="7"/>
  <c r="AW44" i="7"/>
  <c r="BA44" i="7"/>
  <c r="BE44" i="7"/>
  <c r="BI44" i="7"/>
  <c r="BM44" i="7"/>
  <c r="BQ44" i="7"/>
  <c r="AR45" i="7"/>
  <c r="AV45" i="7"/>
  <c r="AF18" i="7"/>
  <c r="AU21" i="7"/>
  <c r="AM23" i="7"/>
  <c r="BC24" i="7"/>
  <c r="AR26" i="7"/>
  <c r="BE27" i="7"/>
  <c r="AI28" i="7"/>
  <c r="AY28" i="7"/>
  <c r="AR29" i="7"/>
  <c r="AJ30" i="7"/>
  <c r="AZ30" i="7"/>
  <c r="BD31" i="7"/>
  <c r="BT31" i="7"/>
  <c r="AT33" i="7"/>
  <c r="BJ33" i="7"/>
  <c r="AK34" i="7"/>
  <c r="AY35" i="7"/>
  <c r="BO35" i="7"/>
  <c r="AT36" i="7"/>
  <c r="AZ36" i="7"/>
  <c r="BE36" i="7"/>
  <c r="BJ36" i="7"/>
  <c r="BP36" i="7"/>
  <c r="AR37" i="7"/>
  <c r="AW37" i="7"/>
  <c r="BC37" i="7"/>
  <c r="BH37" i="7"/>
  <c r="BM37" i="7"/>
  <c r="BS37" i="7"/>
  <c r="AU38" i="7"/>
  <c r="AY38" i="7"/>
  <c r="BC38" i="7"/>
  <c r="BG38" i="7"/>
  <c r="BK38" i="7"/>
  <c r="BO38" i="7"/>
  <c r="BS38" i="7"/>
  <c r="AT39" i="7"/>
  <c r="AX39" i="7"/>
  <c r="BB39" i="7"/>
  <c r="BF39" i="7"/>
  <c r="BJ39" i="7"/>
  <c r="BN39" i="7"/>
  <c r="BR39" i="7"/>
  <c r="AR40" i="7"/>
  <c r="AV40" i="7"/>
  <c r="AZ40" i="7"/>
  <c r="BD40" i="7"/>
  <c r="BH40" i="7"/>
  <c r="BL40" i="7"/>
  <c r="BP40" i="7"/>
  <c r="BT40" i="7"/>
  <c r="AU41" i="7"/>
  <c r="AY41" i="7"/>
  <c r="BC41" i="7"/>
  <c r="BG41" i="7"/>
  <c r="BL41" i="7"/>
  <c r="BP41" i="7"/>
  <c r="BT41" i="7"/>
  <c r="AU42" i="7"/>
  <c r="AY42" i="7"/>
  <c r="BC42" i="7"/>
  <c r="BG42" i="7"/>
  <c r="BK42" i="7"/>
  <c r="BO42" i="7"/>
  <c r="BS42" i="7"/>
  <c r="AT43" i="7"/>
  <c r="AX43" i="7"/>
  <c r="BB43" i="7"/>
  <c r="BF43" i="7"/>
  <c r="BK43" i="7"/>
  <c r="BO43" i="7"/>
  <c r="BS43" i="7"/>
  <c r="AT44" i="7"/>
  <c r="AX44" i="7"/>
  <c r="BB44" i="7"/>
  <c r="BF44" i="7"/>
  <c r="BJ44" i="7"/>
  <c r="BN44" i="7"/>
  <c r="BR44" i="7"/>
  <c r="AS45" i="7"/>
  <c r="AW45" i="7"/>
  <c r="BA45" i="7"/>
  <c r="Z6" i="7"/>
  <c r="AB14" i="7"/>
  <c r="BC18" i="7"/>
  <c r="BC21" i="7"/>
  <c r="AX23" i="7"/>
  <c r="AM25" i="7"/>
  <c r="AZ26" i="7"/>
  <c r="BK27" i="7"/>
  <c r="AM28" i="7"/>
  <c r="BC28" i="7"/>
  <c r="AV29" i="7"/>
  <c r="AN30" i="7"/>
  <c r="AR31" i="7"/>
  <c r="BH31" i="7"/>
  <c r="AU32" i="7"/>
  <c r="AX33" i="7"/>
  <c r="BN33" i="7"/>
  <c r="AO34" i="7"/>
  <c r="AS35" i="7"/>
  <c r="BI35" i="7"/>
  <c r="BQ35" i="7"/>
  <c r="AV36" i="7"/>
  <c r="BA36" i="7"/>
  <c r="BF36" i="7"/>
  <c r="BL36" i="7"/>
  <c r="BQ36" i="7"/>
  <c r="AS37" i="7"/>
  <c r="AY37" i="7"/>
  <c r="BD37" i="7"/>
  <c r="BI37" i="7"/>
  <c r="BO37" i="7"/>
  <c r="BT37" i="7"/>
  <c r="AV38" i="7"/>
  <c r="AZ38" i="7"/>
  <c r="BD38" i="7"/>
  <c r="BH38" i="7"/>
  <c r="BL38" i="7"/>
  <c r="BP38" i="7"/>
  <c r="BT38" i="7"/>
  <c r="AU39" i="7"/>
  <c r="AY39" i="7"/>
  <c r="BC39" i="7"/>
  <c r="BG39" i="7"/>
  <c r="BK39" i="7"/>
  <c r="BO39" i="7"/>
  <c r="BS39" i="7"/>
  <c r="AS40" i="7"/>
  <c r="AW40" i="7"/>
  <c r="BA40" i="7"/>
  <c r="BE40" i="7"/>
  <c r="BI40" i="7"/>
  <c r="BM40" i="7"/>
  <c r="BQ40" i="7"/>
  <c r="AR41" i="7"/>
  <c r="AV41" i="7"/>
  <c r="AZ41" i="7"/>
  <c r="BD41" i="7"/>
  <c r="BH41" i="7"/>
  <c r="BM41" i="7"/>
  <c r="BQ41" i="7"/>
  <c r="AR42" i="7"/>
  <c r="AV42" i="7"/>
  <c r="AZ42" i="7"/>
  <c r="BD42" i="7"/>
  <c r="BH42" i="7"/>
  <c r="BL42" i="7"/>
  <c r="BP42" i="7"/>
  <c r="BT42" i="7"/>
  <c r="AU43" i="7"/>
  <c r="AY43" i="7"/>
  <c r="BC43" i="7"/>
  <c r="BG43" i="7"/>
  <c r="BL43" i="7"/>
  <c r="BP43" i="7"/>
  <c r="BT43" i="7"/>
  <c r="AU44" i="7"/>
  <c r="AY44" i="7"/>
  <c r="BC44" i="7"/>
  <c r="BG44" i="7"/>
  <c r="BK44" i="7"/>
  <c r="BO44" i="7"/>
  <c r="BS44" i="7"/>
  <c r="AT45" i="7"/>
  <c r="AX45" i="7"/>
  <c r="BB45" i="7"/>
  <c r="BF45" i="7"/>
  <c r="BJ45" i="7"/>
  <c r="BN45" i="7"/>
  <c r="BR45" i="7"/>
  <c r="AS46" i="7"/>
  <c r="AW46" i="7"/>
  <c r="BA46" i="7"/>
  <c r="BE46" i="7"/>
  <c r="BI46" i="7"/>
  <c r="BM46" i="7"/>
  <c r="BQ46" i="7"/>
  <c r="BU46" i="7"/>
  <c r="AU47" i="7"/>
  <c r="AY47" i="7"/>
  <c r="BC47" i="7"/>
  <c r="BG47" i="7"/>
  <c r="BK47" i="7"/>
  <c r="BO47" i="7"/>
  <c r="BS47" i="7"/>
  <c r="AS48" i="7"/>
  <c r="AW48" i="7"/>
  <c r="BA19" i="7"/>
  <c r="AT27" i="7"/>
  <c r="AZ29" i="7"/>
  <c r="AS34" i="7"/>
  <c r="BS35" i="7"/>
  <c r="BM36" i="7"/>
  <c r="BE37" i="7"/>
  <c r="AW38" i="7"/>
  <c r="BM38" i="7"/>
  <c r="AZ39" i="7"/>
  <c r="BP39" i="7"/>
  <c r="BB40" i="7"/>
  <c r="BR40" i="7"/>
  <c r="BE41" i="7"/>
  <c r="AS42" i="7"/>
  <c r="BI42" i="7"/>
  <c r="AV43" i="7"/>
  <c r="BM43" i="7"/>
  <c r="AZ44" i="7"/>
  <c r="BP44" i="7"/>
  <c r="AZ45" i="7"/>
  <c r="BG45" i="7"/>
  <c r="BL45" i="7"/>
  <c r="BQ45" i="7"/>
  <c r="AT46" i="7"/>
  <c r="AY46" i="7"/>
  <c r="BD46" i="7"/>
  <c r="BJ46" i="7"/>
  <c r="BO46" i="7"/>
  <c r="BT46" i="7"/>
  <c r="AV47" i="7"/>
  <c r="BA47" i="7"/>
  <c r="BF47" i="7"/>
  <c r="BL47" i="7"/>
  <c r="BQ47" i="7"/>
  <c r="AR48" i="7"/>
  <c r="AX48" i="7"/>
  <c r="BB48" i="7"/>
  <c r="BF48" i="7"/>
  <c r="BJ48" i="7"/>
  <c r="BN48" i="7"/>
  <c r="BR48" i="7"/>
  <c r="AS49" i="7"/>
  <c r="AW49" i="7"/>
  <c r="BA49" i="7"/>
  <c r="BE49" i="7"/>
  <c r="BI49" i="7"/>
  <c r="BM49" i="7"/>
  <c r="BQ49" i="7"/>
  <c r="BU49" i="7"/>
  <c r="AU50" i="7"/>
  <c r="AY50" i="7"/>
  <c r="BC50" i="7"/>
  <c r="BG50" i="7"/>
  <c r="BK50" i="7"/>
  <c r="BO50" i="7"/>
  <c r="BS50" i="7"/>
  <c r="AS51" i="7"/>
  <c r="AW51" i="7"/>
  <c r="BA51" i="7"/>
  <c r="BE51" i="7"/>
  <c r="BI51" i="7"/>
  <c r="BM51" i="7"/>
  <c r="BQ51" i="7"/>
  <c r="BU51" i="7"/>
  <c r="BE45" i="7"/>
  <c r="AX46" i="7"/>
  <c r="BN46" i="7"/>
  <c r="AZ47" i="7"/>
  <c r="BP47" i="7"/>
  <c r="BA48" i="7"/>
  <c r="BM48" i="7"/>
  <c r="AV49" i="7"/>
  <c r="BH49" i="7"/>
  <c r="BT49" i="7"/>
  <c r="BB50" i="7"/>
  <c r="BN50" i="7"/>
  <c r="AV51" i="7"/>
  <c r="BH51" i="7"/>
  <c r="BT51" i="7"/>
  <c r="AR22" i="7"/>
  <c r="BP27" i="7"/>
  <c r="AR30" i="7"/>
  <c r="BO32" i="7"/>
  <c r="AU35" i="7"/>
  <c r="AW36" i="7"/>
  <c r="BR36" i="7"/>
  <c r="BK37" i="7"/>
  <c r="BA38" i="7"/>
  <c r="BQ38" i="7"/>
  <c r="BD39" i="7"/>
  <c r="BT39" i="7"/>
  <c r="BF40" i="7"/>
  <c r="AS41" i="7"/>
  <c r="BI41" i="7"/>
  <c r="AW42" i="7"/>
  <c r="BM42" i="7"/>
  <c r="AZ43" i="7"/>
  <c r="BQ43" i="7"/>
  <c r="BD44" i="7"/>
  <c r="BT44" i="7"/>
  <c r="BC45" i="7"/>
  <c r="BH45" i="7"/>
  <c r="BM45" i="7"/>
  <c r="BS45" i="7"/>
  <c r="AU46" i="7"/>
  <c r="AZ46" i="7"/>
  <c r="BF46" i="7"/>
  <c r="BK46" i="7"/>
  <c r="BP46" i="7"/>
  <c r="AR47" i="7"/>
  <c r="AW47" i="7"/>
  <c r="BB47" i="7"/>
  <c r="BH47" i="7"/>
  <c r="BM47" i="7"/>
  <c r="BR47" i="7"/>
  <c r="AT48" i="7"/>
  <c r="AY48" i="7"/>
  <c r="BC48" i="7"/>
  <c r="BG48" i="7"/>
  <c r="BK48" i="7"/>
  <c r="BO48" i="7"/>
  <c r="BS48" i="7"/>
  <c r="AT49" i="7"/>
  <c r="AX49" i="7"/>
  <c r="BB49" i="7"/>
  <c r="BF49" i="7"/>
  <c r="BJ49" i="7"/>
  <c r="BN49" i="7"/>
  <c r="BR49" i="7"/>
  <c r="AR50" i="7"/>
  <c r="AV50" i="7"/>
  <c r="AZ50" i="7"/>
  <c r="BD50" i="7"/>
  <c r="BH50" i="7"/>
  <c r="BL50" i="7"/>
  <c r="BP50" i="7"/>
  <c r="BT50" i="7"/>
  <c r="AT51" i="7"/>
  <c r="AX51" i="7"/>
  <c r="BB51" i="7"/>
  <c r="BF51" i="7"/>
  <c r="BJ51" i="7"/>
  <c r="BN51" i="7"/>
  <c r="BR51" i="7"/>
  <c r="BL44" i="7"/>
  <c r="BP45" i="7"/>
  <c r="BC46" i="7"/>
  <c r="BS46" i="7"/>
  <c r="BE47" i="7"/>
  <c r="AV48" i="7"/>
  <c r="BI48" i="7"/>
  <c r="AR49" i="7"/>
  <c r="BD49" i="7"/>
  <c r="BL49" i="7"/>
  <c r="AT50" i="7"/>
  <c r="BF50" i="7"/>
  <c r="AR51" i="7"/>
  <c r="BD51" i="7"/>
  <c r="BP51" i="7"/>
  <c r="X9" i="7"/>
  <c r="AH24" i="7"/>
  <c r="AQ28" i="7"/>
  <c r="AV31" i="7"/>
  <c r="BB33" i="7"/>
  <c r="BB36" i="7"/>
  <c r="AU37" i="7"/>
  <c r="BP37" i="7"/>
  <c r="BE38" i="7"/>
  <c r="AR39" i="7"/>
  <c r="BH39" i="7"/>
  <c r="AT40" i="7"/>
  <c r="BJ40" i="7"/>
  <c r="AW41" i="7"/>
  <c r="BN41" i="7"/>
  <c r="BA42" i="7"/>
  <c r="BQ42" i="7"/>
  <c r="BD43" i="7"/>
  <c r="AR44" i="7"/>
  <c r="BH44" i="7"/>
  <c r="AU45" i="7"/>
  <c r="BD45" i="7"/>
  <c r="BI45" i="7"/>
  <c r="BO45" i="7"/>
  <c r="BT45" i="7"/>
  <c r="AV46" i="7"/>
  <c r="BB46" i="7"/>
  <c r="BG46" i="7"/>
  <c r="BL46" i="7"/>
  <c r="BR46" i="7"/>
  <c r="AS47" i="7"/>
  <c r="AX47" i="7"/>
  <c r="BD47" i="7"/>
  <c r="BI47" i="7"/>
  <c r="BN47" i="7"/>
  <c r="BT47" i="7"/>
  <c r="AU48" i="7"/>
  <c r="AZ48" i="7"/>
  <c r="BD48" i="7"/>
  <c r="BH48" i="7"/>
  <c r="BL48" i="7"/>
  <c r="BP48" i="7"/>
  <c r="BT48" i="7"/>
  <c r="AU49" i="7"/>
  <c r="AY49" i="7"/>
  <c r="BC49" i="7"/>
  <c r="BG49" i="7"/>
  <c r="BK49" i="7"/>
  <c r="BO49" i="7"/>
  <c r="BS49" i="7"/>
  <c r="AS50" i="7"/>
  <c r="AW50" i="7"/>
  <c r="BA50" i="7"/>
  <c r="BE50" i="7"/>
  <c r="BI50" i="7"/>
  <c r="BM50" i="7"/>
  <c r="BQ50" i="7"/>
  <c r="BU50" i="7"/>
  <c r="AU51" i="7"/>
  <c r="AY51" i="7"/>
  <c r="BC51" i="7"/>
  <c r="BG51" i="7"/>
  <c r="BK51" i="7"/>
  <c r="BO51" i="7"/>
  <c r="BS51" i="7"/>
  <c r="AY25" i="7"/>
  <c r="AI29" i="7"/>
  <c r="BL31" i="7"/>
  <c r="BR33" i="7"/>
  <c r="BK35" i="7"/>
  <c r="BH36" i="7"/>
  <c r="AZ37" i="7"/>
  <c r="AR38" i="7"/>
  <c r="BI38" i="7"/>
  <c r="AV39" i="7"/>
  <c r="BL39" i="7"/>
  <c r="AX40" i="7"/>
  <c r="BN40" i="7"/>
  <c r="BA41" i="7"/>
  <c r="BR41" i="7"/>
  <c r="BE42" i="7"/>
  <c r="AR43" i="7"/>
  <c r="BH43" i="7"/>
  <c r="AV44" i="7"/>
  <c r="AY45" i="7"/>
  <c r="BK45" i="7"/>
  <c r="AR46" i="7"/>
  <c r="BH46" i="7"/>
  <c r="AT47" i="7"/>
  <c r="BJ47" i="7"/>
  <c r="BU47" i="7"/>
  <c r="BE48" i="7"/>
  <c r="BQ48" i="7"/>
  <c r="AZ49" i="7"/>
  <c r="BP49" i="7"/>
  <c r="AX50" i="7"/>
  <c r="BJ50" i="7"/>
  <c r="BR50" i="7"/>
  <c r="AZ51" i="7"/>
  <c r="BL51" i="7"/>
  <c r="BU43" i="7"/>
  <c r="AO54" i="7"/>
  <c r="Y15" i="7"/>
  <c r="AN16" i="7"/>
  <c r="X15" i="7"/>
  <c r="AQ21" i="7"/>
  <c r="BB54" i="7"/>
  <c r="AL22" i="7"/>
  <c r="BV52" i="7"/>
  <c r="Y11" i="7"/>
  <c r="AS26" i="7"/>
  <c r="AT21" i="7"/>
  <c r="AS21" i="7"/>
  <c r="AS22" i="7"/>
  <c r="Z10" i="7"/>
  <c r="Y10" i="7"/>
  <c r="Z15" i="7"/>
  <c r="BV50" i="7"/>
  <c r="AT54" i="7"/>
  <c r="AK16" i="7"/>
  <c r="AH54" i="7"/>
  <c r="AK22" i="7"/>
  <c r="AK20" i="7"/>
  <c r="X5" i="7"/>
  <c r="BJ41" i="7"/>
  <c r="AN25" i="7"/>
  <c r="AN13" i="7"/>
  <c r="AN18" i="7"/>
  <c r="AV18" i="7"/>
  <c r="AE5" i="7"/>
  <c r="AQ16" i="7"/>
  <c r="AC5" i="7"/>
  <c r="AB8" i="7"/>
  <c r="AP18" i="7"/>
  <c r="AP25" i="7"/>
  <c r="AC9" i="7"/>
  <c r="BV43" i="7"/>
  <c r="AT13" i="7"/>
  <c r="AK26" i="7"/>
  <c r="AK8" i="7"/>
  <c r="AP23" i="7"/>
  <c r="AD10" i="7"/>
  <c r="AB5" i="7"/>
  <c r="AD5" i="7"/>
  <c r="BA54" i="7"/>
  <c r="AK12" i="7"/>
  <c r="AZ54" i="7"/>
  <c r="AJ23" i="7"/>
  <c r="BC54" i="7"/>
  <c r="AI9" i="7"/>
  <c r="AX54" i="7"/>
  <c r="AH8" i="7"/>
  <c r="Y9" i="7"/>
  <c r="Y5" i="7"/>
  <c r="AS18" i="7"/>
  <c r="AT20" i="7"/>
  <c r="AS20" i="7"/>
  <c r="BV39" i="7"/>
  <c r="Z7" i="7"/>
  <c r="Y7" i="7"/>
  <c r="BV49" i="7"/>
  <c r="AS13" i="7"/>
  <c r="AV54" i="7"/>
  <c r="AF54" i="7"/>
  <c r="AI54" i="7"/>
  <c r="AK54" i="7"/>
  <c r="AK19" i="7"/>
  <c r="AN54" i="7"/>
  <c r="BJ43" i="7"/>
  <c r="AQ24" i="7"/>
  <c r="AN22" i="7"/>
  <c r="AH7" i="7"/>
  <c r="AE8" i="7"/>
  <c r="AQ19" i="7"/>
  <c r="AQ23" i="7"/>
  <c r="AQ22" i="7"/>
  <c r="AP22" i="7"/>
  <c r="AP20" i="7"/>
  <c r="AP24" i="7"/>
  <c r="AS23" i="7"/>
  <c r="AJ54" i="7"/>
  <c r="AQ54" i="7"/>
  <c r="AN19" i="7"/>
  <c r="AQ20" i="7"/>
  <c r="AC7" i="7"/>
  <c r="AW54" i="7"/>
  <c r="AG54" i="7"/>
  <c r="AV13" i="7"/>
  <c r="AF8" i="7"/>
  <c r="AY54" i="7"/>
  <c r="AE4" i="7"/>
  <c r="AT19" i="7"/>
  <c r="AD4" i="7"/>
  <c r="Y6" i="7"/>
  <c r="AT18" i="7"/>
  <c r="AS19" i="7"/>
  <c r="Y4" i="7"/>
  <c r="AS24" i="7"/>
  <c r="BV41" i="7"/>
  <c r="BV46" i="7"/>
  <c r="BV47" i="7"/>
  <c r="AS16" i="7"/>
  <c r="BV51" i="7"/>
  <c r="AK14" i="7"/>
  <c r="AK13" i="7"/>
  <c r="AK24" i="7"/>
  <c r="AK23" i="7"/>
  <c r="AK18" i="7"/>
  <c r="AP54" i="7"/>
  <c r="AP29" i="7"/>
  <c r="AN24" i="7"/>
  <c r="AN20" i="7"/>
  <c r="AC6" i="7"/>
  <c r="AH12" i="7"/>
  <c r="BU41" i="7"/>
  <c r="AQ18" i="7"/>
  <c r="AC8" i="7"/>
  <c r="AB9" i="7"/>
  <c r="AP13" i="7"/>
  <c r="AD9" i="7"/>
  <c r="AP19" i="7"/>
  <c r="AS54" i="7"/>
  <c r="AC4" i="7"/>
  <c r="AR20" i="7"/>
  <c r="AB7" i="7"/>
  <c r="AU54" i="7"/>
  <c r="BJ27" i="7"/>
  <c r="AP16" i="7"/>
  <c r="Z5" i="7"/>
  <c r="Z11" i="7"/>
  <c r="AR54" i="7"/>
  <c r="Z4" i="7"/>
  <c r="AS25" i="7"/>
  <c r="AS27" i="7"/>
  <c r="AT16" i="7"/>
  <c r="AH9" i="7"/>
  <c r="AK21" i="7"/>
  <c r="AQ25" i="7"/>
  <c r="AN21" i="7"/>
  <c r="AQ13" i="7"/>
  <c r="AP21" i="7"/>
  <c r="U11" i="7"/>
  <c r="V11" i="7"/>
  <c r="W11" i="7"/>
  <c r="AA18" i="8"/>
  <c r="BA37" i="8"/>
  <c r="AZ32" i="8"/>
  <c r="AQ34" i="8"/>
  <c r="AT23" i="8"/>
  <c r="AC20" i="8"/>
  <c r="AB21" i="8"/>
  <c r="AI22" i="8"/>
  <c r="AL15" i="8"/>
  <c r="Z18" i="8"/>
  <c r="AI8" i="8"/>
  <c r="AN9" i="8"/>
  <c r="AI10" i="8"/>
  <c r="AS21" i="8"/>
  <c r="AD20" i="8"/>
  <c r="AZ37" i="8"/>
  <c r="AV32" i="8"/>
  <c r="AW26" i="8"/>
  <c r="AQ23" i="8"/>
  <c r="AA20" i="8"/>
  <c r="Z21" i="8"/>
  <c r="AG22" i="8"/>
  <c r="AJ15" i="8"/>
  <c r="X18" i="8"/>
  <c r="AF8" i="8"/>
  <c r="AM9" i="8"/>
  <c r="AH10" i="8"/>
  <c r="AJ10" i="8"/>
  <c r="AY37" i="8"/>
  <c r="AT32" i="8"/>
  <c r="AV26" i="8"/>
  <c r="AJ23" i="8"/>
  <c r="X20" i="8"/>
  <c r="Y21" i="8"/>
  <c r="AE22" i="8"/>
  <c r="AD15" i="8"/>
  <c r="AP14" i="8"/>
  <c r="AD8" i="8"/>
  <c r="AL9" i="8"/>
  <c r="AD10" i="8"/>
  <c r="AU27" i="8"/>
  <c r="AA5" i="8"/>
  <c r="AW37" i="8"/>
  <c r="AN32" i="8"/>
  <c r="AU26" i="8"/>
  <c r="AI23" i="8"/>
  <c r="AY27" i="8"/>
  <c r="AY16" i="8"/>
  <c r="AD22" i="8"/>
  <c r="AC15" i="8"/>
  <c r="AL14" i="8"/>
  <c r="AO7" i="8"/>
  <c r="AK9" i="8"/>
  <c r="AC10" i="8"/>
  <c r="AB30" i="8"/>
  <c r="AV30" i="8"/>
  <c r="AN15" i="8"/>
  <c r="BD38" i="8"/>
  <c r="BA31" i="8"/>
  <c r="AT26" i="8"/>
  <c r="AH23" i="8"/>
  <c r="AV27" i="8"/>
  <c r="AW16" i="8"/>
  <c r="AB22" i="8"/>
  <c r="AA15" i="8"/>
  <c r="AK14" i="8"/>
  <c r="AN7" i="8"/>
  <c r="AJ9" i="8"/>
  <c r="AA10" i="8"/>
  <c r="AC8" i="8"/>
  <c r="AW27" i="8"/>
  <c r="AP8" i="8"/>
  <c r="BC38" i="8"/>
  <c r="AZ31" i="8"/>
  <c r="AN26" i="8"/>
  <c r="AF23" i="8"/>
  <c r="AT27" i="8"/>
  <c r="AV16" i="8"/>
  <c r="AA22" i="8"/>
  <c r="Z15" i="8"/>
  <c r="AF14" i="8"/>
  <c r="AM7" i="8"/>
  <c r="AI9" i="8"/>
  <c r="Z10" i="8"/>
  <c r="AD6" i="8"/>
  <c r="AX30" i="8"/>
  <c r="AR31" i="8"/>
  <c r="BC40" i="8"/>
  <c r="BA38" i="8"/>
  <c r="AW31" i="8"/>
  <c r="AY24" i="8"/>
  <c r="AD23" i="8"/>
  <c r="AS27" i="8"/>
  <c r="AT16" i="8"/>
  <c r="AP19" i="8"/>
  <c r="X15" i="8"/>
  <c r="AB14" i="8"/>
  <c r="AL7" i="8"/>
  <c r="AH9" i="8"/>
  <c r="X10" i="8"/>
  <c r="AE8" i="8"/>
  <c r="AY33" i="8"/>
  <c r="AD21" i="8"/>
  <c r="BA40" i="8"/>
  <c r="AZ38" i="8"/>
  <c r="AT31" i="8"/>
  <c r="AT24" i="8"/>
  <c r="AB23" i="8"/>
  <c r="AR27" i="8"/>
  <c r="AP16" i="8"/>
  <c r="AL19" i="8"/>
  <c r="AL17" i="8"/>
  <c r="AA14" i="8"/>
  <c r="AK7" i="8"/>
  <c r="AG9" i="8"/>
  <c r="AC5" i="8"/>
  <c r="AF10" i="8"/>
  <c r="Z30" i="8"/>
  <c r="AZ40" i="8"/>
  <c r="AX38" i="8"/>
  <c r="BD25" i="8"/>
  <c r="AR24" i="8"/>
  <c r="X23" i="8"/>
  <c r="AL27" i="8"/>
  <c r="AN16" i="8"/>
  <c r="AJ19" i="8"/>
  <c r="AK17" i="8"/>
  <c r="Z14" i="8"/>
  <c r="AI7" i="8"/>
  <c r="AF9" i="8"/>
  <c r="Z5" i="8"/>
  <c r="AG10" i="8"/>
  <c r="AW40" i="8"/>
  <c r="AK16" i="8"/>
  <c r="AB19" i="8"/>
  <c r="AH17" i="8"/>
  <c r="AN11" i="8"/>
  <c r="AH7" i="8"/>
  <c r="AE9" i="8"/>
  <c r="X5" i="8"/>
  <c r="AH13" i="8"/>
  <c r="BB38" i="8"/>
  <c r="BC25" i="8"/>
  <c r="BB33" i="8"/>
  <c r="AZ28" i="8"/>
  <c r="BB25" i="8"/>
  <c r="AP24" i="8"/>
  <c r="AV20" i="8"/>
  <c r="AI27" i="8"/>
  <c r="AI16" i="8"/>
  <c r="Z19" i="8"/>
  <c r="AD17" i="8"/>
  <c r="AE11" i="8"/>
  <c r="AB7" i="8"/>
  <c r="AD9" i="8"/>
  <c r="AL4" i="8"/>
  <c r="AI15" i="8"/>
  <c r="BC37" i="8"/>
  <c r="BA32" i="8"/>
  <c r="AW20" i="8"/>
  <c r="BA33" i="8"/>
  <c r="AV28" i="8"/>
  <c r="BA25" i="8"/>
  <c r="AW30" i="8"/>
  <c r="AU20" i="8"/>
  <c r="AG27" i="8"/>
  <c r="AH16" i="8"/>
  <c r="AM13" i="8"/>
  <c r="X17" i="8"/>
  <c r="AD11" i="8"/>
  <c r="AK6" i="8"/>
  <c r="AC9" i="8"/>
  <c r="AK4" i="8"/>
  <c r="AJ7" i="8"/>
  <c r="BD31" i="8"/>
  <c r="AO9" i="8"/>
  <c r="AZ25" i="8"/>
  <c r="AT30" i="8"/>
  <c r="AT20" i="8"/>
  <c r="AC27" i="8"/>
  <c r="AF16" i="8"/>
  <c r="AL13" i="8"/>
  <c r="AN18" i="8"/>
  <c r="AB11" i="8"/>
  <c r="AI6" i="8"/>
  <c r="AB9" i="8"/>
  <c r="AJ4" i="8"/>
  <c r="AK10" i="8"/>
  <c r="BE33" i="8"/>
  <c r="BH37" i="8"/>
  <c r="AQ24" i="8"/>
  <c r="BD35" i="8"/>
  <c r="BD29" i="8"/>
  <c r="AY25" i="8"/>
  <c r="AO30" i="8"/>
  <c r="AR20" i="8"/>
  <c r="AA27" i="8"/>
  <c r="AD16" i="8"/>
  <c r="AI13" i="8"/>
  <c r="AL18" i="8"/>
  <c r="AA11" i="8"/>
  <c r="AH6" i="8"/>
  <c r="AA9" i="8"/>
  <c r="AI4" i="8"/>
  <c r="AL10" i="8"/>
  <c r="BF28" i="8"/>
  <c r="BA28" i="8"/>
  <c r="BC35" i="8"/>
  <c r="BC29" i="8"/>
  <c r="AU25" i="8"/>
  <c r="AL30" i="8"/>
  <c r="AQ20" i="8"/>
  <c r="Z27" i="8"/>
  <c r="AB16" i="8"/>
  <c r="AF13" i="8"/>
  <c r="AK18" i="8"/>
  <c r="AL12" i="8"/>
  <c r="AF6" i="8"/>
  <c r="Z9" i="8"/>
  <c r="X4" i="8"/>
  <c r="AM4" i="8"/>
  <c r="BG40" i="8"/>
  <c r="AT34" i="8"/>
  <c r="BH29" i="8"/>
  <c r="BA35" i="8"/>
  <c r="BB29" i="8"/>
  <c r="AT25" i="8"/>
  <c r="AI30" i="8"/>
  <c r="AL20" i="8"/>
  <c r="X27" i="8"/>
  <c r="AA16" i="8"/>
  <c r="AD13" i="8"/>
  <c r="AJ18" i="8"/>
  <c r="AK12" i="8"/>
  <c r="AB6" i="8"/>
  <c r="Y9" i="8"/>
  <c r="X16" i="8"/>
  <c r="AN4" i="8"/>
  <c r="BH28" i="8"/>
  <c r="AJ22" i="8"/>
  <c r="AZ33" i="8"/>
  <c r="AZ35" i="8"/>
  <c r="BA29" i="8"/>
  <c r="BA34" i="8"/>
  <c r="AF30" i="8"/>
  <c r="AK20" i="8"/>
  <c r="AT21" i="8"/>
  <c r="AO22" i="8"/>
  <c r="AC13" i="8"/>
  <c r="AI18" i="8"/>
  <c r="AI12" i="8"/>
  <c r="Z6" i="8"/>
  <c r="AP10" i="8"/>
  <c r="Y22" i="8"/>
  <c r="AO8" i="8"/>
  <c r="BI29" i="8"/>
  <c r="AK27" i="8"/>
  <c r="AV35" i="8"/>
  <c r="AZ29" i="8"/>
  <c r="AZ34" i="8"/>
  <c r="AE30" i="8"/>
  <c r="AI20" i="8"/>
  <c r="AK21" i="8"/>
  <c r="AM22" i="8"/>
  <c r="Y13" i="8"/>
  <c r="AF18" i="8"/>
  <c r="AD12" i="8"/>
  <c r="X6" i="8"/>
  <c r="AO10" i="8"/>
  <c r="Y27" i="8"/>
  <c r="AP32" i="8"/>
  <c r="BI37" i="8"/>
  <c r="AW29" i="8"/>
  <c r="AW34" i="8"/>
  <c r="AD30" i="8"/>
  <c r="AF20" i="8"/>
  <c r="AE21" i="8"/>
  <c r="AL22" i="8"/>
  <c r="X13" i="8"/>
  <c r="AB18" i="8"/>
  <c r="AC12" i="8"/>
  <c r="AP9" i="8"/>
  <c r="AN10" i="8"/>
  <c r="Z4" i="8"/>
  <c r="AQ27" i="8"/>
  <c r="BI40" i="8"/>
  <c r="BI38" i="8"/>
  <c r="BI33" i="8"/>
  <c r="BI28" i="8"/>
  <c r="BI35" i="8"/>
  <c r="BH40" i="8"/>
  <c r="BH38" i="8"/>
  <c r="BH33" i="8"/>
  <c r="BH35" i="8"/>
  <c r="BG38" i="8"/>
  <c r="BG37" i="8"/>
  <c r="BG35" i="8"/>
  <c r="BG33" i="8"/>
  <c r="BG28" i="8"/>
  <c r="BG29" i="8"/>
  <c r="BF38" i="8"/>
  <c r="BF29" i="8"/>
  <c r="BF35" i="8"/>
  <c r="BF40" i="8"/>
  <c r="BF37" i="8"/>
  <c r="BF33" i="8"/>
  <c r="BE38" i="8"/>
  <c r="BE29" i="8"/>
  <c r="BE40" i="8"/>
  <c r="BE35" i="8"/>
  <c r="BE28" i="8"/>
  <c r="BE37" i="8"/>
  <c r="BD40" i="8"/>
  <c r="BD34" i="8"/>
  <c r="BD32" i="8"/>
  <c r="BD37" i="8"/>
  <c r="BD28" i="8"/>
  <c r="BD33" i="8"/>
  <c r="BC32" i="8"/>
  <c r="BC34" i="8"/>
  <c r="BC33" i="8"/>
  <c r="BC28" i="8"/>
  <c r="BC31" i="8"/>
  <c r="BB32" i="8"/>
  <c r="BB37" i="8"/>
  <c r="BB28" i="8"/>
  <c r="BB40" i="8"/>
  <c r="BB31" i="8"/>
  <c r="BB34" i="8"/>
  <c r="BB35" i="8"/>
  <c r="AY32" i="8"/>
  <c r="AY30" i="8"/>
  <c r="AY20" i="8"/>
  <c r="AY28" i="8"/>
  <c r="AY40" i="8"/>
  <c r="AY34" i="8"/>
  <c r="AY38" i="8"/>
  <c r="AY31" i="8"/>
  <c r="AY26" i="8"/>
  <c r="AY23" i="8"/>
  <c r="AY35" i="8"/>
  <c r="AY21" i="8"/>
  <c r="AY29" i="8"/>
  <c r="AX31" i="8"/>
  <c r="AX33" i="8"/>
  <c r="AX37" i="8"/>
  <c r="AX40" i="8"/>
  <c r="AX23" i="8"/>
  <c r="AX34" i="8"/>
  <c r="AX26" i="8"/>
  <c r="AX21" i="8"/>
  <c r="AX28" i="8"/>
  <c r="AX25" i="8"/>
  <c r="AX32" i="8"/>
  <c r="AX24" i="8"/>
  <c r="AX20" i="8"/>
  <c r="AX27" i="8"/>
  <c r="AX16" i="8"/>
  <c r="AX29" i="8"/>
  <c r="AX35" i="8"/>
  <c r="AW35" i="8"/>
  <c r="AW28" i="8"/>
  <c r="AW32" i="8"/>
  <c r="AW23" i="8"/>
  <c r="AW24" i="8"/>
  <c r="AW21" i="8"/>
  <c r="AW25" i="8"/>
  <c r="AW33" i="8"/>
  <c r="AW38" i="8"/>
  <c r="AV33" i="8"/>
  <c r="AV38" i="8"/>
  <c r="AV25" i="8"/>
  <c r="AV23" i="8"/>
  <c r="AV40" i="8"/>
  <c r="AV37" i="8"/>
  <c r="AV21" i="8"/>
  <c r="AV24" i="8"/>
  <c r="AV29" i="8"/>
  <c r="AV31" i="8"/>
  <c r="AV34" i="8"/>
  <c r="AU24" i="8"/>
  <c r="AU16" i="8"/>
  <c r="AU23" i="8"/>
  <c r="AU34" i="8"/>
  <c r="AU21" i="8"/>
  <c r="AU31" i="8"/>
  <c r="AU30" i="8"/>
  <c r="AU32" i="8"/>
  <c r="AS31" i="8"/>
  <c r="AS20" i="8"/>
  <c r="AS24" i="8"/>
  <c r="AS32" i="8"/>
  <c r="AS23" i="8"/>
  <c r="AS30" i="8"/>
  <c r="AS34" i="8"/>
  <c r="AS16" i="8"/>
  <c r="AS25" i="8"/>
  <c r="AS26" i="8"/>
  <c r="AR32" i="8"/>
  <c r="AR34" i="8"/>
  <c r="AR23" i="8"/>
  <c r="AR16" i="8"/>
  <c r="AR25" i="8"/>
  <c r="AR30" i="8"/>
  <c r="AR26" i="8"/>
  <c r="AR21" i="8"/>
  <c r="AQ25" i="8"/>
  <c r="AQ26" i="8"/>
  <c r="AQ31" i="8"/>
  <c r="AQ4" i="8"/>
  <c r="AQ30" i="8"/>
  <c r="AQ16" i="8"/>
  <c r="AQ21" i="8"/>
  <c r="AQ32" i="8"/>
  <c r="AP34" i="8"/>
  <c r="AP17" i="8"/>
  <c r="AP7" i="8"/>
  <c r="AP13" i="8"/>
  <c r="AP27" i="8"/>
  <c r="AP11" i="8"/>
  <c r="AP21" i="8"/>
  <c r="AP25" i="8"/>
  <c r="AP18" i="8"/>
  <c r="AP23" i="8"/>
  <c r="AP6" i="8"/>
  <c r="AP31" i="8"/>
  <c r="AP26" i="8"/>
  <c r="AP12" i="8"/>
  <c r="AP20" i="8"/>
  <c r="AP5" i="8"/>
  <c r="AP30" i="8"/>
  <c r="AP15" i="8"/>
  <c r="AP4" i="8"/>
  <c r="AO18" i="8"/>
  <c r="AO11" i="8"/>
  <c r="AO34" i="8"/>
  <c r="AO15" i="8"/>
  <c r="AO16" i="8"/>
  <c r="AO5" i="8"/>
  <c r="AO19" i="8"/>
  <c r="AO12" i="8"/>
  <c r="AO6" i="8"/>
  <c r="AO21" i="8"/>
  <c r="AO31" i="8"/>
  <c r="AO27" i="8"/>
  <c r="AO24" i="8"/>
  <c r="AO25" i="8"/>
  <c r="AO20" i="8"/>
  <c r="AO14" i="8"/>
  <c r="AO4" i="8"/>
  <c r="AO32" i="8"/>
  <c r="AO26" i="8"/>
  <c r="AO23" i="8"/>
  <c r="AO13" i="8"/>
  <c r="AO17" i="8"/>
  <c r="AN20" i="8"/>
  <c r="AN27" i="8"/>
  <c r="AN21" i="8"/>
  <c r="AN19" i="8"/>
  <c r="AN23" i="8"/>
  <c r="AN30" i="8"/>
  <c r="AN12" i="8"/>
  <c r="AN6" i="8"/>
  <c r="AN22" i="8"/>
  <c r="AN17" i="8"/>
  <c r="AN14" i="8"/>
  <c r="AN25" i="8"/>
  <c r="AN5" i="8"/>
  <c r="AN34" i="8"/>
  <c r="AN13" i="8"/>
  <c r="AN24" i="8"/>
  <c r="AN8" i="8"/>
  <c r="AN31" i="8"/>
  <c r="AM17" i="8"/>
  <c r="AM12" i="8"/>
  <c r="AM14" i="8"/>
  <c r="AM20" i="8"/>
  <c r="AM27" i="8"/>
  <c r="AM16" i="8"/>
  <c r="AM21" i="8"/>
  <c r="AM15" i="8"/>
  <c r="AM18" i="8"/>
  <c r="AM8" i="8"/>
  <c r="AM19" i="8"/>
  <c r="AM6" i="8"/>
  <c r="AM23" i="8"/>
  <c r="AM5" i="8"/>
  <c r="AM30" i="8"/>
  <c r="AM11" i="8"/>
  <c r="AM10" i="8"/>
  <c r="AL23" i="8"/>
  <c r="AL21" i="8"/>
  <c r="AL16" i="8"/>
  <c r="AL6" i="8"/>
  <c r="AL8" i="8"/>
  <c r="AL11" i="8"/>
  <c r="AL5" i="8"/>
  <c r="AK19" i="8"/>
  <c r="AK15" i="8"/>
  <c r="AK8" i="8"/>
  <c r="AK11" i="8"/>
  <c r="AK5" i="8"/>
  <c r="AK22" i="8"/>
  <c r="AK13" i="8"/>
  <c r="AK30" i="8"/>
  <c r="AK23" i="8"/>
  <c r="AJ30" i="8"/>
  <c r="AJ11" i="8"/>
  <c r="AJ13" i="8"/>
  <c r="AJ8" i="8"/>
  <c r="AJ27" i="8"/>
  <c r="AJ6" i="8"/>
  <c r="AJ20" i="8"/>
  <c r="AJ21" i="8"/>
  <c r="AJ16" i="8"/>
  <c r="AJ17" i="8"/>
  <c r="AJ5" i="8"/>
  <c r="AJ14" i="8"/>
  <c r="AJ12" i="8"/>
  <c r="AI21" i="8"/>
  <c r="AI11" i="8"/>
  <c r="AI17" i="8"/>
  <c r="AI5" i="8"/>
  <c r="AI19" i="8"/>
  <c r="AI14" i="8"/>
  <c r="AH11" i="8"/>
  <c r="AH30" i="8"/>
  <c r="AH19" i="8"/>
  <c r="AH4" i="8"/>
  <c r="AH8" i="8"/>
  <c r="AH20" i="8"/>
  <c r="AH14" i="8"/>
  <c r="AH15" i="8"/>
  <c r="AH22" i="8"/>
  <c r="AH27" i="8"/>
  <c r="AH5" i="8"/>
  <c r="AH21" i="8"/>
  <c r="AH18" i="8"/>
  <c r="AH12" i="8"/>
  <c r="AG14" i="8"/>
  <c r="AG8" i="8"/>
  <c r="AG6" i="8"/>
  <c r="AG4" i="8"/>
  <c r="AG30" i="8"/>
  <c r="AG18" i="8"/>
  <c r="AG16" i="8"/>
  <c r="AG23" i="8"/>
  <c r="AG5" i="8"/>
  <c r="AG21" i="8"/>
  <c r="AG13" i="8"/>
  <c r="AG12" i="8"/>
  <c r="AG19" i="8"/>
  <c r="AG15" i="8"/>
  <c r="AG20" i="8"/>
  <c r="AG7" i="8"/>
  <c r="AG17" i="8"/>
  <c r="AG11" i="8"/>
  <c r="AF19" i="8"/>
  <c r="AF12" i="8"/>
  <c r="AF27" i="8"/>
  <c r="AF17" i="8"/>
  <c r="AF22" i="8"/>
  <c r="AF21" i="8"/>
  <c r="AF11" i="8"/>
  <c r="AF7" i="8"/>
  <c r="AF5" i="8"/>
  <c r="AF4" i="8"/>
  <c r="AF15" i="8"/>
  <c r="AE17" i="8"/>
  <c r="AE12" i="8"/>
  <c r="AE6" i="8"/>
  <c r="AE16" i="8"/>
  <c r="AE15" i="8"/>
  <c r="AE23" i="8"/>
  <c r="AE13" i="8"/>
  <c r="AE7" i="8"/>
  <c r="AE20" i="8"/>
  <c r="AE14" i="8"/>
  <c r="AE5" i="8"/>
  <c r="AE4" i="8"/>
  <c r="AE27" i="8"/>
  <c r="AE19" i="8"/>
  <c r="AE10" i="8"/>
  <c r="AE18" i="8"/>
  <c r="AD7" i="8"/>
  <c r="AD27" i="8"/>
  <c r="AD14" i="8"/>
  <c r="AD4" i="8"/>
  <c r="AD19" i="8"/>
  <c r="AD18" i="8"/>
  <c r="AD5" i="8"/>
  <c r="AC6" i="8"/>
  <c r="AC11" i="8"/>
  <c r="AC19" i="8"/>
  <c r="AC30" i="8"/>
  <c r="AC21" i="8"/>
  <c r="AC14" i="8"/>
  <c r="AC7" i="8"/>
  <c r="AC22" i="8"/>
  <c r="AC18" i="8"/>
  <c r="AC23" i="8"/>
  <c r="AC4" i="8"/>
  <c r="AC16" i="8"/>
  <c r="AC17" i="8"/>
  <c r="AB20" i="8"/>
  <c r="AB17" i="8"/>
  <c r="AB15" i="8"/>
  <c r="AB8" i="8"/>
  <c r="AB4" i="8"/>
  <c r="AB27" i="8"/>
  <c r="AB13" i="8"/>
  <c r="AB5" i="8"/>
  <c r="AB12" i="8"/>
  <c r="AB10" i="8"/>
  <c r="AA6" i="8"/>
  <c r="AA17" i="8"/>
  <c r="AA7" i="8"/>
  <c r="AA30" i="8"/>
  <c r="AA13" i="8"/>
  <c r="AA8" i="8"/>
  <c r="AA19" i="8"/>
  <c r="AA21" i="8"/>
  <c r="AA12" i="8"/>
  <c r="AA23" i="8"/>
  <c r="AA4" i="8"/>
  <c r="Z17" i="8"/>
  <c r="Z13" i="8"/>
  <c r="Z23" i="8"/>
  <c r="Z7" i="8"/>
  <c r="Z8" i="8"/>
  <c r="Z22" i="8"/>
  <c r="Z12" i="8"/>
  <c r="Z20" i="8"/>
  <c r="Z16" i="8"/>
  <c r="Z11" i="8"/>
  <c r="Y15" i="8"/>
  <c r="Y7" i="8"/>
  <c r="Y6" i="8"/>
  <c r="Y16" i="8"/>
  <c r="Y8" i="8"/>
  <c r="Y30" i="8"/>
  <c r="Y12" i="8"/>
  <c r="Y11" i="8"/>
  <c r="Y23" i="8"/>
  <c r="Y14" i="8"/>
  <c r="Y18" i="8"/>
  <c r="Y17" i="8"/>
  <c r="Y19" i="8"/>
  <c r="Y5" i="8"/>
  <c r="Y4" i="8"/>
  <c r="Y20" i="8"/>
  <c r="Y10" i="8"/>
  <c r="X9" i="8"/>
  <c r="X7" i="8"/>
  <c r="X8" i="8"/>
  <c r="X12" i="8"/>
  <c r="X21" i="8"/>
  <c r="X11" i="8"/>
  <c r="X14" i="8"/>
  <c r="X19" i="8"/>
  <c r="X22" i="8"/>
  <c r="X30" i="8"/>
  <c r="S14" i="7" l="1"/>
  <c r="S13" i="7"/>
  <c r="Q20" i="8"/>
  <c r="S11" i="8"/>
  <c r="R11" i="8"/>
  <c r="Q11" i="8"/>
  <c r="R26" i="8"/>
  <c r="S26" i="8"/>
  <c r="Q26" i="8"/>
  <c r="S22" i="8"/>
  <c r="R22" i="8"/>
  <c r="Q22" i="8"/>
  <c r="S25" i="8"/>
  <c r="Q25" i="8"/>
  <c r="R25" i="8"/>
  <c r="S35" i="8"/>
  <c r="Q35" i="8"/>
  <c r="R35" i="8"/>
  <c r="S40" i="8"/>
  <c r="R40" i="8"/>
  <c r="Q40" i="8"/>
  <c r="R33" i="8"/>
  <c r="Q33" i="8"/>
  <c r="S33" i="8"/>
  <c r="S14" i="8"/>
  <c r="R14" i="8"/>
  <c r="Q14" i="8"/>
  <c r="Q34" i="8"/>
  <c r="S34" i="8"/>
  <c r="R34" i="8"/>
  <c r="S5" i="8"/>
  <c r="R5" i="8"/>
  <c r="Q5" i="8"/>
  <c r="S23" i="8"/>
  <c r="R23" i="8"/>
  <c r="Q23" i="8"/>
  <c r="S31" i="8"/>
  <c r="R31" i="8"/>
  <c r="Q31" i="8"/>
  <c r="N35" i="8"/>
  <c r="P35" i="8"/>
  <c r="O35" i="8"/>
  <c r="S38" i="8"/>
  <c r="R38" i="8"/>
  <c r="Q38" i="8"/>
  <c r="R37" i="8"/>
  <c r="Q37" i="8"/>
  <c r="S37" i="8"/>
  <c r="S30" i="8"/>
  <c r="R30" i="8"/>
  <c r="Q30" i="8"/>
  <c r="S13" i="8"/>
  <c r="R13" i="8"/>
  <c r="Q13" i="8"/>
  <c r="P40" i="8"/>
  <c r="O40" i="8"/>
  <c r="N40" i="8"/>
  <c r="S18" i="8"/>
  <c r="R18" i="8"/>
  <c r="Q18" i="8"/>
  <c r="S21" i="8"/>
  <c r="R21" i="8"/>
  <c r="Q21" i="8"/>
  <c r="O33" i="8"/>
  <c r="P33" i="8"/>
  <c r="N33" i="8"/>
  <c r="R10" i="8"/>
  <c r="S10" i="8"/>
  <c r="Q10" i="8"/>
  <c r="S27" i="8"/>
  <c r="R27" i="8"/>
  <c r="Q27" i="8"/>
  <c r="S29" i="8"/>
  <c r="R29" i="8"/>
  <c r="Q29" i="8"/>
  <c r="N37" i="8"/>
  <c r="P37" i="8"/>
  <c r="O37" i="8"/>
  <c r="O34" i="8"/>
  <c r="N34" i="8"/>
  <c r="P34" i="8"/>
  <c r="S15" i="8"/>
  <c r="Q15" i="8"/>
  <c r="R15" i="8"/>
  <c r="S6" i="8"/>
  <c r="R6" i="8"/>
  <c r="Q6" i="8"/>
  <c r="R7" i="8"/>
  <c r="S7" i="8"/>
  <c r="Q7" i="8"/>
  <c r="P38" i="8"/>
  <c r="O38" i="8"/>
  <c r="N38" i="8"/>
  <c r="R17" i="8"/>
  <c r="S17" i="8"/>
  <c r="Q17" i="8"/>
  <c r="R9" i="8"/>
  <c r="Q9" i="8"/>
  <c r="S9" i="8"/>
  <c r="Q19" i="8"/>
  <c r="S19" i="8"/>
  <c r="R19" i="8"/>
  <c r="S12" i="7"/>
  <c r="R12" i="7"/>
  <c r="Q12" i="7"/>
  <c r="S15" i="7"/>
  <c r="S47" i="7"/>
  <c r="S7" i="7"/>
  <c r="R7" i="7"/>
  <c r="Q7" i="7"/>
  <c r="Q20" i="7"/>
  <c r="R20" i="7"/>
  <c r="N48" i="7"/>
  <c r="R12" i="8"/>
  <c r="Q12" i="8"/>
  <c r="S12" i="8"/>
  <c r="R16" i="8"/>
  <c r="Q16" i="8"/>
  <c r="S16" i="8"/>
  <c r="P25" i="8"/>
  <c r="O25" i="8"/>
  <c r="N25" i="8"/>
  <c r="P26" i="8"/>
  <c r="O26" i="8"/>
  <c r="N26" i="8"/>
  <c r="R32" i="8"/>
  <c r="Q32" i="8"/>
  <c r="S32" i="8"/>
  <c r="N50" i="7"/>
  <c r="P29" i="8"/>
  <c r="O29" i="8"/>
  <c r="N29" i="8"/>
  <c r="R28" i="8"/>
  <c r="Q28" i="8"/>
  <c r="S28" i="8"/>
  <c r="O51" i="7"/>
  <c r="P51" i="7"/>
  <c r="P31" i="8"/>
  <c r="O31" i="8"/>
  <c r="N31" i="8"/>
  <c r="Q51" i="7"/>
  <c r="R51" i="7"/>
  <c r="S50" i="7"/>
  <c r="R50" i="7"/>
  <c r="Q50" i="7"/>
  <c r="S8" i="7"/>
  <c r="R8" i="7"/>
  <c r="Q8" i="7"/>
  <c r="S46" i="7"/>
  <c r="Q31" i="7"/>
  <c r="S31" i="7"/>
  <c r="R31" i="7"/>
  <c r="P48" i="7"/>
  <c r="O48" i="7"/>
  <c r="Q41" i="7"/>
  <c r="R41" i="7"/>
  <c r="S41" i="7"/>
  <c r="Q36" i="7"/>
  <c r="S36" i="7"/>
  <c r="R36" i="7"/>
  <c r="Q14" i="7"/>
  <c r="R14" i="7"/>
  <c r="R46" i="7"/>
  <c r="Q46" i="7"/>
  <c r="R21" i="7"/>
  <c r="Q21" i="7"/>
  <c r="S21" i="7"/>
  <c r="R11" i="7"/>
  <c r="Q11" i="7"/>
  <c r="S11" i="7"/>
  <c r="R13" i="7"/>
  <c r="Q13" i="7"/>
  <c r="S51" i="7"/>
  <c r="S22" i="7"/>
  <c r="R22" i="7"/>
  <c r="Q22" i="7"/>
  <c r="R49" i="7"/>
  <c r="Q49" i="7"/>
  <c r="S49" i="7"/>
  <c r="S43" i="7"/>
  <c r="R43" i="7"/>
  <c r="Q43" i="7"/>
  <c r="P50" i="7"/>
  <c r="O50" i="7"/>
  <c r="O47" i="7"/>
  <c r="N47" i="7"/>
  <c r="P47" i="7"/>
  <c r="S45" i="7"/>
  <c r="S39" i="7"/>
  <c r="R39" i="7"/>
  <c r="Q39" i="7"/>
  <c r="R45" i="7"/>
  <c r="Q45" i="7"/>
  <c r="R42" i="7"/>
  <c r="Q42" i="7"/>
  <c r="S42" i="7"/>
  <c r="R37" i="7"/>
  <c r="Q37" i="7"/>
  <c r="S37" i="7"/>
  <c r="S27" i="7"/>
  <c r="R27" i="7"/>
  <c r="Q27" i="7"/>
  <c r="Q18" i="7"/>
  <c r="S18" i="7"/>
  <c r="R18" i="7"/>
  <c r="R9" i="7"/>
  <c r="Q9" i="7"/>
  <c r="S9" i="7"/>
  <c r="Q48" i="7"/>
  <c r="S48" i="7"/>
  <c r="R48" i="7"/>
  <c r="N51" i="7"/>
  <c r="Q44" i="7"/>
  <c r="R44" i="7"/>
  <c r="Q47" i="7"/>
  <c r="R47" i="7"/>
  <c r="S16" i="7"/>
  <c r="R16" i="7"/>
  <c r="Q16" i="7"/>
  <c r="Q10" i="7"/>
  <c r="S10" i="7"/>
  <c r="R10" i="7"/>
  <c r="S34" i="7"/>
  <c r="R34" i="7"/>
  <c r="Q34" i="7"/>
  <c r="S17" i="7"/>
  <c r="Q17" i="7"/>
  <c r="R17" i="7"/>
  <c r="S38" i="7"/>
  <c r="R38" i="7"/>
  <c r="Q38" i="7"/>
  <c r="R26" i="7"/>
  <c r="Q26" i="7"/>
  <c r="S26" i="7"/>
  <c r="S30" i="7"/>
  <c r="Q30" i="7"/>
  <c r="R30" i="7"/>
  <c r="R33" i="7"/>
  <c r="Q33" i="7"/>
  <c r="S33" i="7"/>
  <c r="Q25" i="7"/>
  <c r="S25" i="7"/>
  <c r="R25" i="7"/>
  <c r="S23" i="7"/>
  <c r="Q23" i="7"/>
  <c r="R23" i="7"/>
  <c r="R19" i="7"/>
  <c r="Q19" i="7"/>
  <c r="S19" i="7"/>
  <c r="R15" i="7"/>
  <c r="Q15" i="7"/>
  <c r="S35" i="7"/>
  <c r="Q35" i="7"/>
  <c r="R35" i="7"/>
  <c r="Q54" i="7"/>
  <c r="F52" i="10" s="1"/>
  <c r="S54" i="7"/>
  <c r="H52" i="10" s="1"/>
  <c r="R54" i="7"/>
  <c r="G52" i="10" s="1"/>
  <c r="CC54" i="7"/>
  <c r="O54" i="7"/>
  <c r="J52" i="10" s="1"/>
  <c r="BW54" i="7"/>
  <c r="N54" i="7"/>
  <c r="I52" i="10" s="1"/>
  <c r="T54" i="7"/>
  <c r="P54" i="7"/>
  <c r="K52" i="10" s="1"/>
  <c r="T33" i="8"/>
  <c r="T29" i="8"/>
  <c r="T32" i="8"/>
  <c r="T28" i="8"/>
  <c r="T37" i="8"/>
  <c r="T31" i="8"/>
  <c r="T40" i="8"/>
  <c r="T24" i="8"/>
  <c r="T34" i="8"/>
  <c r="T25" i="8"/>
  <c r="T35" i="8"/>
  <c r="T26" i="8"/>
  <c r="T11" i="7"/>
  <c r="T38" i="8"/>
  <c r="O11" i="7"/>
  <c r="P11" i="7"/>
  <c r="N11" i="7"/>
  <c r="N39" i="9"/>
  <c r="O39" i="9" s="1"/>
  <c r="N38" i="9"/>
  <c r="O38" i="9" s="1"/>
  <c r="N37" i="9"/>
  <c r="O37" i="9" s="1"/>
  <c r="N36" i="9"/>
  <c r="O36" i="9" s="1"/>
  <c r="N35" i="9"/>
  <c r="O35" i="9" s="1"/>
  <c r="N34" i="9"/>
  <c r="O34" i="9" s="1"/>
  <c r="N33" i="9"/>
  <c r="O33" i="9" s="1"/>
  <c r="N32" i="9"/>
  <c r="O32" i="9" s="1"/>
  <c r="N31" i="9"/>
  <c r="O31" i="9" s="1"/>
  <c r="N30" i="9"/>
  <c r="O30" i="9" s="1"/>
  <c r="N29" i="9"/>
  <c r="O29" i="9" s="1"/>
  <c r="N28" i="9"/>
  <c r="O28" i="9" s="1"/>
  <c r="N27" i="9"/>
  <c r="O27" i="9" s="1"/>
  <c r="N26" i="9"/>
  <c r="O26" i="9" s="1"/>
  <c r="N25" i="9"/>
  <c r="O25" i="9" s="1"/>
  <c r="N24" i="9"/>
  <c r="O24" i="9" s="1"/>
  <c r="N23" i="9"/>
  <c r="O23" i="9" s="1"/>
  <c r="N22" i="9"/>
  <c r="O22" i="9" s="1"/>
  <c r="N21" i="9"/>
  <c r="O21" i="9" s="1"/>
  <c r="N20" i="9"/>
  <c r="O20" i="9" s="1"/>
  <c r="N19" i="9"/>
  <c r="O19" i="9" s="1"/>
  <c r="N18" i="9"/>
  <c r="O18" i="9" s="1"/>
  <c r="N17" i="9"/>
  <c r="O17" i="9" s="1"/>
  <c r="N16" i="9"/>
  <c r="O16" i="9" s="1"/>
  <c r="N15" i="9"/>
  <c r="O15" i="9" s="1"/>
  <c r="N14" i="9"/>
  <c r="O14" i="9" s="1"/>
  <c r="N13" i="9"/>
  <c r="O13" i="9" s="1"/>
  <c r="N12" i="9"/>
  <c r="O12" i="9" s="1"/>
  <c r="N11" i="9"/>
  <c r="O11" i="9" s="1"/>
  <c r="N10" i="9"/>
  <c r="O10" i="9" s="1"/>
  <c r="N9" i="9"/>
  <c r="O9" i="9" s="1"/>
  <c r="N8" i="9"/>
  <c r="O8" i="9" s="1"/>
  <c r="N7" i="9"/>
  <c r="O7" i="9" s="1"/>
  <c r="N6" i="9"/>
  <c r="O6" i="9" s="1"/>
  <c r="N5" i="9"/>
  <c r="O5" i="9" s="1"/>
  <c r="N4" i="9"/>
  <c r="O4" i="9" s="1"/>
  <c r="N3" i="9"/>
  <c r="O3" i="9" s="1"/>
  <c r="N2" i="9"/>
  <c r="O2" i="9" s="1"/>
  <c r="BU52" i="7"/>
  <c r="CF52" i="7"/>
  <c r="CG52" i="7" s="1"/>
  <c r="BT52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S52" i="7" l="1"/>
  <c r="R52" i="7"/>
  <c r="Q52" i="7"/>
  <c r="O52" i="7"/>
  <c r="N52" i="7"/>
  <c r="P52" i="7"/>
  <c r="T52" i="7"/>
  <c r="BW52" i="7"/>
  <c r="CC52" i="7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AV41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W30" i="8"/>
  <c r="V30" i="8"/>
  <c r="U30" i="8"/>
  <c r="W23" i="8"/>
  <c r="V23" i="8"/>
  <c r="U23" i="8"/>
  <c r="W20" i="8"/>
  <c r="V20" i="8"/>
  <c r="U20" i="8"/>
  <c r="W27" i="8"/>
  <c r="V27" i="8"/>
  <c r="U27" i="8"/>
  <c r="W21" i="8"/>
  <c r="V21" i="8"/>
  <c r="U21" i="8"/>
  <c r="W16" i="8"/>
  <c r="V16" i="8"/>
  <c r="U16" i="8"/>
  <c r="W22" i="8"/>
  <c r="V22" i="8"/>
  <c r="U22" i="8"/>
  <c r="W19" i="8"/>
  <c r="V19" i="8"/>
  <c r="U19" i="8"/>
  <c r="W13" i="8"/>
  <c r="V13" i="8"/>
  <c r="U13" i="8"/>
  <c r="W15" i="8"/>
  <c r="V15" i="8"/>
  <c r="U15" i="8"/>
  <c r="W17" i="8"/>
  <c r="V17" i="8"/>
  <c r="U17" i="8"/>
  <c r="W18" i="8"/>
  <c r="V18" i="8"/>
  <c r="U18" i="8"/>
  <c r="W14" i="8"/>
  <c r="V14" i="8"/>
  <c r="U14" i="8"/>
  <c r="W11" i="8"/>
  <c r="V11" i="8"/>
  <c r="U11" i="8"/>
  <c r="W12" i="8"/>
  <c r="V12" i="8"/>
  <c r="U12" i="8"/>
  <c r="W8" i="8"/>
  <c r="V8" i="8"/>
  <c r="U8" i="8"/>
  <c r="W7" i="8"/>
  <c r="V7" i="8"/>
  <c r="U7" i="8"/>
  <c r="W6" i="8"/>
  <c r="V6" i="8"/>
  <c r="U6" i="8"/>
  <c r="W9" i="8"/>
  <c r="V9" i="8"/>
  <c r="U9" i="8"/>
  <c r="W10" i="8"/>
  <c r="V10" i="8"/>
  <c r="U10" i="8"/>
  <c r="W5" i="8"/>
  <c r="V5" i="8"/>
  <c r="U5" i="8"/>
  <c r="W4" i="8"/>
  <c r="V4" i="8"/>
  <c r="U4" i="8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W4" i="7"/>
  <c r="V4" i="7"/>
  <c r="U4" i="7"/>
  <c r="W5" i="7"/>
  <c r="V5" i="7"/>
  <c r="U5" i="7"/>
  <c r="W6" i="7"/>
  <c r="V6" i="7"/>
  <c r="U6" i="7"/>
  <c r="P39" i="8" l="1"/>
  <c r="O39" i="8"/>
  <c r="N39" i="8"/>
  <c r="S41" i="8"/>
  <c r="R41" i="8"/>
  <c r="Q41" i="8"/>
  <c r="P36" i="8"/>
  <c r="O36" i="8"/>
  <c r="N36" i="8"/>
  <c r="P41" i="8"/>
  <c r="O41" i="8"/>
  <c r="N41" i="8"/>
  <c r="N8" i="8"/>
  <c r="P8" i="8"/>
  <c r="O8" i="8"/>
  <c r="P4" i="8"/>
  <c r="O4" i="8"/>
  <c r="N4" i="8"/>
  <c r="C1" i="8"/>
  <c r="O12" i="8"/>
  <c r="P12" i="8"/>
  <c r="N12" i="8"/>
  <c r="P5" i="8"/>
  <c r="N5" i="8"/>
  <c r="O5" i="8"/>
  <c r="O11" i="8"/>
  <c r="N11" i="8"/>
  <c r="P11" i="8"/>
  <c r="C1" i="7"/>
  <c r="P10" i="8"/>
  <c r="O10" i="8"/>
  <c r="N10" i="8"/>
  <c r="P9" i="8"/>
  <c r="O9" i="8"/>
  <c r="N9" i="8"/>
  <c r="O6" i="8"/>
  <c r="P6" i="8"/>
  <c r="N6" i="8"/>
  <c r="N7" i="8"/>
  <c r="P7" i="8"/>
  <c r="O7" i="8"/>
  <c r="O22" i="8"/>
  <c r="N22" i="8"/>
  <c r="P22" i="8"/>
  <c r="N27" i="8"/>
  <c r="P27" i="8"/>
  <c r="O27" i="8"/>
  <c r="S36" i="8"/>
  <c r="R36" i="8"/>
  <c r="Q36" i="8"/>
  <c r="O21" i="8"/>
  <c r="P21" i="8"/>
  <c r="N21" i="8"/>
  <c r="N30" i="8"/>
  <c r="P30" i="8"/>
  <c r="O30" i="8"/>
  <c r="P23" i="8"/>
  <c r="N23" i="8"/>
  <c r="O23" i="8"/>
  <c r="T17" i="7"/>
  <c r="T21" i="8"/>
  <c r="T8" i="8"/>
  <c r="T14" i="8"/>
  <c r="T15" i="8"/>
  <c r="T27" i="8"/>
  <c r="T9" i="7"/>
  <c r="T5" i="8"/>
  <c r="T15" i="7"/>
  <c r="T40" i="7"/>
  <c r="T12" i="8"/>
  <c r="T30" i="8"/>
  <c r="T7" i="7"/>
  <c r="T10" i="7"/>
  <c r="T49" i="7"/>
  <c r="T19" i="8"/>
  <c r="T26" i="7"/>
  <c r="T25" i="7"/>
  <c r="T34" i="7"/>
  <c r="T36" i="7"/>
  <c r="T51" i="7"/>
  <c r="T11" i="8"/>
  <c r="T4" i="7"/>
  <c r="T37" i="7"/>
  <c r="T22" i="8"/>
  <c r="T43" i="7"/>
  <c r="T10" i="8"/>
  <c r="T36" i="8"/>
  <c r="T16" i="7"/>
  <c r="T30" i="7"/>
  <c r="T28" i="7"/>
  <c r="T33" i="7"/>
  <c r="T6" i="7"/>
  <c r="T13" i="7"/>
  <c r="T39" i="7"/>
  <c r="T16" i="8"/>
  <c r="T32" i="7"/>
  <c r="T9" i="8"/>
  <c r="T44" i="7"/>
  <c r="T18" i="8"/>
  <c r="T21" i="7"/>
  <c r="T22" i="7"/>
  <c r="T24" i="7"/>
  <c r="T27" i="7"/>
  <c r="T47" i="7"/>
  <c r="T14" i="7"/>
  <c r="T45" i="7"/>
  <c r="T6" i="8"/>
  <c r="T46" i="7"/>
  <c r="T17" i="8"/>
  <c r="T42" i="7"/>
  <c r="T41" i="8"/>
  <c r="T5" i="7"/>
  <c r="T18" i="7"/>
  <c r="T53" i="7"/>
  <c r="T29" i="7"/>
  <c r="T50" i="7"/>
  <c r="T7" i="8"/>
  <c r="T12" i="7"/>
  <c r="T31" i="7"/>
  <c r="T41" i="7"/>
  <c r="T20" i="8"/>
  <c r="T38" i="7"/>
  <c r="T8" i="7"/>
  <c r="T19" i="7"/>
  <c r="T20" i="7"/>
  <c r="T23" i="7"/>
  <c r="T48" i="7"/>
  <c r="T13" i="8"/>
  <c r="T35" i="7"/>
  <c r="T4" i="8"/>
  <c r="T23" i="8"/>
  <c r="T39" i="8"/>
  <c r="BQ41" i="8"/>
  <c r="BJ41" i="8"/>
  <c r="P49" i="7"/>
  <c r="O49" i="7"/>
  <c r="N49" i="7"/>
  <c r="H50" i="10"/>
  <c r="G50" i="10"/>
  <c r="F50" i="10"/>
  <c r="N46" i="7"/>
  <c r="P46" i="7"/>
  <c r="O46" i="7"/>
  <c r="O43" i="7"/>
  <c r="N43" i="7"/>
  <c r="P43" i="7"/>
  <c r="K50" i="10"/>
  <c r="J50" i="10"/>
  <c r="I50" i="10"/>
  <c r="H45" i="10" l="1"/>
  <c r="H48" i="10"/>
  <c r="G48" i="10"/>
  <c r="F47" i="10"/>
  <c r="I54" i="7"/>
  <c r="F54" i="7"/>
  <c r="H54" i="7"/>
  <c r="G54" i="7"/>
  <c r="E54" i="7"/>
  <c r="J54" i="7"/>
  <c r="F48" i="10"/>
  <c r="F44" i="10"/>
  <c r="H44" i="10"/>
  <c r="G45" i="10"/>
  <c r="I47" i="10"/>
  <c r="J47" i="10"/>
  <c r="K47" i="10"/>
  <c r="G46" i="10"/>
  <c r="G49" i="10"/>
  <c r="H49" i="10"/>
  <c r="G44" i="10"/>
  <c r="I45" i="10"/>
  <c r="K45" i="10"/>
  <c r="K49" i="10"/>
  <c r="F45" i="10"/>
  <c r="H46" i="10"/>
  <c r="F49" i="10"/>
  <c r="F46" i="10"/>
  <c r="J45" i="10"/>
  <c r="J48" i="10"/>
  <c r="K48" i="10"/>
  <c r="I49" i="10"/>
  <c r="I48" i="10"/>
  <c r="J49" i="10"/>
  <c r="G47" i="10"/>
  <c r="H47" i="10"/>
  <c r="I17" i="28"/>
  <c r="G17" i="28"/>
  <c r="BZ54" i="7" l="1"/>
  <c r="BY54" i="7"/>
  <c r="BX54" i="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4" i="26"/>
  <c r="CA54" i="7" l="1"/>
  <c r="CF42" i="7"/>
  <c r="CG42" i="7" s="1"/>
  <c r="P42" i="7" l="1"/>
  <c r="BW42" i="7"/>
  <c r="O42" i="7"/>
  <c r="G37" i="10"/>
  <c r="N42" i="7"/>
  <c r="CC42" i="7"/>
  <c r="F37" i="10"/>
  <c r="H37" i="10"/>
  <c r="BU41" i="8" l="1"/>
  <c r="R39" i="8" l="1"/>
  <c r="G38" i="9" s="1"/>
  <c r="H39" i="9"/>
  <c r="Q39" i="8"/>
  <c r="F38" i="9" s="1"/>
  <c r="G39" i="9"/>
  <c r="F39" i="9"/>
  <c r="S39" i="8"/>
  <c r="H38" i="9" s="1"/>
  <c r="J39" i="9"/>
  <c r="K39" i="9"/>
  <c r="I39" i="9"/>
  <c r="BU5" i="8"/>
  <c r="BU10" i="8"/>
  <c r="BU9" i="8"/>
  <c r="BU6" i="8"/>
  <c r="BU7" i="8"/>
  <c r="BU8" i="8"/>
  <c r="BU12" i="8"/>
  <c r="BU11" i="8"/>
  <c r="BU14" i="8"/>
  <c r="BU18" i="8"/>
  <c r="BU17" i="8"/>
  <c r="BU15" i="8"/>
  <c r="BU13" i="8"/>
  <c r="BU19" i="8"/>
  <c r="BU22" i="8"/>
  <c r="BU16" i="8"/>
  <c r="BU21" i="8"/>
  <c r="BU27" i="8"/>
  <c r="BU20" i="8"/>
  <c r="BU23" i="8"/>
  <c r="BU30" i="8"/>
  <c r="BU24" i="8"/>
  <c r="BU26" i="8"/>
  <c r="BU34" i="8"/>
  <c r="BU25" i="8"/>
  <c r="BU31" i="8"/>
  <c r="BU32" i="8"/>
  <c r="BU29" i="8"/>
  <c r="BU28" i="8"/>
  <c r="BU38" i="8"/>
  <c r="BU37" i="8"/>
  <c r="BU35" i="8"/>
  <c r="BU33" i="8"/>
  <c r="BU40" i="8"/>
  <c r="BU36" i="8"/>
  <c r="BU39" i="8"/>
  <c r="BU4" i="8"/>
  <c r="CF6" i="7"/>
  <c r="CG6" i="7" s="1"/>
  <c r="CF5" i="7"/>
  <c r="CG5" i="7" s="1"/>
  <c r="CF4" i="7"/>
  <c r="CG4" i="7" s="1"/>
  <c r="CF10" i="7"/>
  <c r="CG10" i="7" s="1"/>
  <c r="CF7" i="7"/>
  <c r="CG7" i="7" s="1"/>
  <c r="CF9" i="7"/>
  <c r="CG9" i="7" s="1"/>
  <c r="CF15" i="7"/>
  <c r="CG15" i="7" s="1"/>
  <c r="CF8" i="7"/>
  <c r="CG8" i="7" s="1"/>
  <c r="CF14" i="7"/>
  <c r="CG14" i="7" s="1"/>
  <c r="CF17" i="7"/>
  <c r="CG17" i="7" s="1"/>
  <c r="CF12" i="7"/>
  <c r="CG12" i="7" s="1"/>
  <c r="CF13" i="7"/>
  <c r="CG13" i="7" s="1"/>
  <c r="CF21" i="7"/>
  <c r="CG21" i="7" s="1"/>
  <c r="CF18" i="7"/>
  <c r="CG18" i="7" s="1"/>
  <c r="CF19" i="7"/>
  <c r="CG19" i="7" s="1"/>
  <c r="CF26" i="7"/>
  <c r="CG26" i="7" s="1"/>
  <c r="CF16" i="7"/>
  <c r="CG16" i="7" s="1"/>
  <c r="CF22" i="7"/>
  <c r="CG22" i="7" s="1"/>
  <c r="CF53" i="7"/>
  <c r="CG53" i="7" s="1"/>
  <c r="CF20" i="7"/>
  <c r="CG20" i="7" s="1"/>
  <c r="CF25" i="7"/>
  <c r="CG25" i="7" s="1"/>
  <c r="CF30" i="7"/>
  <c r="CG30" i="7" s="1"/>
  <c r="CF24" i="7"/>
  <c r="CG24" i="7" s="1"/>
  <c r="CF29" i="7"/>
  <c r="CG29" i="7" s="1"/>
  <c r="CF23" i="7"/>
  <c r="CG23" i="7" s="1"/>
  <c r="CF34" i="7"/>
  <c r="CG34" i="7" s="1"/>
  <c r="CF28" i="7"/>
  <c r="CG28" i="7" s="1"/>
  <c r="CF27" i="7"/>
  <c r="CG27" i="7" s="1"/>
  <c r="CF35" i="7"/>
  <c r="CG35" i="7" s="1"/>
  <c r="CF32" i="7"/>
  <c r="CG32" i="7" s="1"/>
  <c r="CF38" i="7"/>
  <c r="CG38" i="7" s="1"/>
  <c r="CF33" i="7"/>
  <c r="CG33" i="7" s="1"/>
  <c r="CF31" i="7"/>
  <c r="CG31" i="7" s="1"/>
  <c r="CF37" i="7"/>
  <c r="CG37" i="7" s="1"/>
  <c r="CF36" i="7"/>
  <c r="CG36" i="7" s="1"/>
  <c r="CF45" i="7"/>
  <c r="CG45" i="7" s="1"/>
  <c r="CF40" i="7"/>
  <c r="CG40" i="7" s="1"/>
  <c r="CF44" i="7"/>
  <c r="CG44" i="7" s="1"/>
  <c r="CF48" i="7"/>
  <c r="CG48" i="7" s="1"/>
  <c r="CF39" i="7"/>
  <c r="CG39" i="7" s="1"/>
  <c r="CF41" i="7"/>
  <c r="CG41" i="7" s="1"/>
  <c r="CF43" i="7"/>
  <c r="CG43" i="7" s="1"/>
  <c r="CF50" i="7"/>
  <c r="CG50" i="7" s="1"/>
  <c r="CF51" i="7"/>
  <c r="CG51" i="7" s="1"/>
  <c r="CF46" i="7"/>
  <c r="CG46" i="7" s="1"/>
  <c r="CF49" i="7"/>
  <c r="CG49" i="7" s="1"/>
  <c r="CF47" i="7"/>
  <c r="CG47" i="7" s="1"/>
  <c r="CF11" i="7"/>
  <c r="CG11" i="7" s="1"/>
  <c r="R13" i="33"/>
  <c r="R37" i="33"/>
  <c r="O37" i="33"/>
  <c r="L37" i="33"/>
  <c r="I37" i="33"/>
  <c r="F37" i="33"/>
  <c r="F37" i="9" l="1"/>
  <c r="F34" i="9"/>
  <c r="G37" i="9"/>
  <c r="G34" i="9"/>
  <c r="H37" i="9"/>
  <c r="H34" i="9"/>
  <c r="B32" i="33"/>
  <c r="B31" i="33"/>
  <c r="B33" i="33"/>
  <c r="H7" i="33"/>
  <c r="I13" i="33" s="1"/>
  <c r="K7" i="33"/>
  <c r="N7" i="33"/>
  <c r="B9" i="33"/>
  <c r="C13" i="33" s="1"/>
  <c r="E9" i="33"/>
  <c r="F13" i="33" s="1"/>
  <c r="K9" i="33"/>
  <c r="N9" i="33"/>
  <c r="L13" i="33" l="1"/>
  <c r="O13" i="33"/>
  <c r="C37" i="33"/>
  <c r="S6" i="7"/>
  <c r="Q6" i="7"/>
  <c r="R6" i="7"/>
  <c r="Q4" i="7"/>
  <c r="R4" i="7"/>
  <c r="S4" i="7"/>
  <c r="Q5" i="7"/>
  <c r="R5" i="7"/>
  <c r="S5" i="7"/>
  <c r="H4" i="10" s="1"/>
  <c r="F4" i="10" l="1"/>
  <c r="G4" i="10"/>
  <c r="H2" i="10"/>
  <c r="G2" i="10"/>
  <c r="F2" i="10"/>
  <c r="G3" i="10"/>
  <c r="F3" i="10"/>
  <c r="H3" i="10"/>
  <c r="J37" i="8"/>
  <c r="CC5" i="7"/>
  <c r="CC9" i="7"/>
  <c r="CC8" i="7"/>
  <c r="CC17" i="7"/>
  <c r="CC13" i="7"/>
  <c r="CC26" i="7"/>
  <c r="CC22" i="7"/>
  <c r="CC20" i="7"/>
  <c r="CC30" i="7"/>
  <c r="CC34" i="7"/>
  <c r="CC32" i="7"/>
  <c r="CC37" i="7"/>
  <c r="CC36" i="7"/>
  <c r="CC44" i="7"/>
  <c r="CC41" i="7"/>
  <c r="CC50" i="7"/>
  <c r="CC47" i="7"/>
  <c r="BQ9" i="8"/>
  <c r="BQ11" i="8"/>
  <c r="BQ18" i="8"/>
  <c r="BQ15" i="8"/>
  <c r="BQ19" i="8"/>
  <c r="BQ16" i="8"/>
  <c r="BQ27" i="8"/>
  <c r="BQ23" i="8"/>
  <c r="BQ24" i="8"/>
  <c r="BQ34" i="8"/>
  <c r="BQ31" i="8"/>
  <c r="BQ29" i="8"/>
  <c r="BQ38" i="8"/>
  <c r="BQ37" i="8"/>
  <c r="CC4" i="7"/>
  <c r="CC27" i="7"/>
  <c r="CC33" i="7"/>
  <c r="CC46" i="7"/>
  <c r="BQ8" i="8"/>
  <c r="CC6" i="7"/>
  <c r="CC21" i="7"/>
  <c r="CC40" i="7"/>
  <c r="CC39" i="7"/>
  <c r="BQ7" i="8"/>
  <c r="CC18" i="7"/>
  <c r="BQ6" i="8"/>
  <c r="BQ33" i="8"/>
  <c r="CC29" i="7"/>
  <c r="BQ5" i="8"/>
  <c r="CC7" i="7"/>
  <c r="CC11" i="7"/>
  <c r="BQ39" i="8"/>
  <c r="BQ35" i="8"/>
  <c r="CC10" i="7"/>
  <c r="CC15" i="7"/>
  <c r="CC14" i="7"/>
  <c r="CC12" i="7"/>
  <c r="CC19" i="7"/>
  <c r="CC16" i="7"/>
  <c r="CC53" i="7"/>
  <c r="CC25" i="7"/>
  <c r="CC24" i="7"/>
  <c r="CC23" i="7"/>
  <c r="CC28" i="7"/>
  <c r="CC35" i="7"/>
  <c r="CC38" i="7"/>
  <c r="CC31" i="7"/>
  <c r="CC45" i="7"/>
  <c r="CC48" i="7"/>
  <c r="CC43" i="7"/>
  <c r="CC51" i="7"/>
  <c r="CC49" i="7"/>
  <c r="BQ4" i="8"/>
  <c r="BQ10" i="8"/>
  <c r="BQ12" i="8"/>
  <c r="BQ14" i="8"/>
  <c r="BQ17" i="8"/>
  <c r="BQ13" i="8"/>
  <c r="BQ22" i="8"/>
  <c r="BQ21" i="8"/>
  <c r="BQ20" i="8"/>
  <c r="BQ30" i="8"/>
  <c r="BQ26" i="8"/>
  <c r="BQ25" i="8"/>
  <c r="BQ32" i="8"/>
  <c r="BQ28" i="8"/>
  <c r="BQ36" i="8"/>
  <c r="BQ40" i="8"/>
  <c r="K34" i="9"/>
  <c r="N28" i="8"/>
  <c r="P28" i="8"/>
  <c r="O28" i="8"/>
  <c r="J31" i="9" s="1"/>
  <c r="I36" i="9"/>
  <c r="K35" i="9"/>
  <c r="O18" i="7"/>
  <c r="J16" i="10" s="1"/>
  <c r="O22" i="7"/>
  <c r="J20" i="10" s="1"/>
  <c r="O20" i="7"/>
  <c r="O34" i="7"/>
  <c r="O27" i="7"/>
  <c r="O32" i="7"/>
  <c r="O33" i="7"/>
  <c r="O37" i="7"/>
  <c r="O36" i="7"/>
  <c r="P9" i="7"/>
  <c r="N15" i="7"/>
  <c r="I9" i="10" s="1"/>
  <c r="N14" i="7"/>
  <c r="P12" i="7"/>
  <c r="P5" i="7"/>
  <c r="O13" i="7"/>
  <c r="O26" i="7"/>
  <c r="O29" i="7"/>
  <c r="P44" i="7"/>
  <c r="K41" i="10" s="1"/>
  <c r="O41" i="7"/>
  <c r="J44" i="10" s="1"/>
  <c r="O30" i="7"/>
  <c r="N21" i="7"/>
  <c r="O40" i="7"/>
  <c r="J40" i="10" s="1"/>
  <c r="N39" i="7"/>
  <c r="P19" i="7"/>
  <c r="K17" i="10" s="1"/>
  <c r="N16" i="7"/>
  <c r="P53" i="7"/>
  <c r="N25" i="7"/>
  <c r="I23" i="10" s="1"/>
  <c r="P24" i="7"/>
  <c r="N23" i="7"/>
  <c r="P28" i="7"/>
  <c r="N35" i="7"/>
  <c r="P38" i="7"/>
  <c r="N31" i="7"/>
  <c r="N45" i="7"/>
  <c r="N7" i="7"/>
  <c r="N6" i="7"/>
  <c r="O8" i="7"/>
  <c r="O17" i="7"/>
  <c r="N8" i="7"/>
  <c r="N17" i="7"/>
  <c r="N13" i="7"/>
  <c r="N18" i="7"/>
  <c r="I16" i="10" s="1"/>
  <c r="N26" i="7"/>
  <c r="N22" i="7"/>
  <c r="I20" i="10" s="1"/>
  <c r="N20" i="7"/>
  <c r="N30" i="7"/>
  <c r="N29" i="7"/>
  <c r="N34" i="7"/>
  <c r="N27" i="7"/>
  <c r="N32" i="7"/>
  <c r="N33" i="7"/>
  <c r="N37" i="7"/>
  <c r="N36" i="7"/>
  <c r="N40" i="7"/>
  <c r="I40" i="10" s="1"/>
  <c r="N41" i="7"/>
  <c r="I44" i="10" s="1"/>
  <c r="P17" i="7"/>
  <c r="P18" i="7"/>
  <c r="K16" i="10" s="1"/>
  <c r="P22" i="7"/>
  <c r="K20" i="10" s="1"/>
  <c r="P30" i="7"/>
  <c r="P34" i="7"/>
  <c r="P32" i="7"/>
  <c r="P37" i="7"/>
  <c r="K36" i="10" s="1"/>
  <c r="P40" i="7"/>
  <c r="K40" i="10" s="1"/>
  <c r="P41" i="7"/>
  <c r="K44" i="10" s="1"/>
  <c r="N4" i="7"/>
  <c r="P10" i="7"/>
  <c r="O14" i="7"/>
  <c r="O12" i="7"/>
  <c r="O21" i="7"/>
  <c r="O19" i="7"/>
  <c r="J17" i="10" s="1"/>
  <c r="O16" i="7"/>
  <c r="O53" i="7"/>
  <c r="O25" i="7"/>
  <c r="J23" i="10" s="1"/>
  <c r="O24" i="7"/>
  <c r="J25" i="10" s="1"/>
  <c r="O23" i="7"/>
  <c r="J27" i="10" s="1"/>
  <c r="O28" i="7"/>
  <c r="O35" i="7"/>
  <c r="O38" i="7"/>
  <c r="O31" i="7"/>
  <c r="J35" i="10" s="1"/>
  <c r="O45" i="7"/>
  <c r="O44" i="7"/>
  <c r="J41" i="10" s="1"/>
  <c r="O39" i="7"/>
  <c r="P14" i="7"/>
  <c r="P21" i="7"/>
  <c r="P16" i="7"/>
  <c r="P25" i="7"/>
  <c r="K23" i="10" s="1"/>
  <c r="P23" i="7"/>
  <c r="P35" i="7"/>
  <c r="P31" i="7"/>
  <c r="P45" i="7"/>
  <c r="P39" i="7"/>
  <c r="N12" i="7"/>
  <c r="N19" i="7"/>
  <c r="I17" i="10" s="1"/>
  <c r="N53" i="7"/>
  <c r="N24" i="7"/>
  <c r="N28" i="7"/>
  <c r="N38" i="7"/>
  <c r="N44" i="7"/>
  <c r="I41" i="10" s="1"/>
  <c r="P8" i="7"/>
  <c r="P13" i="7"/>
  <c r="P26" i="7"/>
  <c r="P20" i="7"/>
  <c r="P29" i="7"/>
  <c r="P27" i="7"/>
  <c r="P33" i="7"/>
  <c r="P36" i="7"/>
  <c r="O5" i="7"/>
  <c r="O10" i="7"/>
  <c r="O9" i="7"/>
  <c r="P4" i="7"/>
  <c r="P15" i="7"/>
  <c r="K9" i="10" s="1"/>
  <c r="N5" i="7"/>
  <c r="N10" i="7"/>
  <c r="N9" i="7"/>
  <c r="O6" i="7"/>
  <c r="O4" i="7"/>
  <c r="O7" i="7"/>
  <c r="O15" i="7"/>
  <c r="J9" i="10" s="1"/>
  <c r="P6" i="7"/>
  <c r="P7" i="7"/>
  <c r="K3" i="10" l="1"/>
  <c r="J3" i="10"/>
  <c r="K22" i="10"/>
  <c r="J31" i="10"/>
  <c r="K7" i="10"/>
  <c r="I32" i="10"/>
  <c r="I31" i="10"/>
  <c r="I14" i="10"/>
  <c r="I12" i="10"/>
  <c r="J39" i="10"/>
  <c r="I38" i="10"/>
  <c r="J37" i="9"/>
  <c r="I34" i="9"/>
  <c r="I8" i="10"/>
  <c r="K37" i="9"/>
  <c r="K26" i="10"/>
  <c r="I25" i="10"/>
  <c r="J11" i="10"/>
  <c r="I28" i="10"/>
  <c r="J36" i="9"/>
  <c r="I31" i="9"/>
  <c r="I38" i="9"/>
  <c r="K33" i="9"/>
  <c r="K39" i="10"/>
  <c r="I18" i="10"/>
  <c r="J35" i="9"/>
  <c r="K36" i="9"/>
  <c r="I37" i="9"/>
  <c r="I33" i="9"/>
  <c r="J38" i="9"/>
  <c r="J33" i="9"/>
  <c r="I35" i="9"/>
  <c r="J34" i="9"/>
  <c r="K31" i="9"/>
  <c r="K38" i="9"/>
  <c r="I6" i="10"/>
  <c r="J28" i="10"/>
  <c r="I13" i="10"/>
  <c r="J15" i="10"/>
  <c r="J29" i="10"/>
  <c r="J19" i="10"/>
  <c r="J18" i="10"/>
  <c r="I35" i="10"/>
  <c r="J6" i="10"/>
  <c r="I27" i="10"/>
  <c r="K34" i="10"/>
  <c r="K24" i="10"/>
  <c r="J33" i="10"/>
  <c r="I3" i="10"/>
  <c r="I39" i="10"/>
  <c r="K13" i="10"/>
  <c r="J8" i="10"/>
  <c r="I11" i="10"/>
  <c r="I36" i="10"/>
  <c r="K35" i="10"/>
  <c r="J38" i="10"/>
  <c r="K27" i="10"/>
  <c r="K19" i="10"/>
  <c r="K30" i="10"/>
  <c r="K15" i="10"/>
  <c r="K11" i="10"/>
  <c r="J7" i="10"/>
  <c r="I10" i="10"/>
  <c r="J24" i="10"/>
  <c r="K10" i="10"/>
  <c r="I15" i="10"/>
  <c r="J5" i="10"/>
  <c r="J2" i="10"/>
  <c r="I33" i="10"/>
  <c r="J12" i="10"/>
  <c r="K12" i="10"/>
  <c r="J10" i="10"/>
  <c r="J26" i="10"/>
  <c r="I29" i="10"/>
  <c r="I42" i="10"/>
  <c r="I46" i="10"/>
  <c r="I21" i="10"/>
  <c r="I51" i="10"/>
  <c r="I7" i="10"/>
  <c r="I4" i="10"/>
  <c r="J42" i="10"/>
  <c r="J46" i="10"/>
  <c r="J14" i="10"/>
  <c r="J21" i="10"/>
  <c r="J51" i="10"/>
  <c r="K4" i="10"/>
  <c r="I34" i="10"/>
  <c r="K33" i="10"/>
  <c r="J4" i="10"/>
  <c r="K31" i="10"/>
  <c r="J13" i="10"/>
  <c r="I30" i="10"/>
  <c r="K29" i="10"/>
  <c r="K8" i="10"/>
  <c r="K38" i="10"/>
  <c r="K6" i="10"/>
  <c r="I26" i="10"/>
  <c r="K25" i="10"/>
  <c r="J36" i="10"/>
  <c r="I5" i="10"/>
  <c r="I2" i="10"/>
  <c r="I24" i="10"/>
  <c r="J34" i="10"/>
  <c r="I22" i="10"/>
  <c r="K21" i="10"/>
  <c r="K51" i="10"/>
  <c r="J32" i="10"/>
  <c r="I19" i="10"/>
  <c r="J30" i="10"/>
  <c r="K5" i="10"/>
  <c r="K2" i="10"/>
  <c r="J43" i="10"/>
  <c r="J37" i="10"/>
  <c r="K43" i="10"/>
  <c r="K37" i="10"/>
  <c r="K42" i="10"/>
  <c r="K46" i="10"/>
  <c r="K18" i="10"/>
  <c r="K32" i="10"/>
  <c r="I43" i="10"/>
  <c r="I37" i="10"/>
  <c r="J22" i="10"/>
  <c r="K14" i="10"/>
  <c r="K28" i="10"/>
  <c r="F52" i="7"/>
  <c r="BW47" i="7"/>
  <c r="F7" i="8"/>
  <c r="H18" i="8"/>
  <c r="I22" i="8"/>
  <c r="H19" i="8"/>
  <c r="J10" i="8"/>
  <c r="G36" i="8"/>
  <c r="J34" i="8"/>
  <c r="E33" i="8"/>
  <c r="I40" i="8"/>
  <c r="J38" i="8"/>
  <c r="F24" i="8" l="1"/>
  <c r="J4" i="8"/>
  <c r="H25" i="8"/>
  <c r="F31" i="8"/>
  <c r="I31" i="8"/>
  <c r="I20" i="8"/>
  <c r="F16" i="8"/>
  <c r="H8" i="8"/>
  <c r="G17" i="8"/>
  <c r="I30" i="8"/>
  <c r="I11" i="8"/>
  <c r="H14" i="8"/>
  <c r="J12" i="8"/>
  <c r="E13" i="8"/>
  <c r="F15" i="8"/>
  <c r="J13" i="8"/>
  <c r="H10" i="8"/>
  <c r="J31" i="8"/>
  <c r="I26" i="8"/>
  <c r="J16" i="8"/>
  <c r="G14" i="8"/>
  <c r="G6" i="8"/>
  <c r="E8" i="8"/>
  <c r="J40" i="8"/>
  <c r="F23" i="8"/>
  <c r="E35" i="8"/>
  <c r="I23" i="8"/>
  <c r="J39" i="8"/>
  <c r="I38" i="8"/>
  <c r="G35" i="8"/>
  <c r="J8" i="8"/>
  <c r="H15" i="8"/>
  <c r="I6" i="8"/>
  <c r="I18" i="8"/>
  <c r="I5" i="8"/>
  <c r="J33" i="8"/>
  <c r="J35" i="8"/>
  <c r="J36" i="8"/>
  <c r="I36" i="8"/>
  <c r="J32" i="8"/>
  <c r="E40" i="8"/>
  <c r="G31" i="8"/>
  <c r="E41" i="8"/>
  <c r="F32" i="8"/>
  <c r="H20" i="8"/>
  <c r="E37" i="8"/>
  <c r="J27" i="8"/>
  <c r="E28" i="8"/>
  <c r="J30" i="8"/>
  <c r="H26" i="8"/>
  <c r="G29" i="8"/>
  <c r="G25" i="8"/>
  <c r="H40" i="8"/>
  <c r="G22" i="8"/>
  <c r="G28" i="8"/>
  <c r="I28" i="8"/>
  <c r="H13" i="8"/>
  <c r="J17" i="8"/>
  <c r="F40" i="8"/>
  <c r="E34" i="8"/>
  <c r="H7" i="8"/>
  <c r="I24" i="8"/>
  <c r="F26" i="8"/>
  <c r="H31" i="8"/>
  <c r="J26" i="8"/>
  <c r="E11" i="8"/>
  <c r="F28" i="8"/>
  <c r="F12" i="8"/>
  <c r="I39" i="8"/>
  <c r="I33" i="8"/>
  <c r="E38" i="8"/>
  <c r="J28" i="8"/>
  <c r="E21" i="8"/>
  <c r="I15" i="8"/>
  <c r="G30" i="8"/>
  <c r="I35" i="8"/>
  <c r="I41" i="8"/>
  <c r="J25" i="8"/>
  <c r="J21" i="8"/>
  <c r="F41" i="8"/>
  <c r="H11" i="8"/>
  <c r="I12" i="8"/>
  <c r="F17" i="8"/>
  <c r="I17" i="8"/>
  <c r="J18" i="8"/>
  <c r="I37" i="8"/>
  <c r="H39" i="8"/>
  <c r="H41" i="8"/>
  <c r="G33" i="8"/>
  <c r="H36" i="8"/>
  <c r="G40" i="8"/>
  <c r="F35" i="8"/>
  <c r="H37" i="8"/>
  <c r="G39" i="8"/>
  <c r="G41" i="8"/>
  <c r="F39" i="8"/>
  <c r="F33" i="8"/>
  <c r="F36" i="8"/>
  <c r="J41" i="8"/>
  <c r="H33" i="8"/>
  <c r="H35" i="8"/>
  <c r="F38" i="8"/>
  <c r="H32" i="8"/>
  <c r="G38" i="8"/>
  <c r="E39" i="8"/>
  <c r="F37" i="8"/>
  <c r="H29" i="8"/>
  <c r="I32" i="8"/>
  <c r="J29" i="8"/>
  <c r="H38" i="8"/>
  <c r="G32" i="8"/>
  <c r="I25" i="8"/>
  <c r="F29" i="8"/>
  <c r="H28" i="8"/>
  <c r="G37" i="8"/>
  <c r="E36" i="8"/>
  <c r="I29" i="8"/>
  <c r="G34" i="8"/>
  <c r="I34" i="8"/>
  <c r="E31" i="8"/>
  <c r="J23" i="8"/>
  <c r="F25" i="8"/>
  <c r="H24" i="8"/>
  <c r="H30" i="8"/>
  <c r="J20" i="8"/>
  <c r="F34" i="8"/>
  <c r="G26" i="8"/>
  <c r="E25" i="8"/>
  <c r="E32" i="8"/>
  <c r="E29" i="8"/>
  <c r="J24" i="8"/>
  <c r="H34" i="8"/>
  <c r="E26" i="8"/>
  <c r="I27" i="8"/>
  <c r="G24" i="8"/>
  <c r="H23" i="8"/>
  <c r="J22" i="8"/>
  <c r="I16" i="8"/>
  <c r="I21" i="8"/>
  <c r="H27" i="8"/>
  <c r="E24" i="8"/>
  <c r="G23" i="8"/>
  <c r="F30" i="8"/>
  <c r="E30" i="8"/>
  <c r="G20" i="8"/>
  <c r="H21" i="8"/>
  <c r="E23" i="8"/>
  <c r="H16" i="8"/>
  <c r="G27" i="8"/>
  <c r="F20" i="8"/>
  <c r="J19" i="8"/>
  <c r="F21" i="8"/>
  <c r="G16" i="8"/>
  <c r="J15" i="8"/>
  <c r="E20" i="8"/>
  <c r="F27" i="8"/>
  <c r="I19" i="8"/>
  <c r="G21" i="8"/>
  <c r="H22" i="8"/>
  <c r="E27" i="8"/>
  <c r="I13" i="8"/>
  <c r="J7" i="8"/>
  <c r="F18" i="8"/>
  <c r="H12" i="8"/>
  <c r="E16" i="8"/>
  <c r="G19" i="8"/>
  <c r="F22" i="8"/>
  <c r="H17" i="8"/>
  <c r="E22" i="8"/>
  <c r="J14" i="8"/>
  <c r="G13" i="8"/>
  <c r="F19" i="8"/>
  <c r="G15" i="8"/>
  <c r="E19" i="8"/>
  <c r="I14" i="8"/>
  <c r="F13" i="8"/>
  <c r="J11" i="8"/>
  <c r="E17" i="8"/>
  <c r="I8" i="8"/>
  <c r="E18" i="8"/>
  <c r="G18" i="8"/>
  <c r="E15" i="8"/>
  <c r="G11" i="8"/>
  <c r="F14" i="8"/>
  <c r="J6" i="8"/>
  <c r="I7" i="8"/>
  <c r="J9" i="8"/>
  <c r="F11" i="8"/>
  <c r="G12" i="8"/>
  <c r="E14" i="8"/>
  <c r="G8" i="8"/>
  <c r="I9" i="8"/>
  <c r="H6" i="8"/>
  <c r="I4" i="8"/>
  <c r="E7" i="8"/>
  <c r="H5" i="8"/>
  <c r="F6" i="8"/>
  <c r="G9" i="8"/>
  <c r="E12" i="8"/>
  <c r="F8" i="8"/>
  <c r="H9" i="8"/>
  <c r="G7" i="8"/>
  <c r="I10" i="8"/>
  <c r="J5" i="8"/>
  <c r="F10" i="8"/>
  <c r="G5" i="8"/>
  <c r="E9" i="8"/>
  <c r="F9" i="8"/>
  <c r="E6" i="8"/>
  <c r="G10" i="8"/>
  <c r="H4" i="8"/>
  <c r="G52" i="7"/>
  <c r="BL7" i="8" l="1"/>
  <c r="BM33" i="8"/>
  <c r="BM7" i="8"/>
  <c r="BK7" i="8"/>
  <c r="BM21" i="8"/>
  <c r="BL21" i="8"/>
  <c r="BK21" i="8"/>
  <c r="BM26" i="8"/>
  <c r="BL26" i="8"/>
  <c r="BK26" i="8"/>
  <c r="BM38" i="8"/>
  <c r="BL38" i="8"/>
  <c r="BK38" i="8"/>
  <c r="BM18" i="8"/>
  <c r="BL18" i="8"/>
  <c r="BK18" i="8"/>
  <c r="BL13" i="8"/>
  <c r="BM13" i="8"/>
  <c r="BK13" i="8"/>
  <c r="BM29" i="8"/>
  <c r="BL29" i="8"/>
  <c r="BK29" i="8"/>
  <c r="BM14" i="8"/>
  <c r="BL14" i="8"/>
  <c r="BK14" i="8"/>
  <c r="BL6" i="8"/>
  <c r="BK6" i="8"/>
  <c r="BM6" i="8"/>
  <c r="BM22" i="8"/>
  <c r="BL22" i="8"/>
  <c r="BK22" i="8"/>
  <c r="BM32" i="8"/>
  <c r="BL32" i="8"/>
  <c r="BK32" i="8"/>
  <c r="BM25" i="8"/>
  <c r="BL25" i="8"/>
  <c r="BK25" i="8"/>
  <c r="BM28" i="8"/>
  <c r="BL28" i="8"/>
  <c r="BK28" i="8"/>
  <c r="BM20" i="8"/>
  <c r="BK20" i="8"/>
  <c r="BL20" i="8"/>
  <c r="BM35" i="8"/>
  <c r="BL35" i="8"/>
  <c r="BK35" i="8"/>
  <c r="BM5" i="8"/>
  <c r="BL5" i="8"/>
  <c r="BK5" i="8"/>
  <c r="BM16" i="8"/>
  <c r="BL16" i="8"/>
  <c r="BK16" i="8"/>
  <c r="BM39" i="8"/>
  <c r="BL39" i="8"/>
  <c r="BK39" i="8"/>
  <c r="BM30" i="8"/>
  <c r="BL30" i="8"/>
  <c r="BK30" i="8"/>
  <c r="BM27" i="8"/>
  <c r="BL27" i="8"/>
  <c r="BK27" i="8"/>
  <c r="BM19" i="8"/>
  <c r="BL19" i="8"/>
  <c r="BK19" i="8"/>
  <c r="BK23" i="8"/>
  <c r="BL23" i="8"/>
  <c r="BM23" i="8"/>
  <c r="BM11" i="8"/>
  <c r="BL11" i="8"/>
  <c r="BK11" i="8"/>
  <c r="BM41" i="8"/>
  <c r="BL41" i="8"/>
  <c r="BK41" i="8"/>
  <c r="BM8" i="8"/>
  <c r="BL8" i="8"/>
  <c r="BK8" i="8"/>
  <c r="BM36" i="8"/>
  <c r="BL36" i="8"/>
  <c r="BK36" i="8"/>
  <c r="BK37" i="8"/>
  <c r="BM37" i="8"/>
  <c r="BL37" i="8"/>
  <c r="BM15" i="8"/>
  <c r="BL15" i="8"/>
  <c r="BK15" i="8"/>
  <c r="BM9" i="8"/>
  <c r="BL9" i="8"/>
  <c r="BK9" i="8"/>
  <c r="BM10" i="8"/>
  <c r="BL10" i="8"/>
  <c r="BK10" i="8"/>
  <c r="BM24" i="8"/>
  <c r="BL24" i="8"/>
  <c r="BK24" i="8"/>
  <c r="BM40" i="8"/>
  <c r="BL40" i="8"/>
  <c r="BK40" i="8"/>
  <c r="BL31" i="8"/>
  <c r="BK31" i="8"/>
  <c r="BM31" i="8"/>
  <c r="BL34" i="8"/>
  <c r="BK34" i="8"/>
  <c r="BM34" i="8"/>
  <c r="BK33" i="8"/>
  <c r="BL33" i="8"/>
  <c r="BK12" i="8"/>
  <c r="BM12" i="8"/>
  <c r="BL12" i="8"/>
  <c r="BK17" i="8"/>
  <c r="BM17" i="8"/>
  <c r="BL17" i="8"/>
  <c r="H51" i="7"/>
  <c r="H52" i="7"/>
  <c r="I52" i="7"/>
  <c r="E42" i="7"/>
  <c r="E52" i="7"/>
  <c r="I42" i="7"/>
  <c r="F42" i="7"/>
  <c r="J42" i="7"/>
  <c r="G42" i="7"/>
  <c r="E4" i="7"/>
  <c r="I11" i="7"/>
  <c r="J11" i="7"/>
  <c r="H11" i="7"/>
  <c r="BX11" i="7" l="1"/>
  <c r="BY52" i="7"/>
  <c r="BX52" i="7"/>
  <c r="BN41" i="8"/>
  <c r="BZ52" i="7"/>
  <c r="I39" i="7"/>
  <c r="H42" i="7"/>
  <c r="BX42" i="7" s="1"/>
  <c r="G47" i="7"/>
  <c r="I48" i="7"/>
  <c r="F47" i="7"/>
  <c r="G50" i="7"/>
  <c r="H39" i="7"/>
  <c r="G51" i="7"/>
  <c r="G46" i="7"/>
  <c r="H43" i="7"/>
  <c r="H15" i="7"/>
  <c r="J7" i="7"/>
  <c r="G14" i="7"/>
  <c r="E12" i="7"/>
  <c r="I9" i="7"/>
  <c r="F17" i="7"/>
  <c r="E8" i="7"/>
  <c r="I4" i="7"/>
  <c r="H10" i="7"/>
  <c r="G9" i="7"/>
  <c r="F15" i="7"/>
  <c r="E13" i="7"/>
  <c r="F12" i="7"/>
  <c r="J9" i="7"/>
  <c r="G17" i="7"/>
  <c r="H8" i="7"/>
  <c r="I15" i="7"/>
  <c r="E20" i="7"/>
  <c r="I19" i="7"/>
  <c r="F53" i="7"/>
  <c r="J18" i="7"/>
  <c r="H26" i="7"/>
  <c r="G22" i="7"/>
  <c r="H18" i="7"/>
  <c r="F16" i="7"/>
  <c r="E22" i="7"/>
  <c r="I21" i="7"/>
  <c r="J13" i="7"/>
  <c r="G26" i="7"/>
  <c r="F38" i="7"/>
  <c r="J34" i="7"/>
  <c r="E33" i="7"/>
  <c r="I28" i="7"/>
  <c r="G32" i="7"/>
  <c r="H27" i="7"/>
  <c r="G23" i="7"/>
  <c r="I30" i="7"/>
  <c r="H24" i="7"/>
  <c r="F34" i="7"/>
  <c r="E28" i="7"/>
  <c r="J25" i="7"/>
  <c r="F23" i="7"/>
  <c r="H30" i="7"/>
  <c r="I25" i="7"/>
  <c r="E34" i="7"/>
  <c r="J20" i="7"/>
  <c r="G29" i="7"/>
  <c r="F32" i="7"/>
  <c r="H28" i="7"/>
  <c r="J23" i="7"/>
  <c r="E38" i="7"/>
  <c r="G35" i="7"/>
  <c r="I34" i="7"/>
  <c r="J29" i="7"/>
  <c r="F35" i="7"/>
  <c r="I23" i="7"/>
  <c r="E32" i="7"/>
  <c r="H34" i="7"/>
  <c r="G27" i="7"/>
  <c r="J48" i="7"/>
  <c r="I50" i="7"/>
  <c r="J44" i="7"/>
  <c r="H49" i="7"/>
  <c r="H47" i="7"/>
  <c r="J46" i="7"/>
  <c r="J43" i="7"/>
  <c r="J41" i="7"/>
  <c r="J50" i="7"/>
  <c r="J49" i="7"/>
  <c r="J10" i="7"/>
  <c r="I7" i="7"/>
  <c r="E17" i="7"/>
  <c r="F14" i="7"/>
  <c r="G8" i="7"/>
  <c r="H9" i="7"/>
  <c r="G12" i="7"/>
  <c r="E21" i="7"/>
  <c r="H14" i="7"/>
  <c r="I8" i="7"/>
  <c r="J15" i="7"/>
  <c r="F13" i="7"/>
  <c r="E25" i="7"/>
  <c r="H16" i="7"/>
  <c r="I26" i="7"/>
  <c r="J19" i="7"/>
  <c r="F20" i="7"/>
  <c r="G53" i="7"/>
  <c r="F29" i="7"/>
  <c r="H25" i="7"/>
  <c r="I20" i="7"/>
  <c r="E23" i="7"/>
  <c r="G24" i="7"/>
  <c r="J53" i="7"/>
  <c r="E46" i="7"/>
  <c r="E39" i="7"/>
  <c r="E51" i="7"/>
  <c r="I45" i="7"/>
  <c r="J36" i="7"/>
  <c r="H40" i="7"/>
  <c r="E36" i="7"/>
  <c r="G37" i="7"/>
  <c r="H33" i="7"/>
  <c r="J32" i="7"/>
  <c r="I38" i="7"/>
  <c r="G31" i="7"/>
  <c r="I32" i="7"/>
  <c r="F37" i="7"/>
  <c r="J35" i="7"/>
  <c r="H38" i="7"/>
  <c r="I47" i="7"/>
  <c r="J39" i="7"/>
  <c r="I51" i="7"/>
  <c r="I41" i="7"/>
  <c r="I46" i="7"/>
  <c r="F39" i="7"/>
  <c r="I40" i="7"/>
  <c r="F46" i="7"/>
  <c r="J45" i="7"/>
  <c r="F41" i="7"/>
  <c r="E43" i="7"/>
  <c r="F4" i="7"/>
  <c r="E10" i="7"/>
  <c r="F7" i="7"/>
  <c r="E9" i="7"/>
  <c r="G10" i="7"/>
  <c r="J12" i="7"/>
  <c r="F26" i="7"/>
  <c r="I13" i="7"/>
  <c r="G19" i="7"/>
  <c r="H21" i="7"/>
  <c r="E16" i="7"/>
  <c r="I14" i="7"/>
  <c r="G13" i="7"/>
  <c r="F21" i="7"/>
  <c r="H17" i="7"/>
  <c r="J8" i="7"/>
  <c r="E18" i="7"/>
  <c r="J22" i="7"/>
  <c r="I53" i="7"/>
  <c r="E29" i="7"/>
  <c r="F24" i="7"/>
  <c r="H20" i="7"/>
  <c r="G30" i="7"/>
  <c r="J26" i="7"/>
  <c r="I16" i="7"/>
  <c r="H22" i="7"/>
  <c r="G20" i="7"/>
  <c r="F25" i="7"/>
  <c r="E30" i="7"/>
  <c r="H31" i="7"/>
  <c r="J38" i="7"/>
  <c r="I33" i="7"/>
  <c r="E45" i="7"/>
  <c r="F36" i="7"/>
  <c r="F48" i="7"/>
  <c r="H45" i="7"/>
  <c r="G44" i="7"/>
  <c r="E41" i="7"/>
  <c r="I36" i="7"/>
  <c r="H36" i="7"/>
  <c r="J37" i="7"/>
  <c r="F44" i="7"/>
  <c r="G40" i="7"/>
  <c r="E48" i="7"/>
  <c r="J24" i="7"/>
  <c r="I29" i="7"/>
  <c r="E35" i="7"/>
  <c r="F27" i="7"/>
  <c r="G28" i="7"/>
  <c r="H23" i="7"/>
  <c r="I43" i="7"/>
  <c r="G49" i="7"/>
  <c r="H50" i="7"/>
  <c r="H41" i="7"/>
  <c r="I44" i="7"/>
  <c r="F40" i="7"/>
  <c r="I37" i="7"/>
  <c r="J31" i="7"/>
  <c r="G45" i="7"/>
  <c r="E44" i="7"/>
  <c r="G7" i="7"/>
  <c r="F9" i="7"/>
  <c r="E15" i="7"/>
  <c r="H4" i="7"/>
  <c r="F10" i="7"/>
  <c r="E7" i="7"/>
  <c r="G4" i="7"/>
  <c r="J17" i="7"/>
  <c r="H13" i="7"/>
  <c r="I12" i="7"/>
  <c r="E26" i="7"/>
  <c r="F19" i="7"/>
  <c r="G18" i="7"/>
  <c r="F30" i="7"/>
  <c r="H53" i="7"/>
  <c r="J16" i="7"/>
  <c r="E24" i="7"/>
  <c r="G25" i="7"/>
  <c r="I22" i="7"/>
  <c r="E14" i="7"/>
  <c r="H7" i="7"/>
  <c r="I10" i="7"/>
  <c r="F8" i="7"/>
  <c r="G15" i="7"/>
  <c r="J4" i="7"/>
  <c r="E31" i="7"/>
  <c r="F33" i="7"/>
  <c r="H35" i="7"/>
  <c r="I27" i="7"/>
  <c r="G38" i="7"/>
  <c r="J28" i="7"/>
  <c r="H32" i="7"/>
  <c r="I35" i="7"/>
  <c r="J27" i="7"/>
  <c r="F31" i="7"/>
  <c r="G33" i="7"/>
  <c r="E37" i="7"/>
  <c r="J21" i="7"/>
  <c r="G16" i="7"/>
  <c r="F22" i="7"/>
  <c r="H19" i="7"/>
  <c r="E53" i="7"/>
  <c r="I18" i="7"/>
  <c r="F49" i="7"/>
  <c r="G39" i="7"/>
  <c r="F51" i="7"/>
  <c r="J40" i="7"/>
  <c r="E47" i="7"/>
  <c r="H48" i="7"/>
  <c r="E27" i="7"/>
  <c r="I24" i="7"/>
  <c r="H29" i="7"/>
  <c r="J30" i="7"/>
  <c r="G34" i="7"/>
  <c r="F28" i="7"/>
  <c r="G48" i="7"/>
  <c r="H44" i="7"/>
  <c r="E50" i="7"/>
  <c r="G41" i="7"/>
  <c r="F43" i="7"/>
  <c r="E49" i="7"/>
  <c r="J33" i="7"/>
  <c r="I31" i="7"/>
  <c r="H37" i="7"/>
  <c r="G36" i="7"/>
  <c r="E40" i="7"/>
  <c r="F45" i="7"/>
  <c r="J14" i="7"/>
  <c r="E19" i="7"/>
  <c r="F18" i="7"/>
  <c r="H12" i="7"/>
  <c r="G21" i="7"/>
  <c r="I17" i="7"/>
  <c r="G6" i="7"/>
  <c r="J6" i="7"/>
  <c r="I5" i="7"/>
  <c r="G5" i="7"/>
  <c r="J5" i="7"/>
  <c r="BY4" i="7" l="1"/>
  <c r="BY47" i="7"/>
  <c r="BY44" i="7"/>
  <c r="BY9" i="7"/>
  <c r="BY28" i="7"/>
  <c r="BY14" i="7"/>
  <c r="BY36" i="7"/>
  <c r="BY33" i="7"/>
  <c r="BY26" i="7"/>
  <c r="BY15" i="7"/>
  <c r="BY35" i="7"/>
  <c r="BY16" i="7"/>
  <c r="BY39" i="7"/>
  <c r="BY23" i="7"/>
  <c r="BY38" i="7"/>
  <c r="BY8" i="7"/>
  <c r="BY48" i="7"/>
  <c r="BY43" i="7"/>
  <c r="BY51" i="7"/>
  <c r="BY13" i="7"/>
  <c r="BY12" i="7"/>
  <c r="BY40" i="7"/>
  <c r="BY50" i="7"/>
  <c r="BY27" i="7"/>
  <c r="BY53" i="7"/>
  <c r="BY31" i="7"/>
  <c r="BY7" i="7"/>
  <c r="BY41" i="7"/>
  <c r="BY10" i="7"/>
  <c r="BY46" i="7"/>
  <c r="BY25" i="7"/>
  <c r="BY22" i="7"/>
  <c r="BY20" i="7"/>
  <c r="BY42" i="7"/>
  <c r="BY29" i="7"/>
  <c r="BY17" i="7"/>
  <c r="BY19" i="7"/>
  <c r="BY49" i="7"/>
  <c r="BY37" i="7"/>
  <c r="BY24" i="7"/>
  <c r="BY45" i="7"/>
  <c r="BY30" i="7"/>
  <c r="BY18" i="7"/>
  <c r="BY21" i="7"/>
  <c r="BY32" i="7"/>
  <c r="BY34" i="7"/>
  <c r="BX49" i="7"/>
  <c r="BX47" i="7"/>
  <c r="CA52" i="7"/>
  <c r="BZ42" i="7"/>
  <c r="CA42" i="7" s="1"/>
  <c r="BZ47" i="7"/>
  <c r="BZ44" i="7"/>
  <c r="BZ9" i="7"/>
  <c r="BZ28" i="7"/>
  <c r="BZ29" i="7"/>
  <c r="BZ51" i="7"/>
  <c r="BZ17" i="7"/>
  <c r="BZ19" i="7"/>
  <c r="BZ49" i="7"/>
  <c r="BZ37" i="7"/>
  <c r="BZ24" i="7"/>
  <c r="BZ45" i="7"/>
  <c r="BZ30" i="7"/>
  <c r="BZ18" i="7"/>
  <c r="BZ21" i="7"/>
  <c r="BZ32" i="7"/>
  <c r="BZ34" i="7"/>
  <c r="BZ14" i="7"/>
  <c r="BZ48" i="7"/>
  <c r="BZ33" i="7"/>
  <c r="BZ13" i="7"/>
  <c r="BZ12" i="7"/>
  <c r="BZ26" i="7"/>
  <c r="BZ15" i="7"/>
  <c r="BZ35" i="7"/>
  <c r="BZ16" i="7"/>
  <c r="BZ39" i="7"/>
  <c r="BZ23" i="7"/>
  <c r="BZ38" i="7"/>
  <c r="BZ8" i="7"/>
  <c r="BZ43" i="7"/>
  <c r="BZ36" i="7"/>
  <c r="BZ40" i="7"/>
  <c r="BZ50" i="7"/>
  <c r="BZ27" i="7"/>
  <c r="BZ53" i="7"/>
  <c r="BZ31" i="7"/>
  <c r="BZ7" i="7"/>
  <c r="BZ41" i="7"/>
  <c r="BZ10" i="7"/>
  <c r="BZ46" i="7"/>
  <c r="BZ25" i="7"/>
  <c r="BZ22" i="7"/>
  <c r="BZ20" i="7"/>
  <c r="BX46" i="7"/>
  <c r="BX7" i="7"/>
  <c r="BX43" i="7"/>
  <c r="BX23" i="7"/>
  <c r="BX48" i="7"/>
  <c r="BX30" i="7"/>
  <c r="BX18" i="7"/>
  <c r="BX34" i="7"/>
  <c r="BX50" i="7"/>
  <c r="BX25" i="7"/>
  <c r="BX45" i="7"/>
  <c r="BX29" i="7"/>
  <c r="BX32" i="7"/>
  <c r="BX33" i="7"/>
  <c r="BX8" i="7"/>
  <c r="BX40" i="7"/>
  <c r="BX27" i="7"/>
  <c r="BX31" i="7"/>
  <c r="BX14" i="7"/>
  <c r="BX38" i="7"/>
  <c r="BX39" i="7"/>
  <c r="BX17" i="7"/>
  <c r="BX28" i="7"/>
  <c r="BX22" i="7"/>
  <c r="BX20" i="7"/>
  <c r="BX13" i="7"/>
  <c r="BX12" i="7"/>
  <c r="BX51" i="7"/>
  <c r="BX53" i="7"/>
  <c r="BX24" i="7"/>
  <c r="BX26" i="7"/>
  <c r="BX15" i="7"/>
  <c r="BX21" i="7"/>
  <c r="BX16" i="7"/>
  <c r="BX36" i="7"/>
  <c r="BX19" i="7"/>
  <c r="BX44" i="7"/>
  <c r="BX35" i="7"/>
  <c r="BX41" i="7"/>
  <c r="BX9" i="7"/>
  <c r="BX37" i="7"/>
  <c r="BX4" i="7"/>
  <c r="BX10" i="7"/>
  <c r="BJ30" i="8" l="1"/>
  <c r="BW36" i="7"/>
  <c r="BW20" i="7"/>
  <c r="BW8" i="7"/>
  <c r="BW41" i="7"/>
  <c r="BJ15" i="8"/>
  <c r="BJ17" i="8"/>
  <c r="BJ25" i="8"/>
  <c r="BJ21" i="8"/>
  <c r="BJ8" i="8"/>
  <c r="BJ32" i="8"/>
  <c r="BJ28" i="8"/>
  <c r="BJ13" i="8"/>
  <c r="BJ9" i="8"/>
  <c r="BJ22" i="8"/>
  <c r="BJ20" i="8"/>
  <c r="BW40" i="7"/>
  <c r="BW7" i="7"/>
  <c r="BW4" i="7"/>
  <c r="BW31" i="7"/>
  <c r="BW25" i="7"/>
  <c r="BW18" i="7"/>
  <c r="BW26" i="7"/>
  <c r="BW21" i="7"/>
  <c r="BW9" i="7"/>
  <c r="BW30" i="7"/>
  <c r="BW35" i="7"/>
  <c r="BW48" i="7"/>
  <c r="BJ27" i="8"/>
  <c r="BJ34" i="8"/>
  <c r="BJ7" i="8"/>
  <c r="BJ14" i="8"/>
  <c r="BJ5" i="8"/>
  <c r="BJ16" i="8"/>
  <c r="BJ4" i="8"/>
  <c r="BJ10" i="8"/>
  <c r="BW28" i="7"/>
  <c r="BW5" i="7"/>
  <c r="BJ26" i="8"/>
  <c r="BJ39" i="8"/>
  <c r="BJ29" i="8"/>
  <c r="BW13" i="7"/>
  <c r="BW14" i="7"/>
  <c r="BW27" i="7"/>
  <c r="BW37" i="7"/>
  <c r="BW50" i="7"/>
  <c r="BW39" i="7"/>
  <c r="BW32" i="7"/>
  <c r="BW17" i="7"/>
  <c r="BW45" i="7"/>
  <c r="BW10" i="7"/>
  <c r="BW22" i="7"/>
  <c r="BW33" i="7"/>
  <c r="BW49" i="7"/>
  <c r="BJ18" i="8"/>
  <c r="BJ23" i="8"/>
  <c r="BJ31" i="8"/>
  <c r="BW46" i="7"/>
  <c r="BJ40" i="8"/>
  <c r="BJ19" i="8"/>
  <c r="BJ24" i="8"/>
  <c r="BW51" i="7"/>
  <c r="BW38" i="7"/>
  <c r="BW15" i="7"/>
  <c r="BW43" i="7"/>
  <c r="BW53" i="7"/>
  <c r="BW44" i="7"/>
  <c r="BW34" i="7"/>
  <c r="BW16" i="7"/>
  <c r="BW24" i="7"/>
  <c r="BW19" i="7"/>
  <c r="BW23" i="7"/>
  <c r="BW29" i="7"/>
  <c r="BW12" i="7"/>
  <c r="BJ38" i="8"/>
  <c r="BW6" i="7"/>
  <c r="BJ12" i="8"/>
  <c r="BJ6" i="8"/>
  <c r="BJ37" i="8"/>
  <c r="BJ33" i="8"/>
  <c r="BJ36" i="8"/>
  <c r="BJ11" i="8"/>
  <c r="BW11" i="7"/>
  <c r="BJ35" i="8"/>
  <c r="Q4" i="8"/>
  <c r="F2" i="9" s="1"/>
  <c r="R4" i="8"/>
  <c r="G2" i="9" s="1"/>
  <c r="S4" i="8"/>
  <c r="H2" i="9" s="1"/>
  <c r="S24" i="8"/>
  <c r="Q24" i="8"/>
  <c r="R24" i="8"/>
  <c r="G22" i="9" s="1"/>
  <c r="I20" i="9"/>
  <c r="O14" i="8"/>
  <c r="P14" i="8"/>
  <c r="N14" i="8"/>
  <c r="J3" i="9"/>
  <c r="K3" i="9"/>
  <c r="I3" i="9"/>
  <c r="P16" i="8"/>
  <c r="N16" i="8"/>
  <c r="O16" i="8"/>
  <c r="K2" i="9"/>
  <c r="J2" i="9"/>
  <c r="I2" i="9"/>
  <c r="N24" i="8"/>
  <c r="I22" i="9" s="1"/>
  <c r="P24" i="8"/>
  <c r="O24" i="8"/>
  <c r="P15" i="8"/>
  <c r="N15" i="8"/>
  <c r="O15" i="8"/>
  <c r="O17" i="8"/>
  <c r="P17" i="8"/>
  <c r="K13" i="9" s="1"/>
  <c r="N17" i="8"/>
  <c r="J19" i="9"/>
  <c r="K19" i="9"/>
  <c r="I19" i="9"/>
  <c r="R8" i="8"/>
  <c r="Q8" i="8"/>
  <c r="S8" i="8"/>
  <c r="H8" i="9" s="1"/>
  <c r="K25" i="9"/>
  <c r="O32" i="8"/>
  <c r="N32" i="8"/>
  <c r="P32" i="8"/>
  <c r="G10" i="9"/>
  <c r="F10" i="9"/>
  <c r="H10" i="9"/>
  <c r="N13" i="8"/>
  <c r="O13" i="8"/>
  <c r="P13" i="8"/>
  <c r="J5" i="9"/>
  <c r="I5" i="9"/>
  <c r="G16" i="9"/>
  <c r="H16" i="9"/>
  <c r="G19" i="9"/>
  <c r="H19" i="9"/>
  <c r="F19" i="9"/>
  <c r="G20" i="9"/>
  <c r="F20" i="9"/>
  <c r="K10" i="9"/>
  <c r="I10" i="9"/>
  <c r="J10" i="9"/>
  <c r="O20" i="8"/>
  <c r="P20" i="8"/>
  <c r="N20" i="8"/>
  <c r="R20" i="8"/>
  <c r="S20" i="8"/>
  <c r="H18" i="9" s="1"/>
  <c r="G3" i="9"/>
  <c r="H3" i="9"/>
  <c r="F3" i="9"/>
  <c r="F22" i="9"/>
  <c r="H22" i="9"/>
  <c r="N18" i="8"/>
  <c r="O18" i="8"/>
  <c r="P18" i="8"/>
  <c r="K22" i="9"/>
  <c r="J22" i="9"/>
  <c r="J28" i="9"/>
  <c r="K28" i="9"/>
  <c r="F7" i="9"/>
  <c r="G31" i="9"/>
  <c r="H31" i="9"/>
  <c r="F31" i="9"/>
  <c r="G11" i="9"/>
  <c r="H11" i="9"/>
  <c r="F11" i="9"/>
  <c r="N19" i="8"/>
  <c r="P19" i="8"/>
  <c r="O19" i="8"/>
  <c r="K4" i="9"/>
  <c r="H20" i="10"/>
  <c r="F20" i="10"/>
  <c r="G20" i="10"/>
  <c r="H16" i="10"/>
  <c r="F16" i="10"/>
  <c r="G16" i="10"/>
  <c r="S53" i="7"/>
  <c r="Q53" i="7"/>
  <c r="R53" i="7"/>
  <c r="S44" i="7"/>
  <c r="S24" i="7"/>
  <c r="Q24" i="7"/>
  <c r="R24" i="7"/>
  <c r="H17" i="10"/>
  <c r="F17" i="10"/>
  <c r="G17" i="10"/>
  <c r="Q40" i="7"/>
  <c r="F40" i="10" s="1"/>
  <c r="R40" i="7"/>
  <c r="G40" i="10" s="1"/>
  <c r="S40" i="7"/>
  <c r="H40" i="10" s="1"/>
  <c r="S29" i="7"/>
  <c r="Q29" i="7"/>
  <c r="R29" i="7"/>
  <c r="H9" i="10"/>
  <c r="F9" i="10"/>
  <c r="G9" i="10"/>
  <c r="R32" i="7"/>
  <c r="S32" i="7"/>
  <c r="Q32" i="7"/>
  <c r="S28" i="7"/>
  <c r="Q28" i="7"/>
  <c r="R28" i="7"/>
  <c r="G8" i="10"/>
  <c r="G36" i="10"/>
  <c r="H23" i="10"/>
  <c r="F23" i="10"/>
  <c r="G23" i="10"/>
  <c r="G15" i="10"/>
  <c r="H10" i="10"/>
  <c r="F10" i="10"/>
  <c r="G10" i="10"/>
  <c r="S20" i="7"/>
  <c r="F14" i="10"/>
  <c r="H5" i="7"/>
  <c r="I12" i="9" l="1"/>
  <c r="I13" i="9"/>
  <c r="K16" i="9"/>
  <c r="J15" i="9"/>
  <c r="I4" i="9"/>
  <c r="J12" i="9"/>
  <c r="I15" i="9"/>
  <c r="K5" i="9"/>
  <c r="J20" i="9"/>
  <c r="F38" i="10"/>
  <c r="F6" i="9"/>
  <c r="K14" i="9"/>
  <c r="G21" i="9"/>
  <c r="H5" i="9"/>
  <c r="F25" i="9"/>
  <c r="F27" i="10"/>
  <c r="F30" i="9"/>
  <c r="H32" i="10"/>
  <c r="G14" i="9"/>
  <c r="G30" i="9"/>
  <c r="K11" i="9"/>
  <c r="I27" i="9"/>
  <c r="G38" i="10"/>
  <c r="F24" i="10"/>
  <c r="J4" i="9"/>
  <c r="I16" i="9"/>
  <c r="I28" i="9"/>
  <c r="K12" i="9"/>
  <c r="F26" i="9"/>
  <c r="G27" i="9"/>
  <c r="G23" i="9"/>
  <c r="K30" i="9"/>
  <c r="H6" i="9"/>
  <c r="J27" i="9"/>
  <c r="F17" i="9"/>
  <c r="F18" i="9"/>
  <c r="H29" i="9"/>
  <c r="J29" i="9"/>
  <c r="H30" i="9"/>
  <c r="K8" i="9"/>
  <c r="F13" i="9"/>
  <c r="I18" i="9"/>
  <c r="K20" i="9"/>
  <c r="H17" i="9"/>
  <c r="K23" i="9"/>
  <c r="F29" i="10"/>
  <c r="F32" i="10"/>
  <c r="H23" i="9"/>
  <c r="F16" i="9"/>
  <c r="G5" i="9"/>
  <c r="G6" i="9"/>
  <c r="F8" i="9"/>
  <c r="K27" i="9"/>
  <c r="J13" i="9"/>
  <c r="K18" i="9"/>
  <c r="F32" i="9"/>
  <c r="F36" i="9"/>
  <c r="F12" i="9"/>
  <c r="J6" i="9"/>
  <c r="H20" i="9"/>
  <c r="F5" i="9"/>
  <c r="H32" i="9"/>
  <c r="H36" i="9"/>
  <c r="J18" i="9"/>
  <c r="G12" i="9"/>
  <c r="I6" i="9"/>
  <c r="K6" i="9"/>
  <c r="F23" i="9"/>
  <c r="G18" i="9"/>
  <c r="F14" i="9"/>
  <c r="K15" i="9"/>
  <c r="H13" i="9"/>
  <c r="I11" i="9"/>
  <c r="G17" i="9"/>
  <c r="J23" i="9"/>
  <c r="H7" i="9"/>
  <c r="H14" i="9"/>
  <c r="F21" i="9"/>
  <c r="H25" i="9"/>
  <c r="G13" i="9"/>
  <c r="K17" i="9"/>
  <c r="I23" i="9"/>
  <c r="G25" i="9"/>
  <c r="J11" i="9"/>
  <c r="I17" i="9"/>
  <c r="F9" i="9"/>
  <c r="K7" i="9"/>
  <c r="J17" i="9"/>
  <c r="H9" i="9"/>
  <c r="G7" i="9"/>
  <c r="H21" i="9"/>
  <c r="I21" i="9"/>
  <c r="J7" i="9"/>
  <c r="H4" i="9"/>
  <c r="G9" i="9"/>
  <c r="K21" i="9"/>
  <c r="H28" i="9"/>
  <c r="I25" i="9"/>
  <c r="J14" i="9"/>
  <c r="I7" i="9"/>
  <c r="F4" i="9"/>
  <c r="K9" i="9"/>
  <c r="J21" i="9"/>
  <c r="G28" i="9"/>
  <c r="F29" i="9"/>
  <c r="J25" i="9"/>
  <c r="I14" i="9"/>
  <c r="F15" i="9"/>
  <c r="G4" i="9"/>
  <c r="I9" i="9"/>
  <c r="H15" i="9"/>
  <c r="H33" i="9"/>
  <c r="H35" i="9"/>
  <c r="J9" i="9"/>
  <c r="F28" i="9"/>
  <c r="J16" i="9"/>
  <c r="J30" i="9"/>
  <c r="G29" i="9"/>
  <c r="J24" i="9"/>
  <c r="G15" i="9"/>
  <c r="G33" i="9"/>
  <c r="G35" i="9"/>
  <c r="I30" i="9"/>
  <c r="K29" i="9"/>
  <c r="G8" i="9"/>
  <c r="K24" i="9"/>
  <c r="J26" i="9"/>
  <c r="J32" i="9"/>
  <c r="F33" i="9"/>
  <c r="F35" i="9"/>
  <c r="I29" i="9"/>
  <c r="J8" i="9"/>
  <c r="I24" i="9"/>
  <c r="I26" i="9"/>
  <c r="I32" i="9"/>
  <c r="G24" i="9"/>
  <c r="G26" i="9"/>
  <c r="H26" i="9"/>
  <c r="F27" i="9"/>
  <c r="K26" i="9"/>
  <c r="K32" i="9"/>
  <c r="F24" i="9"/>
  <c r="H27" i="9"/>
  <c r="G32" i="9"/>
  <c r="G36" i="9"/>
  <c r="I8" i="9"/>
  <c r="H12" i="9"/>
  <c r="H24" i="9"/>
  <c r="G14" i="10"/>
  <c r="H22" i="10"/>
  <c r="F22" i="10"/>
  <c r="G11" i="10"/>
  <c r="F11" i="10"/>
  <c r="G22" i="10"/>
  <c r="H27" i="10"/>
  <c r="H11" i="10"/>
  <c r="G24" i="10"/>
  <c r="H36" i="10"/>
  <c r="G32" i="10"/>
  <c r="H38" i="10"/>
  <c r="H33" i="10"/>
  <c r="G30" i="10"/>
  <c r="F13" i="10"/>
  <c r="G31" i="10"/>
  <c r="F31" i="10"/>
  <c r="H19" i="10"/>
  <c r="F30" i="10"/>
  <c r="F33" i="10"/>
  <c r="G13" i="10"/>
  <c r="G35" i="10"/>
  <c r="F8" i="10"/>
  <c r="G26" i="10"/>
  <c r="F35" i="10"/>
  <c r="H28" i="10"/>
  <c r="F39" i="10"/>
  <c r="F43" i="10"/>
  <c r="H7" i="10"/>
  <c r="H5" i="10"/>
  <c r="F12" i="10"/>
  <c r="G29" i="10"/>
  <c r="H15" i="10"/>
  <c r="G34" i="10"/>
  <c r="H31" i="10"/>
  <c r="G12" i="10"/>
  <c r="G28" i="10"/>
  <c r="F6" i="10"/>
  <c r="F15" i="10"/>
  <c r="H6" i="10"/>
  <c r="H29" i="10"/>
  <c r="F34" i="10"/>
  <c r="G25" i="10"/>
  <c r="G19" i="10"/>
  <c r="H34" i="10"/>
  <c r="F25" i="10"/>
  <c r="F19" i="10"/>
  <c r="H30" i="10"/>
  <c r="H25" i="10"/>
  <c r="H41" i="10"/>
  <c r="H42" i="10"/>
  <c r="H14" i="10"/>
  <c r="H24" i="10"/>
  <c r="G41" i="10"/>
  <c r="G42" i="10"/>
  <c r="F36" i="10"/>
  <c r="H39" i="10"/>
  <c r="H43" i="10"/>
  <c r="G7" i="10"/>
  <c r="G5" i="10"/>
  <c r="G33" i="10"/>
  <c r="F41" i="10"/>
  <c r="F42" i="10"/>
  <c r="H12" i="10"/>
  <c r="H35" i="10"/>
  <c r="G27" i="10"/>
  <c r="G18" i="10"/>
  <c r="H8" i="10"/>
  <c r="F26" i="10"/>
  <c r="G21" i="10"/>
  <c r="G51" i="10"/>
  <c r="H13" i="10"/>
  <c r="F18" i="10"/>
  <c r="F28" i="10"/>
  <c r="H26" i="10"/>
  <c r="F21" i="10"/>
  <c r="F51" i="10"/>
  <c r="G39" i="10"/>
  <c r="G43" i="10"/>
  <c r="F7" i="10"/>
  <c r="F5" i="10"/>
  <c r="H18" i="10"/>
  <c r="G6" i="10"/>
  <c r="H21" i="10"/>
  <c r="H51" i="10"/>
  <c r="F5" i="7"/>
  <c r="H6" i="7"/>
  <c r="I6" i="7"/>
  <c r="BY6" i="7" l="1"/>
  <c r="BX5" i="7"/>
  <c r="BY5" i="7"/>
  <c r="BX6" i="7"/>
  <c r="BZ4" i="7"/>
  <c r="BZ6" i="7"/>
  <c r="BZ5" i="7"/>
  <c r="BL4" i="8"/>
  <c r="BL43" i="8" s="1"/>
  <c r="BK4" i="8"/>
  <c r="BK43" i="8" s="1"/>
  <c r="BM4" i="8"/>
  <c r="BM43" i="8" s="1"/>
  <c r="BZ11" i="7"/>
  <c r="BY11" i="7"/>
  <c r="F6" i="26"/>
  <c r="F20" i="26"/>
  <c r="F13" i="26"/>
  <c r="F23" i="26"/>
  <c r="F35" i="27"/>
  <c r="F33" i="27"/>
  <c r="F13" i="27"/>
  <c r="F25" i="27"/>
  <c r="F14" i="26"/>
  <c r="F35" i="26"/>
  <c r="F10" i="26"/>
  <c r="F5" i="26"/>
  <c r="F9" i="27"/>
  <c r="F5" i="27"/>
  <c r="F20" i="27"/>
  <c r="F29" i="27"/>
  <c r="F27" i="27"/>
  <c r="F34" i="26"/>
  <c r="F28" i="26"/>
  <c r="F15" i="26"/>
  <c r="F22" i="26"/>
  <c r="F11" i="26"/>
  <c r="F30" i="26"/>
  <c r="F21" i="26"/>
  <c r="F33" i="26"/>
  <c r="F31" i="26"/>
  <c r="F21" i="27"/>
  <c r="F14" i="27"/>
  <c r="F30" i="27"/>
  <c r="F10" i="27"/>
  <c r="F24" i="27"/>
  <c r="F16" i="27"/>
  <c r="F23" i="27"/>
  <c r="F26" i="27"/>
  <c r="F36" i="27"/>
  <c r="F24" i="26"/>
  <c r="F4" i="26"/>
  <c r="F27" i="26"/>
  <c r="F16" i="26"/>
  <c r="F25" i="26"/>
  <c r="F32" i="26"/>
  <c r="F11" i="27"/>
  <c r="F4" i="27"/>
  <c r="F18" i="27"/>
  <c r="F7" i="27"/>
  <c r="F31" i="27"/>
  <c r="F17" i="26"/>
  <c r="F28" i="27"/>
  <c r="F15" i="27"/>
  <c r="F19" i="27"/>
  <c r="F7" i="26"/>
  <c r="F9" i="26"/>
  <c r="F19" i="26"/>
  <c r="F26" i="26"/>
  <c r="F29" i="26"/>
  <c r="F18" i="26"/>
  <c r="F8" i="26"/>
  <c r="F12" i="26"/>
  <c r="F6" i="27"/>
  <c r="F37" i="27"/>
  <c r="F17" i="27"/>
  <c r="F34" i="27"/>
  <c r="F38" i="27"/>
  <c r="F22" i="27"/>
  <c r="F8" i="27"/>
  <c r="F12" i="27"/>
  <c r="F32" i="27"/>
  <c r="BZ55" i="7" l="1"/>
  <c r="BY55" i="7"/>
  <c r="BX55" i="7"/>
  <c r="BN30" i="8"/>
  <c r="BN21" i="8"/>
  <c r="BN25" i="8"/>
  <c r="BN14" i="8"/>
  <c r="BN35" i="8"/>
  <c r="BN20" i="8"/>
  <c r="BN19" i="8"/>
  <c r="BN27" i="8"/>
  <c r="BN37" i="8"/>
  <c r="BN8" i="8"/>
  <c r="BN12" i="8"/>
  <c r="BN34" i="8"/>
  <c r="BN6" i="8"/>
  <c r="BN31" i="8"/>
  <c r="BN10" i="8"/>
  <c r="BN5" i="8"/>
  <c r="BN18" i="8"/>
  <c r="BN38" i="8"/>
  <c r="BN11" i="8"/>
  <c r="BN40" i="8"/>
  <c r="BN4" i="8"/>
  <c r="BN17" i="8"/>
  <c r="BN28" i="8"/>
  <c r="BN33" i="8"/>
  <c r="BN36" i="8"/>
  <c r="BN22" i="8"/>
  <c r="BN39" i="8"/>
  <c r="BN29" i="8"/>
  <c r="BN16" i="8"/>
  <c r="BN9" i="8"/>
  <c r="BN7" i="8"/>
  <c r="BN32" i="8"/>
  <c r="BN24" i="8"/>
  <c r="BN13" i="8"/>
  <c r="BN15" i="8"/>
  <c r="BN26" i="8"/>
  <c r="BN23" i="8"/>
  <c r="CA50" i="7"/>
  <c r="CA48" i="7"/>
  <c r="CA40" i="7"/>
  <c r="CA39" i="7"/>
  <c r="CA51" i="7"/>
  <c r="CA43" i="7"/>
  <c r="CA45" i="7"/>
  <c r="CA44" i="7"/>
  <c r="CA46" i="7"/>
  <c r="CA41" i="7"/>
  <c r="CA18" i="7"/>
  <c r="CA9" i="7"/>
  <c r="CA38" i="7"/>
  <c r="CA6" i="7"/>
  <c r="CA5" i="7"/>
  <c r="CA34" i="7"/>
  <c r="CA21" i="7"/>
  <c r="CA25" i="7"/>
  <c r="CA23" i="7"/>
  <c r="CA8" i="7"/>
  <c r="CA24" i="7"/>
  <c r="CA19" i="7"/>
  <c r="CA30" i="7"/>
  <c r="CA17" i="7"/>
  <c r="CA31" i="7"/>
  <c r="CA13" i="7"/>
  <c r="CA4" i="7"/>
  <c r="CA37" i="7"/>
  <c r="CA29" i="7"/>
  <c r="CA12" i="7"/>
  <c r="CA28" i="7"/>
  <c r="CA35" i="7"/>
  <c r="CA11" i="7"/>
  <c r="CA7" i="7"/>
  <c r="CA15" i="7"/>
  <c r="CA20" i="7"/>
  <c r="CA27" i="7"/>
  <c r="CA22" i="7"/>
  <c r="CA32" i="7"/>
  <c r="CA10" i="7"/>
  <c r="CA14" i="7"/>
  <c r="CA33" i="7"/>
  <c r="CA16" i="7"/>
  <c r="CA53" i="7"/>
  <c r="CA36" i="7"/>
  <c r="CA26" i="7"/>
  <c r="BK44" i="8" l="1"/>
  <c r="A1" i="8" s="1"/>
  <c r="D40" i="27" l="1"/>
  <c r="G40" i="27" s="1"/>
  <c r="H40" i="27" s="1"/>
  <c r="D36" i="27"/>
  <c r="G36" i="27" s="1"/>
  <c r="D32" i="27"/>
  <c r="D28" i="27"/>
  <c r="D24" i="27"/>
  <c r="D20" i="27"/>
  <c r="D16" i="27"/>
  <c r="D12" i="27"/>
  <c r="D8" i="27"/>
  <c r="D4" i="27"/>
  <c r="B40" i="27"/>
  <c r="B36" i="27"/>
  <c r="B32" i="27"/>
  <c r="B28" i="27"/>
  <c r="B24" i="27"/>
  <c r="B20" i="27"/>
  <c r="B16" i="27"/>
  <c r="B12" i="27"/>
  <c r="B8" i="27"/>
  <c r="B4" i="27"/>
  <c r="D39" i="27"/>
  <c r="G39" i="27" s="1"/>
  <c r="H39" i="27" s="1"/>
  <c r="D38" i="27"/>
  <c r="D34" i="27"/>
  <c r="D30" i="27"/>
  <c r="D26" i="27"/>
  <c r="D22" i="27"/>
  <c r="D18" i="27"/>
  <c r="D14" i="27"/>
  <c r="D10" i="27"/>
  <c r="D6" i="27"/>
  <c r="B38" i="27"/>
  <c r="B34" i="27"/>
  <c r="B30" i="27"/>
  <c r="B26" i="27"/>
  <c r="B22" i="27"/>
  <c r="B18" i="27"/>
  <c r="B14" i="27"/>
  <c r="B10" i="27"/>
  <c r="B6" i="27"/>
  <c r="D37" i="27"/>
  <c r="G37" i="27" s="1"/>
  <c r="D29" i="27"/>
  <c r="D21" i="27"/>
  <c r="D13" i="27"/>
  <c r="D5" i="27"/>
  <c r="B39" i="27"/>
  <c r="B31" i="27"/>
  <c r="B23" i="27"/>
  <c r="B15" i="27"/>
  <c r="B7" i="27"/>
  <c r="D27" i="27"/>
  <c r="D19" i="27"/>
  <c r="D11" i="27"/>
  <c r="B37" i="27"/>
  <c r="B29" i="27"/>
  <c r="B21" i="27"/>
  <c r="B13" i="27"/>
  <c r="B5" i="27"/>
  <c r="D35" i="27"/>
  <c r="D33" i="27"/>
  <c r="D25" i="27"/>
  <c r="D17" i="27"/>
  <c r="D9" i="27"/>
  <c r="B35" i="27"/>
  <c r="B27" i="27"/>
  <c r="B19" i="27"/>
  <c r="B11" i="27"/>
  <c r="D41" i="27"/>
  <c r="G41" i="27" s="1"/>
  <c r="H41" i="27" s="1"/>
  <c r="D31" i="27"/>
  <c r="D23" i="27"/>
  <c r="D15" i="27"/>
  <c r="D7" i="27"/>
  <c r="B41" i="27"/>
  <c r="B33" i="27"/>
  <c r="B25" i="27"/>
  <c r="B17" i="27"/>
  <c r="B9" i="27"/>
  <c r="CA47" i="7"/>
  <c r="BZ60" i="7"/>
  <c r="J41" i="27" l="1"/>
  <c r="I41" i="27"/>
  <c r="J15" i="27"/>
  <c r="I15" i="27"/>
  <c r="J18" i="27"/>
  <c r="I18" i="27"/>
  <c r="J20" i="27"/>
  <c r="I20" i="27"/>
  <c r="J17" i="27"/>
  <c r="I17" i="27"/>
  <c r="J35" i="27"/>
  <c r="I35" i="27"/>
  <c r="J21" i="27"/>
  <c r="I21" i="27"/>
  <c r="J23" i="27"/>
  <c r="I23" i="27"/>
  <c r="I6" i="27"/>
  <c r="J6" i="27"/>
  <c r="I22" i="27"/>
  <c r="J22" i="27"/>
  <c r="J38" i="27"/>
  <c r="I38" i="27"/>
  <c r="J8" i="27"/>
  <c r="I8" i="27"/>
  <c r="J24" i="27"/>
  <c r="I24" i="27"/>
  <c r="J40" i="27"/>
  <c r="I40" i="27"/>
  <c r="J13" i="27"/>
  <c r="I13" i="27"/>
  <c r="J34" i="27"/>
  <c r="I34" i="27"/>
  <c r="J4" i="27"/>
  <c r="I4" i="27"/>
  <c r="J36" i="27"/>
  <c r="I36" i="27"/>
  <c r="J25" i="27"/>
  <c r="I25" i="27"/>
  <c r="J11" i="27"/>
  <c r="I11" i="27"/>
  <c r="J29" i="27"/>
  <c r="I29" i="27"/>
  <c r="J31" i="27"/>
  <c r="I31" i="27"/>
  <c r="I10" i="27"/>
  <c r="J10" i="27"/>
  <c r="J26" i="27"/>
  <c r="I26" i="27"/>
  <c r="J12" i="27"/>
  <c r="I12" i="27"/>
  <c r="J28" i="27"/>
  <c r="I28" i="27"/>
  <c r="J9" i="27"/>
  <c r="I9" i="27"/>
  <c r="J27" i="27"/>
  <c r="I27" i="27"/>
  <c r="J33" i="27"/>
  <c r="I33" i="27"/>
  <c r="J19" i="27"/>
  <c r="I19" i="27"/>
  <c r="J5" i="27"/>
  <c r="I5" i="27"/>
  <c r="J37" i="27"/>
  <c r="I37" i="27"/>
  <c r="J7" i="27"/>
  <c r="I7" i="27"/>
  <c r="J39" i="27"/>
  <c r="I39" i="27"/>
  <c r="J14" i="27"/>
  <c r="I14" i="27"/>
  <c r="J30" i="27"/>
  <c r="I30" i="27"/>
  <c r="I16" i="27"/>
  <c r="J16" i="27"/>
  <c r="J32" i="27"/>
  <c r="I32" i="27"/>
  <c r="G18" i="27"/>
  <c r="H18" i="27" s="1"/>
  <c r="L18" i="27"/>
  <c r="E18" i="27"/>
  <c r="G32" i="27"/>
  <c r="H32" i="27" s="1"/>
  <c r="L32" i="27"/>
  <c r="E32" i="27"/>
  <c r="G23" i="27"/>
  <c r="H23" i="27" s="1"/>
  <c r="L23" i="27"/>
  <c r="E23" i="27"/>
  <c r="G31" i="27"/>
  <c r="H31" i="27" s="1"/>
  <c r="L31" i="27"/>
  <c r="E31" i="27"/>
  <c r="G25" i="27"/>
  <c r="H25" i="27" s="1"/>
  <c r="L25" i="27"/>
  <c r="E25" i="27"/>
  <c r="G11" i="27"/>
  <c r="H11" i="27" s="1"/>
  <c r="L11" i="27"/>
  <c r="E11" i="27"/>
  <c r="G5" i="27"/>
  <c r="H5" i="27" s="1"/>
  <c r="L5" i="27"/>
  <c r="E5" i="27"/>
  <c r="H37" i="27"/>
  <c r="L37" i="27"/>
  <c r="E37" i="27"/>
  <c r="G14" i="27"/>
  <c r="H14" i="27" s="1"/>
  <c r="L14" i="27"/>
  <c r="E14" i="27"/>
  <c r="G30" i="27"/>
  <c r="H30" i="27" s="1"/>
  <c r="L30" i="27"/>
  <c r="E30" i="27"/>
  <c r="G12" i="27"/>
  <c r="H12" i="27" s="1"/>
  <c r="L12" i="27"/>
  <c r="E12" i="27"/>
  <c r="G28" i="27"/>
  <c r="H28" i="27" s="1"/>
  <c r="L28" i="27"/>
  <c r="E28" i="27"/>
  <c r="L41" i="27"/>
  <c r="E41" i="27"/>
  <c r="G13" i="27"/>
  <c r="H13" i="27" s="1"/>
  <c r="L13" i="27"/>
  <c r="E13" i="27"/>
  <c r="G16" i="27"/>
  <c r="H16" i="27" s="1"/>
  <c r="L16" i="27"/>
  <c r="E16" i="27"/>
  <c r="G15" i="27"/>
  <c r="H15" i="27" s="1"/>
  <c r="L15" i="27"/>
  <c r="E15" i="27"/>
  <c r="G9" i="27"/>
  <c r="H9" i="27" s="1"/>
  <c r="L9" i="27"/>
  <c r="E9" i="27"/>
  <c r="G35" i="27"/>
  <c r="H35" i="27" s="1"/>
  <c r="L35" i="27"/>
  <c r="E35" i="27"/>
  <c r="G27" i="27"/>
  <c r="H27" i="27" s="1"/>
  <c r="L27" i="27"/>
  <c r="E27" i="27"/>
  <c r="G21" i="27"/>
  <c r="H21" i="27" s="1"/>
  <c r="L21" i="27"/>
  <c r="E21" i="27"/>
  <c r="G6" i="27"/>
  <c r="H6" i="27" s="1"/>
  <c r="L6" i="27"/>
  <c r="E6" i="27"/>
  <c r="G22" i="27"/>
  <c r="H22" i="27" s="1"/>
  <c r="L22" i="27"/>
  <c r="E22" i="27"/>
  <c r="H38" i="27"/>
  <c r="L38" i="27"/>
  <c r="E38" i="27"/>
  <c r="G4" i="27"/>
  <c r="H4" i="27" s="1"/>
  <c r="L4" i="27"/>
  <c r="E4" i="27"/>
  <c r="G20" i="27"/>
  <c r="H20" i="27" s="1"/>
  <c r="L20" i="27"/>
  <c r="E20" i="27"/>
  <c r="H36" i="27"/>
  <c r="L36" i="27"/>
  <c r="E36" i="27"/>
  <c r="G7" i="27"/>
  <c r="H7" i="27" s="1"/>
  <c r="L7" i="27"/>
  <c r="E7" i="27"/>
  <c r="G33" i="27"/>
  <c r="H33" i="27" s="1"/>
  <c r="L33" i="27"/>
  <c r="E33" i="27"/>
  <c r="G19" i="27"/>
  <c r="H19" i="27" s="1"/>
  <c r="L19" i="27"/>
  <c r="E19" i="27"/>
  <c r="G34" i="27"/>
  <c r="H34" i="27" s="1"/>
  <c r="L34" i="27"/>
  <c r="E34" i="27"/>
  <c r="G17" i="27"/>
  <c r="H17" i="27" s="1"/>
  <c r="L17" i="27"/>
  <c r="E17" i="27"/>
  <c r="G29" i="27"/>
  <c r="H29" i="27" s="1"/>
  <c r="L29" i="27"/>
  <c r="E29" i="27"/>
  <c r="G10" i="27"/>
  <c r="H10" i="27" s="1"/>
  <c r="L10" i="27"/>
  <c r="E10" i="27"/>
  <c r="G26" i="27"/>
  <c r="H26" i="27" s="1"/>
  <c r="L26" i="27"/>
  <c r="E26" i="27"/>
  <c r="L39" i="27"/>
  <c r="E39" i="27"/>
  <c r="G8" i="27"/>
  <c r="H8" i="27" s="1"/>
  <c r="L8" i="27"/>
  <c r="E8" i="27"/>
  <c r="G24" i="27"/>
  <c r="H24" i="27" s="1"/>
  <c r="L24" i="27"/>
  <c r="E24" i="27"/>
  <c r="E40" i="27"/>
  <c r="L40" i="27"/>
  <c r="CA49" i="7"/>
  <c r="CA55" i="7" s="1"/>
  <c r="BX56" i="7"/>
  <c r="A1" i="7" s="1"/>
  <c r="B53" i="26" l="1"/>
  <c r="I53" i="26" s="1"/>
  <c r="D54" i="26"/>
  <c r="B54" i="26"/>
  <c r="CA56" i="7"/>
  <c r="D52" i="26"/>
  <c r="D49" i="26"/>
  <c r="D44" i="26"/>
  <c r="D48" i="26"/>
  <c r="D53" i="26"/>
  <c r="G53" i="26" s="1"/>
  <c r="H53" i="26" s="1"/>
  <c r="D38" i="26"/>
  <c r="D47" i="26"/>
  <c r="D42" i="26"/>
  <c r="D37" i="26"/>
  <c r="D51" i="26"/>
  <c r="D46" i="26"/>
  <c r="D41" i="26"/>
  <c r="D50" i="26"/>
  <c r="D36" i="26"/>
  <c r="D45" i="26"/>
  <c r="D43" i="26"/>
  <c r="D40" i="26"/>
  <c r="D39" i="26"/>
  <c r="B15" i="26"/>
  <c r="B22" i="26"/>
  <c r="B50" i="26"/>
  <c r="B20" i="26"/>
  <c r="B45" i="26"/>
  <c r="B17" i="26"/>
  <c r="B9" i="26"/>
  <c r="B23" i="26"/>
  <c r="B34" i="26"/>
  <c r="B48" i="26"/>
  <c r="B30" i="26"/>
  <c r="B13" i="26"/>
  <c r="B6" i="26"/>
  <c r="B40" i="26"/>
  <c r="B33" i="26"/>
  <c r="B11" i="26"/>
  <c r="B39" i="26"/>
  <c r="B14" i="26"/>
  <c r="B28" i="26"/>
  <c r="B25" i="26"/>
  <c r="B32" i="26"/>
  <c r="B43" i="26"/>
  <c r="B24" i="26"/>
  <c r="B5" i="26"/>
  <c r="B29" i="26"/>
  <c r="B38" i="26"/>
  <c r="B26" i="26"/>
  <c r="B8" i="26"/>
  <c r="B44" i="26"/>
  <c r="B4" i="26"/>
  <c r="B41" i="26"/>
  <c r="B12" i="26"/>
  <c r="B46" i="26"/>
  <c r="B36" i="26"/>
  <c r="B31" i="26"/>
  <c r="B49" i="26"/>
  <c r="B18" i="26"/>
  <c r="B52" i="26"/>
  <c r="B10" i="26"/>
  <c r="B35" i="26"/>
  <c r="B42" i="26"/>
  <c r="B51" i="26"/>
  <c r="B16" i="26"/>
  <c r="B37" i="26"/>
  <c r="B7" i="26"/>
  <c r="B19" i="26"/>
  <c r="B27" i="26"/>
  <c r="B21" i="26"/>
  <c r="B47" i="26"/>
  <c r="D33" i="26"/>
  <c r="D29" i="26"/>
  <c r="D25" i="26"/>
  <c r="D21" i="26"/>
  <c r="D17" i="26"/>
  <c r="D13" i="26"/>
  <c r="D9" i="26"/>
  <c r="D5" i="26"/>
  <c r="D35" i="26"/>
  <c r="D31" i="26"/>
  <c r="D27" i="26"/>
  <c r="D23" i="26"/>
  <c r="D19" i="26"/>
  <c r="D15" i="26"/>
  <c r="D11" i="26"/>
  <c r="D7" i="26"/>
  <c r="D28" i="26"/>
  <c r="D20" i="26"/>
  <c r="D12" i="26"/>
  <c r="D4" i="26"/>
  <c r="G4" i="26" s="1"/>
  <c r="H4" i="26" s="1"/>
  <c r="D10" i="26"/>
  <c r="D22" i="26"/>
  <c r="D34" i="26"/>
  <c r="D26" i="26"/>
  <c r="D18" i="26"/>
  <c r="D6" i="26"/>
  <c r="D32" i="26"/>
  <c r="D24" i="26"/>
  <c r="D16" i="26"/>
  <c r="D8" i="26"/>
  <c r="D30" i="26"/>
  <c r="D14" i="26"/>
  <c r="BX60" i="7"/>
  <c r="BX61" i="7" s="1"/>
  <c r="J53" i="26" l="1"/>
  <c r="I54" i="26"/>
  <c r="J54" i="26"/>
  <c r="L54" i="26"/>
  <c r="G54" i="26"/>
  <c r="H54" i="26" s="1"/>
  <c r="E54" i="26"/>
  <c r="CA57" i="7"/>
  <c r="L53" i="26"/>
  <c r="E53" i="26"/>
  <c r="J22" i="26"/>
  <c r="I22" i="26"/>
  <c r="J35" i="26"/>
  <c r="I35" i="26"/>
  <c r="J25" i="26"/>
  <c r="I25" i="26"/>
  <c r="J10" i="26"/>
  <c r="I10" i="26"/>
  <c r="J28" i="26"/>
  <c r="I28" i="26"/>
  <c r="J52" i="26"/>
  <c r="I52" i="26"/>
  <c r="I14" i="26"/>
  <c r="J14" i="26"/>
  <c r="J51" i="26"/>
  <c r="I51" i="26"/>
  <c r="J18" i="26"/>
  <c r="I18" i="26"/>
  <c r="J39" i="26"/>
  <c r="I39" i="26"/>
  <c r="J11" i="26"/>
  <c r="R9" i="26" s="1"/>
  <c r="I11" i="26"/>
  <c r="J31" i="26"/>
  <c r="I31" i="26"/>
  <c r="J33" i="26"/>
  <c r="I33" i="26"/>
  <c r="J49" i="26"/>
  <c r="I49" i="26"/>
  <c r="J36" i="26"/>
  <c r="I36" i="26"/>
  <c r="J40" i="26"/>
  <c r="I40" i="26"/>
  <c r="J46" i="26"/>
  <c r="I46" i="26"/>
  <c r="J6" i="26"/>
  <c r="R8" i="26" s="1"/>
  <c r="I6" i="26"/>
  <c r="J12" i="26"/>
  <c r="I12" i="26"/>
  <c r="J13" i="26"/>
  <c r="I13" i="26"/>
  <c r="J41" i="26"/>
  <c r="I41" i="26"/>
  <c r="J30" i="26"/>
  <c r="I30" i="26"/>
  <c r="J15" i="26"/>
  <c r="I15" i="26"/>
  <c r="I4" i="26"/>
  <c r="J4" i="26"/>
  <c r="R4" i="26" s="1"/>
  <c r="J48" i="26"/>
  <c r="I48" i="26"/>
  <c r="J47" i="26"/>
  <c r="I47" i="26"/>
  <c r="J44" i="26"/>
  <c r="I44" i="26"/>
  <c r="I34" i="26"/>
  <c r="J34" i="26"/>
  <c r="J32" i="26"/>
  <c r="I32" i="26"/>
  <c r="J21" i="26"/>
  <c r="I21" i="26"/>
  <c r="J8" i="26"/>
  <c r="R5" i="26" s="1"/>
  <c r="I8" i="26"/>
  <c r="J23" i="26"/>
  <c r="I23" i="26"/>
  <c r="J42" i="26"/>
  <c r="I42" i="26"/>
  <c r="J27" i="26"/>
  <c r="I27" i="26"/>
  <c r="J26" i="26"/>
  <c r="R10" i="26" s="1"/>
  <c r="I26" i="26"/>
  <c r="J9" i="26"/>
  <c r="R7" i="26" s="1"/>
  <c r="I9" i="26"/>
  <c r="J19" i="26"/>
  <c r="I19" i="26"/>
  <c r="J38" i="26"/>
  <c r="I38" i="26"/>
  <c r="J17" i="26"/>
  <c r="I17" i="26"/>
  <c r="J7" i="26"/>
  <c r="I7" i="26"/>
  <c r="J29" i="26"/>
  <c r="I29" i="26"/>
  <c r="J45" i="26"/>
  <c r="I45" i="26"/>
  <c r="J43" i="26"/>
  <c r="I43" i="26"/>
  <c r="J37" i="26"/>
  <c r="I37" i="26"/>
  <c r="J5" i="26"/>
  <c r="R6" i="26" s="1"/>
  <c r="I5" i="26"/>
  <c r="J20" i="26"/>
  <c r="I20" i="26"/>
  <c r="J16" i="26"/>
  <c r="I16" i="26"/>
  <c r="I24" i="26"/>
  <c r="J24" i="26"/>
  <c r="J50" i="26"/>
  <c r="I50" i="26"/>
  <c r="G39" i="26"/>
  <c r="H39" i="26" s="1"/>
  <c r="E39" i="26"/>
  <c r="G40" i="26"/>
  <c r="H40" i="26" s="1"/>
  <c r="E40" i="26"/>
  <c r="G43" i="26"/>
  <c r="H43" i="26" s="1"/>
  <c r="E43" i="26"/>
  <c r="G45" i="26"/>
  <c r="H45" i="26" s="1"/>
  <c r="E45" i="26"/>
  <c r="G36" i="26"/>
  <c r="H36" i="26" s="1"/>
  <c r="E36" i="26"/>
  <c r="G50" i="26"/>
  <c r="H50" i="26" s="1"/>
  <c r="E50" i="26"/>
  <c r="G41" i="26"/>
  <c r="H41" i="26" s="1"/>
  <c r="E41" i="26"/>
  <c r="G46" i="26"/>
  <c r="H46" i="26" s="1"/>
  <c r="E46" i="26"/>
  <c r="G51" i="26"/>
  <c r="H51" i="26" s="1"/>
  <c r="E51" i="26"/>
  <c r="G37" i="26"/>
  <c r="H37" i="26" s="1"/>
  <c r="E37" i="26"/>
  <c r="G42" i="26"/>
  <c r="H42" i="26" s="1"/>
  <c r="E42" i="26"/>
  <c r="G47" i="26"/>
  <c r="H47" i="26" s="1"/>
  <c r="E47" i="26"/>
  <c r="G38" i="26"/>
  <c r="H38" i="26" s="1"/>
  <c r="E38" i="26"/>
  <c r="G48" i="26"/>
  <c r="H48" i="26" s="1"/>
  <c r="E48" i="26"/>
  <c r="G44" i="26"/>
  <c r="H44" i="26" s="1"/>
  <c r="E44" i="26"/>
  <c r="G49" i="26"/>
  <c r="H49" i="26" s="1"/>
  <c r="E49" i="26"/>
  <c r="E52" i="26"/>
  <c r="H52" i="26"/>
  <c r="G14" i="26"/>
  <c r="H14" i="26" s="1"/>
  <c r="L14" i="26"/>
  <c r="E14" i="26"/>
  <c r="G20" i="26"/>
  <c r="H20" i="26" s="1"/>
  <c r="L20" i="26"/>
  <c r="E20" i="26"/>
  <c r="G35" i="26"/>
  <c r="H35" i="26" s="1"/>
  <c r="L35" i="26"/>
  <c r="E35" i="26"/>
  <c r="G25" i="26"/>
  <c r="H25" i="26" s="1"/>
  <c r="L25" i="26"/>
  <c r="E25" i="26"/>
  <c r="L48" i="26"/>
  <c r="G16" i="26"/>
  <c r="H16" i="26" s="1"/>
  <c r="L16" i="26"/>
  <c r="E16" i="26"/>
  <c r="L50" i="26"/>
  <c r="G34" i="26"/>
  <c r="H34" i="26" s="1"/>
  <c r="L34" i="26"/>
  <c r="E34" i="26"/>
  <c r="G22" i="26"/>
  <c r="H22" i="26" s="1"/>
  <c r="L22" i="26"/>
  <c r="E22" i="26"/>
  <c r="G10" i="26"/>
  <c r="H10" i="26" s="1"/>
  <c r="L10" i="26"/>
  <c r="E10" i="26"/>
  <c r="G12" i="26"/>
  <c r="H12" i="26" s="1"/>
  <c r="L12" i="26"/>
  <c r="E12" i="26"/>
  <c r="L46" i="26"/>
  <c r="G15" i="26"/>
  <c r="H15" i="26" s="1"/>
  <c r="L15" i="26"/>
  <c r="E15" i="26"/>
  <c r="G31" i="26"/>
  <c r="H31" i="26" s="1"/>
  <c r="L31" i="26"/>
  <c r="E31" i="26"/>
  <c r="L47" i="26"/>
  <c r="G5" i="26"/>
  <c r="H5" i="26" s="1"/>
  <c r="L5" i="26"/>
  <c r="E5" i="26"/>
  <c r="G21" i="26"/>
  <c r="H21" i="26" s="1"/>
  <c r="L21" i="26"/>
  <c r="E21" i="26"/>
  <c r="L37" i="26"/>
  <c r="G24" i="26"/>
  <c r="H24" i="26" s="1"/>
  <c r="L24" i="26"/>
  <c r="E24" i="26"/>
  <c r="L42" i="26"/>
  <c r="G19" i="26"/>
  <c r="H19" i="26" s="1"/>
  <c r="L19" i="26"/>
  <c r="E19" i="26"/>
  <c r="L41" i="26"/>
  <c r="G30" i="26"/>
  <c r="H30" i="26" s="1"/>
  <c r="L30" i="26"/>
  <c r="E30" i="26"/>
  <c r="G32" i="26"/>
  <c r="H32" i="26" s="1"/>
  <c r="L32" i="26"/>
  <c r="E32" i="26"/>
  <c r="G6" i="26"/>
  <c r="H6" i="26" s="1"/>
  <c r="L6" i="26"/>
  <c r="E6" i="26"/>
  <c r="G18" i="26"/>
  <c r="H18" i="26" s="1"/>
  <c r="L18" i="26"/>
  <c r="E18" i="26"/>
  <c r="G28" i="26"/>
  <c r="H28" i="26" s="1"/>
  <c r="L28" i="26"/>
  <c r="E28" i="26"/>
  <c r="G7" i="26"/>
  <c r="H7" i="26" s="1"/>
  <c r="L7" i="26"/>
  <c r="E7" i="26"/>
  <c r="G23" i="26"/>
  <c r="H23" i="26" s="1"/>
  <c r="L23" i="26"/>
  <c r="E23" i="26"/>
  <c r="L39" i="26"/>
  <c r="L44" i="26"/>
  <c r="G13" i="26"/>
  <c r="H13" i="26" s="1"/>
  <c r="L13" i="26"/>
  <c r="E13" i="26"/>
  <c r="G29" i="26"/>
  <c r="H29" i="26" s="1"/>
  <c r="L29" i="26"/>
  <c r="E29" i="26"/>
  <c r="L45" i="26"/>
  <c r="L51" i="26"/>
  <c r="G9" i="26"/>
  <c r="H9" i="26" s="1"/>
  <c r="L9" i="26"/>
  <c r="E9" i="26"/>
  <c r="L38" i="26"/>
  <c r="G8" i="26"/>
  <c r="H8" i="26" s="1"/>
  <c r="L8" i="26"/>
  <c r="E8" i="26"/>
  <c r="L40" i="26"/>
  <c r="G26" i="26"/>
  <c r="H26" i="26" s="1"/>
  <c r="L26" i="26"/>
  <c r="E26" i="26"/>
  <c r="L4" i="26"/>
  <c r="E4" i="26"/>
  <c r="L36" i="26"/>
  <c r="G11" i="26"/>
  <c r="H11" i="26" s="1"/>
  <c r="L11" i="26"/>
  <c r="E11" i="26"/>
  <c r="G27" i="26"/>
  <c r="H27" i="26" s="1"/>
  <c r="L27" i="26"/>
  <c r="E27" i="26"/>
  <c r="L43" i="26"/>
  <c r="L52" i="26"/>
  <c r="G17" i="26"/>
  <c r="H17" i="26" s="1"/>
  <c r="L17" i="26"/>
  <c r="E17" i="26"/>
  <c r="G33" i="26"/>
  <c r="H33" i="26" s="1"/>
  <c r="L33" i="26"/>
  <c r="E33" i="26"/>
  <c r="L49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Stringfellow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Michael Stringfellow:</t>
        </r>
        <r>
          <rPr>
            <sz val="9"/>
            <color indexed="81"/>
            <rFont val="Tahoma"/>
            <family val="2"/>
          </rPr>
          <t xml:space="preserve">
This column is used in the Rank Justified by HTH Result section.
***Do NOT Delete***</t>
        </r>
      </text>
    </comment>
  </commentList>
</comments>
</file>

<file path=xl/sharedStrings.xml><?xml version="1.0" encoding="utf-8"?>
<sst xmlns="http://schemas.openxmlformats.org/spreadsheetml/2006/main" count="1904" uniqueCount="318">
  <si>
    <t>Lakemont</t>
  </si>
  <si>
    <t>Oak Park</t>
  </si>
  <si>
    <t>Wellsley</t>
  </si>
  <si>
    <t>Park at West Lake</t>
  </si>
  <si>
    <t>Seven Oaks</t>
  </si>
  <si>
    <t>Lake Park</t>
  </si>
  <si>
    <t>Greystone</t>
  </si>
  <si>
    <t>Springdale</t>
  </si>
  <si>
    <t>University Club</t>
  </si>
  <si>
    <t>Wood Valley</t>
  </si>
  <si>
    <t>Prestonwood</t>
  </si>
  <si>
    <t>Lochmere</t>
  </si>
  <si>
    <t>Scottish Hills</t>
  </si>
  <si>
    <t>Scotts Mill</t>
  </si>
  <si>
    <t>Silverton</t>
  </si>
  <si>
    <t>Cary Park</t>
  </si>
  <si>
    <t>Dutchman Downs</t>
  </si>
  <si>
    <t>Cary</t>
  </si>
  <si>
    <t>Sunset Ridge</t>
  </si>
  <si>
    <t>Walden Creek</t>
  </si>
  <si>
    <t>Olive Chapel</t>
  </si>
  <si>
    <t>Apex</t>
  </si>
  <si>
    <t>Devereaux</t>
  </si>
  <si>
    <t>Park Village</t>
  </si>
  <si>
    <t>The Reserve</t>
  </si>
  <si>
    <t>Medfield</t>
  </si>
  <si>
    <t>Weatherstone</t>
  </si>
  <si>
    <t>Highcroft</t>
  </si>
  <si>
    <t>Glenridge</t>
  </si>
  <si>
    <t>Oxxford Hunt</t>
  </si>
  <si>
    <t>Brookstone</t>
  </si>
  <si>
    <t>Eagle Ridge</t>
  </si>
  <si>
    <t>Crooked Creek</t>
  </si>
  <si>
    <t>Garner</t>
  </si>
  <si>
    <t>Charleston Village</t>
  </si>
  <si>
    <t>Weldon Ridge</t>
  </si>
  <si>
    <t>Haddon Hall</t>
  </si>
  <si>
    <t>Carpenter Village</t>
  </si>
  <si>
    <t>Bentwinds</t>
  </si>
  <si>
    <t>TAC</t>
  </si>
  <si>
    <t>Wellington Park</t>
  </si>
  <si>
    <t>Division</t>
  </si>
  <si>
    <t>N1</t>
  </si>
  <si>
    <t>Rank</t>
  </si>
  <si>
    <t>W</t>
  </si>
  <si>
    <t>L</t>
  </si>
  <si>
    <t>T</t>
  </si>
  <si>
    <t>NC</t>
  </si>
  <si>
    <t>Northbrook</t>
  </si>
  <si>
    <t>Harrington Grove</t>
  </si>
  <si>
    <t>Quail Hollow</t>
  </si>
  <si>
    <t>Summerfield North</t>
  </si>
  <si>
    <t>Heritage of Wake Forest</t>
  </si>
  <si>
    <t>Stonebridge</t>
  </si>
  <si>
    <t>North Hills</t>
  </si>
  <si>
    <t>Bedford at Falls River</t>
  </si>
  <si>
    <t>North Raleigh</t>
  </si>
  <si>
    <t>Manchester</t>
  </si>
  <si>
    <t>Durant Trails</t>
  </si>
  <si>
    <t>Hedingham</t>
  </si>
  <si>
    <t>Southall</t>
  </si>
  <si>
    <t>Black Horse Run</t>
  </si>
  <si>
    <t>Meredith Townes</t>
  </si>
  <si>
    <t>Granite Falls</t>
  </si>
  <si>
    <t>Hawthorne</t>
  </si>
  <si>
    <t>Hasentree</t>
  </si>
  <si>
    <t>Wendell</t>
  </si>
  <si>
    <t>Crabtree</t>
  </si>
  <si>
    <t>S1</t>
  </si>
  <si>
    <t>Div</t>
  </si>
  <si>
    <t>Coachman's Trail</t>
  </si>
  <si>
    <t>Kildaire Farms</t>
  </si>
  <si>
    <t>TCC</t>
  </si>
  <si>
    <t>Clubworx</t>
  </si>
  <si>
    <t>Record</t>
  </si>
  <si>
    <t>Overall</t>
  </si>
  <si>
    <t>Proposed</t>
  </si>
  <si>
    <t>Change</t>
  </si>
  <si>
    <t>Abbington</t>
  </si>
  <si>
    <t>N O R T H      L E A G U E</t>
  </si>
  <si>
    <t>S O U T H      L E A G U E</t>
  </si>
  <si>
    <t>Preston Village</t>
  </si>
  <si>
    <t>Amberly</t>
  </si>
  <si>
    <t>Kitts Creek</t>
  </si>
  <si>
    <t>Greenway Club</t>
  </si>
  <si>
    <t>Jewish Community Center</t>
  </si>
  <si>
    <t>Banbury Woods &amp; Hunters Landing</t>
  </si>
  <si>
    <t>Club Name</t>
  </si>
  <si>
    <t>League</t>
  </si>
  <si>
    <t>Website Entry:</t>
  </si>
  <si>
    <t>Add League</t>
  </si>
  <si>
    <t>Rearrange columns to match web site.</t>
  </si>
  <si>
    <t>Sort by Club Name</t>
  </si>
  <si>
    <t>Enter 0 for Size</t>
  </si>
  <si>
    <t/>
  </si>
  <si>
    <t>Brighton Forest</t>
  </si>
  <si>
    <t>Shepherds Vineyard</t>
  </si>
  <si>
    <t>Regency</t>
  </si>
  <si>
    <t>Bella Casa</t>
  </si>
  <si>
    <t>Twelve Oaks</t>
  </si>
  <si>
    <t>Renaissance Park</t>
  </si>
  <si>
    <t>C/P from the New Year Sort tabs into the "Entry" tab.</t>
  </si>
  <si>
    <t>South</t>
  </si>
  <si>
    <t>North</t>
  </si>
  <si>
    <t>Life Time Fitness Cary</t>
  </si>
  <si>
    <t>WoodCreek</t>
  </si>
  <si>
    <t>Planter's Walk</t>
  </si>
  <si>
    <t>HTH</t>
  </si>
  <si>
    <t>Yes</t>
  </si>
  <si>
    <t>No</t>
  </si>
  <si>
    <t>Poss</t>
  </si>
  <si>
    <t>Percent</t>
  </si>
  <si>
    <t>RECORDS</t>
  </si>
  <si>
    <t>Harmony</t>
  </si>
  <si>
    <t>Mandatory</t>
  </si>
  <si>
    <t>Size</t>
  </si>
  <si>
    <t>You can "Submit" partial info and come back to finish later. (As long as each team record is complete.)</t>
  </si>
  <si>
    <t>NOT Adjusted for Forfeits</t>
  </si>
  <si>
    <t>Zebulon</t>
  </si>
  <si>
    <t>Up 3</t>
  </si>
  <si>
    <t>Up 2</t>
  </si>
  <si>
    <t>Up 1</t>
  </si>
  <si>
    <t>NOT Adjusted for Forfeits or ties</t>
  </si>
  <si>
    <t>COPD</t>
  </si>
  <si>
    <t>Comm</t>
  </si>
  <si>
    <t>Diff</t>
  </si>
  <si>
    <t>NOT UPDATED</t>
  </si>
  <si>
    <t>Life Time Athletic Raleigh</t>
  </si>
  <si>
    <t>Brier Creek Country Club</t>
  </si>
  <si>
    <t>Raleigh Racquet Club</t>
  </si>
  <si>
    <t>Rank Justified by HTH result</t>
  </si>
  <si>
    <t>Dn 1</t>
  </si>
  <si>
    <t>Dn 2</t>
  </si>
  <si>
    <t>Dn 3</t>
  </si>
  <si>
    <t>Updated</t>
  </si>
  <si>
    <t>Similar in strength to Glenridge</t>
  </si>
  <si>
    <t>Should be below Brookstone</t>
  </si>
  <si>
    <t>No Common opp with Garner</t>
  </si>
  <si>
    <t>Should be below Highcroft - COPD</t>
  </si>
  <si>
    <t>No Common opp with TCC or Park Village (So stay below)</t>
  </si>
  <si>
    <t>Clubworx has stronger COPD than Amberly</t>
  </si>
  <si>
    <t xml:space="preserve"> Stronger COPD than Lifetime</t>
  </si>
  <si>
    <t>**Any New Teams to be added here…</t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</si>
  <si>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</si>
  <si>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6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</si>
  <si>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</si>
  <si>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</si>
  <si>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</si>
  <si>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</si>
  <si>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</si>
  <si>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4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</si>
  <si>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</si>
  <si>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</si>
  <si>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</si>
  <si>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</si>
  <si>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6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</si>
  <si>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Riverwood</t>
  </si>
  <si>
    <t>BYE</t>
  </si>
  <si>
    <t>South Issue:</t>
  </si>
  <si>
    <t>H Hall must be above The Reserve</t>
  </si>
  <si>
    <t>H Hall should be above DD even though they lost by 18 due to COPD: +203</t>
  </si>
  <si>
    <t>Wellsley should stay above the H Hall based on 54 pt win</t>
  </si>
  <si>
    <t xml:space="preserve">Dutchman </t>
  </si>
  <si>
    <t>Reserve</t>
  </si>
  <si>
    <t>Wellsley should be above DD despite 6pt loss based on COPD of +262</t>
  </si>
  <si>
    <t xml:space="preserve"> UPDATED</t>
  </si>
  <si>
    <t>Holly Glen</t>
  </si>
  <si>
    <t>MacGregor Downs</t>
  </si>
  <si>
    <t>Meet Dates</t>
  </si>
  <si>
    <t>Winner</t>
  </si>
  <si>
    <t>Wscore</t>
  </si>
  <si>
    <t>Loser</t>
  </si>
  <si>
    <t>Lscore</t>
  </si>
  <si>
    <t>Concat1</t>
  </si>
  <si>
    <t>Concat2</t>
  </si>
  <si>
    <t>ScoreDiff</t>
  </si>
  <si>
    <t>LEN</t>
  </si>
  <si>
    <t>Trimmed</t>
  </si>
  <si>
    <t>Review</t>
  </si>
  <si>
    <t>Arbor Creek</t>
  </si>
  <si>
    <t>Brier Creek</t>
  </si>
  <si>
    <t>Lifetime Raleigh</t>
  </si>
  <si>
    <t>Raleigh Racquet</t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</si>
  <si>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</si>
  <si>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SvS</t>
  </si>
  <si>
    <t xml:space="preserve"> </t>
  </si>
  <si>
    <r>
      <t>1</t>
    </r>
    <r>
      <rPr>
        <sz val="10"/>
        <color theme="1"/>
        <rFont val="'Arial','Verdana','sans-serif'"/>
      </rPr>
      <t xml:space="preserve"> / 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</si>
  <si>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</si>
  <si>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 xml:space="preserve"> / 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</si>
  <si>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</si>
  <si>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</si>
  <si>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</si>
  <si>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</si>
  <si>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v1.0</t>
  </si>
  <si>
    <t>Requested and received "Dataclips" from SwimTopia</t>
  </si>
  <si>
    <t>12 Oaks Summer Swim Team</t>
  </si>
  <si>
    <t>Cary Swim Club Swim Team</t>
  </si>
  <si>
    <t>Durant Trails Typhoons Swim Team</t>
  </si>
  <si>
    <t>Brighton Forest Silver Fins</t>
  </si>
  <si>
    <t>Banbury Woods Dolphins</t>
  </si>
  <si>
    <t>Hedingham Sharks Swim Team</t>
  </si>
  <si>
    <t>Hawthorne Stingrays</t>
  </si>
  <si>
    <t>Heritage Swim Team Association, Inc.</t>
  </si>
  <si>
    <t>JCC J-Rays</t>
  </si>
  <si>
    <t>LifeTime Raleigh</t>
  </si>
  <si>
    <t>SummerfieldNorth</t>
  </si>
  <si>
    <t>Scottish Hills Sea Lions</t>
  </si>
  <si>
    <t>Southall Swim &amp; Racquet Club</t>
  </si>
  <si>
    <t>Lochmere Swim Team</t>
  </si>
  <si>
    <t>WoodCreek WhiteCaps</t>
  </si>
  <si>
    <t>Wendell Waves</t>
  </si>
  <si>
    <t>CT Sharks</t>
  </si>
  <si>
    <t>Silverton Sharks</t>
  </si>
  <si>
    <t>Highcroft Hurricanes Swim Team</t>
  </si>
  <si>
    <t>Brookstone Barracudas</t>
  </si>
  <si>
    <t>Planters Walk Piranhas Swim Team</t>
  </si>
  <si>
    <t>Zebulon Swim Team</t>
  </si>
  <si>
    <t>Copy columns from SwimTopia Dataclips to "Results" worksheet</t>
  </si>
  <si>
    <t>=</t>
  </si>
  <si>
    <t>SOUTH</t>
  </si>
  <si>
    <t>NORTH</t>
  </si>
  <si>
    <t>Delete numbers in "South" and "North" worksheets in Column A (next season proposed rank)</t>
  </si>
  <si>
    <t>In "South Standings" and "North Standings" worksheets, update name to reflect season that just ended</t>
  </si>
  <si>
    <t>In "South Standings" and "North Standings" worksheets, delete colored in-division and overall records, replace with new ones to math values in grey columns</t>
  </si>
  <si>
    <r>
      <rPr>
        <sz val="10"/>
        <color rgb="FF92D05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</si>
  <si>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1 / </t>
    </r>
    <r>
      <rPr>
        <sz val="10"/>
        <color rgb="FFFFA500"/>
        <rFont val="'Arial','Verdana','sans-serif'"/>
      </rPr>
      <t>0</t>
    </r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</si>
  <si>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</si>
  <si>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1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</si>
  <si>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</si>
  <si>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</si>
  <si>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3 / 1 / </t>
    </r>
    <r>
      <rPr>
        <sz val="10"/>
        <color rgb="FFFFA500"/>
        <rFont val="'Arial','Verdana','sans-serif'"/>
      </rPr>
      <t>0</t>
    </r>
  </si>
  <si>
    <t>2024 in-division</t>
  </si>
  <si>
    <t>2024 overall</t>
  </si>
  <si>
    <t>Cary Park Sea Dragons</t>
  </si>
  <si>
    <t>Abbington Alligators</t>
  </si>
  <si>
    <t>Apex Breakers Swim Team</t>
  </si>
  <si>
    <t>OliveChapel Swim</t>
  </si>
  <si>
    <t>Shepherd's Vineyard Killer Whales</t>
  </si>
  <si>
    <t>Dutchman Downs Dolphins</t>
  </si>
  <si>
    <t>Weatherstone Sharks</t>
  </si>
  <si>
    <t>Preston Village Tiger Sharks</t>
  </si>
  <si>
    <t>Regency Riptides Swim Team</t>
  </si>
  <si>
    <t>Clubworx Sharks</t>
  </si>
  <si>
    <t>Scotts Mill Sea Dragons</t>
  </si>
  <si>
    <t>Haddon Hall Hammerheads</t>
  </si>
  <si>
    <t>Bella Casa Barracudas</t>
  </si>
  <si>
    <t>The Reserve Stingrays</t>
  </si>
  <si>
    <t>Life Time Cary</t>
  </si>
  <si>
    <t>Carpenter Village Hammerheads</t>
  </si>
  <si>
    <t>Holly Glen Hammerheads Swim Team</t>
  </si>
  <si>
    <t>Park @ West Lake</t>
  </si>
  <si>
    <t>Kildaire Farms Killer Whales</t>
  </si>
  <si>
    <t>The Christian Co</t>
  </si>
  <si>
    <t>Kitts Creek Killer Whales</t>
  </si>
  <si>
    <t>Glenridge Gators</t>
  </si>
  <si>
    <t>Charleston Village Crocodiles</t>
  </si>
  <si>
    <t>Bentwinds Barracudas</t>
  </si>
  <si>
    <t>Eagle Ridge Soaring Eagles</t>
  </si>
  <si>
    <t>Devereaux Devil Rays</t>
  </si>
  <si>
    <t>Garner Dolphins</t>
  </si>
  <si>
    <t>Arbor Creek Swim Club</t>
  </si>
  <si>
    <t>RenPark Rays</t>
  </si>
  <si>
    <t>North Hills Club</t>
  </si>
  <si>
    <t>Greystone Gators</t>
  </si>
  <si>
    <t>Granite Falls Gators</t>
  </si>
  <si>
    <t>Bedford at Falls River Sharks Swim Team</t>
  </si>
  <si>
    <t>Northbrook Club</t>
  </si>
  <si>
    <t>Quail Hollow Amberjacks</t>
  </si>
  <si>
    <t>Riverwood Rays</t>
  </si>
  <si>
    <t>Greenway Club Racers Swim Team</t>
  </si>
  <si>
    <t>Stonebridge Stingrays</t>
  </si>
  <si>
    <t>Hasentree Hammerheads</t>
  </si>
  <si>
    <t>Lakepark Swim Team</t>
  </si>
  <si>
    <t>Before printing, make sure to check headers to show the correct year and league</t>
  </si>
  <si>
    <t>Average Rank change:</t>
  </si>
  <si>
    <t>SOUTH  -  UPDATED for 2025</t>
  </si>
  <si>
    <t>Breckenridge</t>
  </si>
  <si>
    <t>Sweetwater</t>
  </si>
  <si>
    <t>NORTH  -  UPDATED for 2025</t>
  </si>
  <si>
    <r>
      <t>4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</si>
  <si>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</si>
  <si>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IN-DIVISION</t>
  </si>
  <si>
    <t>OVERALL</t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</si>
  <si>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1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</si>
  <si>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1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</si>
  <si>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</si>
  <si>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</si>
  <si>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0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</si>
  <si>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</si>
  <si>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</si>
  <si>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</si>
  <si>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</si>
  <si>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</si>
  <si>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4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</si>
  <si>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</si>
  <si>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</si>
  <si>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Copied "2024 Dual Meet Summary v.3.1 - MINUS 12 OAKS", renamed "2025 Dual Meet Summary v.1.0"</t>
  </si>
  <si>
    <t>Changed dates to 2026/2025.</t>
  </si>
  <si>
    <t>2025-06-10</t>
  </si>
  <si>
    <t>2025-06-17</t>
  </si>
  <si>
    <t>2025-06-24</t>
  </si>
  <si>
    <t>2025-07-01</t>
  </si>
  <si>
    <t>2025-07-08</t>
  </si>
  <si>
    <t>2025-07-15</t>
  </si>
  <si>
    <t>In "South" worksheet, updated cells to change dates automatically on all worksheets</t>
  </si>
  <si>
    <t>**NOTE:  Left TSA prior to start of 2025 season</t>
  </si>
  <si>
    <t>Medfield Sharks</t>
  </si>
  <si>
    <t>Sweetwater Sailfish</t>
  </si>
  <si>
    <t>**NOTE:  Joined TSA as an exhibition team for 2025.  Full member for 2026</t>
  </si>
  <si>
    <t>2025-06-30</t>
  </si>
  <si>
    <t>In "Results" worksheet, updated column A "Meet Dates" to reflect 2025 Dual Meet dates</t>
  </si>
  <si>
    <t>Formatted "Dataclips" file by correcting team names from Swimtopia format to TSA format.  Team names as reported by ST have to be in same format as TSA L&amp;S spreadsheet (find &amp; replace):</t>
  </si>
  <si>
    <t>Print copies of "North" and "South" to PDF.  Combine into one document.  Send to TSA reps to check for accuracy.  Try to do this by mid-August to give enough time for next step.</t>
  </si>
  <si>
    <t>v2.0</t>
  </si>
  <si>
    <t>Once any corrections have been made, copy document and create a "v2.0" version for the October Rankings meeting.</t>
  </si>
  <si>
    <t>Copy v1.0 and create v2.0 version</t>
  </si>
  <si>
    <t>Highlight division winner names in green and division loser names in red</t>
  </si>
  <si>
    <t>If there are new or departing teams, and the number of teams in the League changes, restructure the Divisions.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</si>
</sst>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%"/>
    <numFmt numFmtId="167" formatCode="0.000%"/>
  </numFmts>
  <fonts count="4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2"/>
      <color rgb="FF0070C0"/>
      <name val="'Arial','Verdana','sans-serif'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2"/>
      <name val="Arial"/>
      <family val="2"/>
    </font>
    <font>
      <sz val="8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6"/>
      <color rgb="FFFF0000"/>
      <name val="Calibri"/>
      <family val="2"/>
      <scheme val="minor"/>
    </font>
    <font>
      <sz val="8"/>
      <color theme="0" tint="-0.14999847407452621"/>
      <name val="Arial"/>
      <family val="2"/>
    </font>
    <font>
      <sz val="16"/>
      <color theme="4" tint="-0.249977111117893"/>
      <name val="Calibri"/>
      <family val="2"/>
      <scheme val="minor"/>
    </font>
    <font>
      <sz val="10"/>
      <color theme="1"/>
      <name val="'Arial','Verdana','sans-serif'"/>
    </font>
    <font>
      <sz val="10"/>
      <color rgb="FF0000FF"/>
      <name val="'Arial','Verdana','sans-serif'"/>
    </font>
    <font>
      <sz val="10"/>
      <color rgb="FF008000"/>
      <name val="'Arial','Verdana','sans-serif'"/>
    </font>
    <font>
      <sz val="10"/>
      <color rgb="FFFF0000"/>
      <name val="'Arial','Verdana','sans-serif'"/>
    </font>
    <font>
      <sz val="10"/>
      <color rgb="FFFFA500"/>
      <name val="'Arial','Verdana','sans-serif'"/>
    </font>
    <font>
      <sz val="10"/>
      <color rgb="FF0070C0"/>
      <name val="'Arial','Verdana','sans-serif'"/>
    </font>
    <font>
      <b/>
      <u/>
      <sz val="11"/>
      <color theme="1"/>
      <name val="Calibri"/>
      <family val="2"/>
      <scheme val="minor"/>
    </font>
    <font>
      <sz val="10"/>
      <color rgb="FF92D050"/>
      <name val="'Arial','Verdana','sans-serif'"/>
    </font>
    <font>
      <b/>
      <i/>
      <sz val="10"/>
      <color rgb="FF00B050"/>
      <name val="Arial"/>
      <family val="2"/>
    </font>
    <font>
      <b/>
      <i/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</cellStyleXfs>
  <cellXfs count="174">
    <xf numFmtId="0" fontId="0" fillId="0" borderId="0" xfId="0"/>
    <xf numFmtId="0" fontId="2" fillId="0" borderId="0" xfId="1" applyAlignment="1">
      <alignment horizontal="center" textRotation="90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textRotation="90"/>
    </xf>
    <xf numFmtId="0" fontId="5" fillId="0" borderId="0" xfId="1" applyFont="1" applyAlignment="1">
      <alignment horizontal="center" textRotation="90"/>
    </xf>
    <xf numFmtId="0" fontId="2" fillId="0" borderId="0" xfId="1" applyAlignment="1">
      <alignment horizontal="center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center"/>
    </xf>
    <xf numFmtId="0" fontId="2" fillId="0" borderId="0" xfId="1"/>
    <xf numFmtId="0" fontId="6" fillId="0" borderId="0" xfId="1" applyFont="1" applyAlignment="1">
      <alignment horizontal="center"/>
    </xf>
    <xf numFmtId="0" fontId="5" fillId="0" borderId="0" xfId="1" applyFont="1"/>
    <xf numFmtId="0" fontId="3" fillId="0" borderId="1" xfId="1" applyFont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0" borderId="0" xfId="1" applyFont="1"/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10" xfId="1" applyFont="1" applyBorder="1"/>
    <xf numFmtId="0" fontId="3" fillId="0" borderId="3" xfId="1" applyFont="1" applyBorder="1"/>
    <xf numFmtId="0" fontId="2" fillId="0" borderId="0" xfId="1" applyAlignment="1">
      <alignment horizontal="center" vertical="top"/>
    </xf>
    <xf numFmtId="0" fontId="12" fillId="0" borderId="0" xfId="0" applyFont="1"/>
    <xf numFmtId="0" fontId="0" fillId="0" borderId="0" xfId="0" quotePrefix="1"/>
    <xf numFmtId="0" fontId="5" fillId="0" borderId="0" xfId="1" applyFont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1" quotePrefix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4" xfId="1" applyFont="1" applyBorder="1"/>
    <xf numFmtId="0" fontId="3" fillId="0" borderId="6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9" xfId="1" applyFont="1" applyBorder="1"/>
    <xf numFmtId="17" fontId="3" fillId="0" borderId="0" xfId="1" applyNumberFormat="1" applyFont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164" fontId="3" fillId="0" borderId="0" xfId="2" applyNumberFormat="1" applyFont="1" applyAlignment="1">
      <alignment horizontal="center" textRotation="90"/>
    </xf>
    <xf numFmtId="164" fontId="2" fillId="0" borderId="0" xfId="2" applyNumberFormat="1" applyFont="1"/>
    <xf numFmtId="164" fontId="3" fillId="0" borderId="0" xfId="2" applyNumberFormat="1" applyFont="1" applyFill="1"/>
    <xf numFmtId="164" fontId="3" fillId="0" borderId="0" xfId="2" applyNumberFormat="1" applyFont="1"/>
    <xf numFmtId="165" fontId="3" fillId="0" borderId="0" xfId="2" applyNumberFormat="1" applyFont="1" applyAlignment="1">
      <alignment horizontal="center"/>
    </xf>
    <xf numFmtId="0" fontId="2" fillId="0" borderId="0" xfId="1" applyAlignment="1">
      <alignment textRotation="90"/>
    </xf>
    <xf numFmtId="9" fontId="2" fillId="0" borderId="0" xfId="3" applyFont="1" applyAlignment="1"/>
    <xf numFmtId="166" fontId="3" fillId="0" borderId="0" xfId="3" applyNumberFormat="1" applyFont="1" applyAlignment="1">
      <alignment horizontal="center"/>
    </xf>
    <xf numFmtId="0" fontId="10" fillId="0" borderId="0" xfId="1" applyFont="1" applyAlignment="1">
      <alignment horizontal="left"/>
    </xf>
    <xf numFmtId="0" fontId="3" fillId="5" borderId="14" xfId="1" applyFont="1" applyFill="1" applyBorder="1" applyAlignment="1">
      <alignment horizontal="center"/>
    </xf>
    <xf numFmtId="166" fontId="2" fillId="0" borderId="0" xfId="3" applyNumberFormat="1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0" borderId="0" xfId="1" applyFont="1" applyAlignment="1">
      <alignment horizontal="center"/>
    </xf>
    <xf numFmtId="0" fontId="19" fillId="0" borderId="0" xfId="0" applyFont="1"/>
    <xf numFmtId="0" fontId="13" fillId="0" borderId="0" xfId="0" applyFont="1"/>
    <xf numFmtId="0" fontId="20" fillId="0" borderId="0" xfId="0" applyFont="1"/>
    <xf numFmtId="0" fontId="21" fillId="0" borderId="0" xfId="0" applyFont="1"/>
    <xf numFmtId="0" fontId="3" fillId="0" borderId="2" xfId="1" applyFont="1" applyBorder="1" applyAlignment="1">
      <alignment horizontal="center"/>
    </xf>
    <xf numFmtId="0" fontId="3" fillId="0" borderId="6" xfId="1" applyFont="1" applyBorder="1"/>
    <xf numFmtId="0" fontId="3" fillId="0" borderId="8" xfId="1" applyFont="1" applyBorder="1"/>
    <xf numFmtId="0" fontId="22" fillId="0" borderId="0" xfId="1" applyFont="1" applyAlignment="1">
      <alignment horizontal="center"/>
    </xf>
    <xf numFmtId="165" fontId="23" fillId="0" borderId="0" xfId="2" applyNumberFormat="1" applyFont="1" applyFill="1" applyAlignment="1">
      <alignment horizontal="center" textRotation="90"/>
    </xf>
    <xf numFmtId="165" fontId="3" fillId="0" borderId="0" xfId="2" applyNumberFormat="1" applyFont="1" applyFill="1"/>
    <xf numFmtId="165" fontId="3" fillId="0" borderId="0" xfId="2" applyNumberFormat="1" applyFont="1"/>
    <xf numFmtId="166" fontId="24" fillId="0" borderId="0" xfId="3" applyNumberFormat="1" applyFont="1" applyAlignment="1">
      <alignment horizontal="center"/>
    </xf>
    <xf numFmtId="0" fontId="1" fillId="0" borderId="0" xfId="4"/>
    <xf numFmtId="0" fontId="27" fillId="0" borderId="0" xfId="4" applyFont="1" applyAlignment="1">
      <alignment horizontal="center"/>
    </xf>
    <xf numFmtId="0" fontId="1" fillId="7" borderId="0" xfId="4" applyFill="1"/>
    <xf numFmtId="0" fontId="1" fillId="8" borderId="0" xfId="4" applyFill="1"/>
    <xf numFmtId="0" fontId="1" fillId="9" borderId="0" xfId="4" applyFill="1"/>
    <xf numFmtId="0" fontId="27" fillId="10" borderId="0" xfId="4" applyFont="1" applyFill="1" applyAlignment="1">
      <alignment horizontal="center"/>
    </xf>
    <xf numFmtId="0" fontId="1" fillId="10" borderId="0" xfId="4" applyFill="1"/>
    <xf numFmtId="0" fontId="27" fillId="6" borderId="0" xfId="4" applyFont="1" applyFill="1" applyAlignment="1">
      <alignment horizontal="center"/>
    </xf>
    <xf numFmtId="0" fontId="1" fillId="6" borderId="0" xfId="4" applyFill="1"/>
    <xf numFmtId="0" fontId="27" fillId="11" borderId="0" xfId="4" applyFont="1" applyFill="1" applyAlignment="1">
      <alignment horizontal="center"/>
    </xf>
    <xf numFmtId="0" fontId="1" fillId="11" borderId="0" xfId="4" applyFill="1"/>
    <xf numFmtId="0" fontId="27" fillId="7" borderId="0" xfId="4" applyFont="1" applyFill="1" applyAlignment="1">
      <alignment horizontal="center"/>
    </xf>
    <xf numFmtId="0" fontId="27" fillId="8" borderId="0" xfId="4" applyFont="1" applyFill="1" applyAlignment="1">
      <alignment horizontal="center"/>
    </xf>
    <xf numFmtId="0" fontId="27" fillId="9" borderId="0" xfId="4" applyFont="1" applyFill="1" applyAlignment="1">
      <alignment horizontal="center"/>
    </xf>
    <xf numFmtId="0" fontId="27" fillId="0" borderId="0" xfId="4" applyFont="1"/>
    <xf numFmtId="0" fontId="27" fillId="7" borderId="0" xfId="4" applyFont="1" applyFill="1" applyAlignment="1">
      <alignment horizontal="right"/>
    </xf>
    <xf numFmtId="0" fontId="27" fillId="8" borderId="0" xfId="4" applyFont="1" applyFill="1" applyAlignment="1">
      <alignment horizontal="right"/>
    </xf>
    <xf numFmtId="0" fontId="27" fillId="9" borderId="0" xfId="4" applyFont="1" applyFill="1" applyAlignment="1">
      <alignment horizontal="right"/>
    </xf>
    <xf numFmtId="0" fontId="27" fillId="10" borderId="0" xfId="4" applyFont="1" applyFill="1" applyAlignment="1">
      <alignment horizontal="right"/>
    </xf>
    <xf numFmtId="0" fontId="27" fillId="6" borderId="0" xfId="4" applyFont="1" applyFill="1" applyAlignment="1">
      <alignment horizontal="right"/>
    </xf>
    <xf numFmtId="0" fontId="27" fillId="11" borderId="0" xfId="4" applyFont="1" applyFill="1" applyAlignment="1">
      <alignment horizontal="right"/>
    </xf>
    <xf numFmtId="0" fontId="27" fillId="7" borderId="15" xfId="4" applyFont="1" applyFill="1" applyBorder="1" applyAlignment="1">
      <alignment horizontal="center"/>
    </xf>
    <xf numFmtId="0" fontId="27" fillId="7" borderId="15" xfId="4" applyFont="1" applyFill="1" applyBorder="1" applyAlignment="1">
      <alignment horizontal="right"/>
    </xf>
    <xf numFmtId="0" fontId="27" fillId="8" borderId="15" xfId="4" applyFont="1" applyFill="1" applyBorder="1" applyAlignment="1">
      <alignment horizontal="center"/>
    </xf>
    <xf numFmtId="0" fontId="27" fillId="8" borderId="15" xfId="4" applyFont="1" applyFill="1" applyBorder="1" applyAlignment="1">
      <alignment horizontal="right"/>
    </xf>
    <xf numFmtId="0" fontId="27" fillId="9" borderId="15" xfId="4" applyFont="1" applyFill="1" applyBorder="1" applyAlignment="1">
      <alignment horizontal="center"/>
    </xf>
    <xf numFmtId="0" fontId="27" fillId="9" borderId="15" xfId="4" applyFont="1" applyFill="1" applyBorder="1" applyAlignment="1">
      <alignment horizontal="right"/>
    </xf>
    <xf numFmtId="0" fontId="27" fillId="10" borderId="15" xfId="4" applyFont="1" applyFill="1" applyBorder="1" applyAlignment="1">
      <alignment horizontal="center"/>
    </xf>
    <xf numFmtId="0" fontId="27" fillId="10" borderId="15" xfId="4" applyFont="1" applyFill="1" applyBorder="1" applyAlignment="1">
      <alignment horizontal="right"/>
    </xf>
    <xf numFmtId="0" fontId="27" fillId="6" borderId="15" xfId="4" applyFont="1" applyFill="1" applyBorder="1" applyAlignment="1">
      <alignment horizontal="center"/>
    </xf>
    <xf numFmtId="0" fontId="27" fillId="6" borderId="15" xfId="4" applyFont="1" applyFill="1" applyBorder="1" applyAlignment="1">
      <alignment horizontal="right"/>
    </xf>
    <xf numFmtId="0" fontId="27" fillId="11" borderId="15" xfId="4" applyFont="1" applyFill="1" applyBorder="1" applyAlignment="1">
      <alignment horizontal="center"/>
    </xf>
    <xf numFmtId="0" fontId="27" fillId="11" borderId="15" xfId="4" applyFont="1" applyFill="1" applyBorder="1" applyAlignment="1">
      <alignment horizontal="right"/>
    </xf>
    <xf numFmtId="0" fontId="1" fillId="11" borderId="0" xfId="4" applyFill="1" applyAlignment="1">
      <alignment horizontal="left"/>
    </xf>
    <xf numFmtId="0" fontId="1" fillId="6" borderId="0" xfId="4" applyFill="1" applyAlignment="1">
      <alignment horizontal="left"/>
    </xf>
    <xf numFmtId="0" fontId="1" fillId="10" borderId="0" xfId="4" applyFill="1" applyAlignment="1">
      <alignment horizontal="left"/>
    </xf>
    <xf numFmtId="0" fontId="1" fillId="9" borderId="0" xfId="4" applyFill="1" applyAlignment="1">
      <alignment horizontal="left"/>
    </xf>
    <xf numFmtId="0" fontId="1" fillId="8" borderId="0" xfId="4" applyFill="1" applyAlignment="1">
      <alignment horizontal="left"/>
    </xf>
    <xf numFmtId="0" fontId="1" fillId="7" borderId="0" xfId="4" applyFill="1" applyAlignment="1">
      <alignment horizontal="left"/>
    </xf>
    <xf numFmtId="0" fontId="27" fillId="4" borderId="0" xfId="4" applyFont="1" applyFill="1" applyAlignment="1">
      <alignment horizontal="center"/>
    </xf>
    <xf numFmtId="166" fontId="10" fillId="0" borderId="0" xfId="1" applyNumberFormat="1" applyFont="1" applyAlignment="1">
      <alignment horizontal="center" vertical="center" textRotation="90"/>
    </xf>
    <xf numFmtId="0" fontId="2" fillId="12" borderId="0" xfId="1" applyFill="1" applyAlignment="1">
      <alignment horizontal="center"/>
    </xf>
    <xf numFmtId="0" fontId="3" fillId="12" borderId="0" xfId="1" applyFont="1" applyFill="1" applyAlignment="1">
      <alignment horizontal="center"/>
    </xf>
    <xf numFmtId="0" fontId="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" fillId="0" borderId="5" xfId="1" applyFont="1" applyBorder="1"/>
    <xf numFmtId="0" fontId="3" fillId="0" borderId="7" xfId="1" applyFont="1" applyBorder="1"/>
    <xf numFmtId="0" fontId="30" fillId="0" borderId="0" xfId="0" applyFont="1" applyAlignment="1">
      <alignment horizontal="left" vertical="center"/>
    </xf>
    <xf numFmtId="0" fontId="0" fillId="14" borderId="0" xfId="0" applyFill="1"/>
    <xf numFmtId="0" fontId="16" fillId="14" borderId="0" xfId="0" applyFont="1" applyFill="1" applyAlignment="1">
      <alignment horizontal="center" vertical="center"/>
    </xf>
    <xf numFmtId="0" fontId="28" fillId="0" borderId="0" xfId="0" applyFont="1" applyAlignment="1">
      <alignment horizontal="left"/>
    </xf>
    <xf numFmtId="0" fontId="2" fillId="0" borderId="0" xfId="1" quotePrefix="1" applyAlignment="1">
      <alignment horizontal="center"/>
    </xf>
    <xf numFmtId="0" fontId="0" fillId="15" borderId="0" xfId="0" applyFill="1"/>
    <xf numFmtId="0" fontId="10" fillId="0" borderId="0" xfId="1" applyFont="1"/>
    <xf numFmtId="0" fontId="33" fillId="2" borderId="0" xfId="0" applyFont="1" applyFill="1" applyAlignment="1">
      <alignment horizontal="center" vertical="center" wrapText="1"/>
    </xf>
    <xf numFmtId="49" fontId="0" fillId="0" borderId="0" xfId="0" applyNumberFormat="1"/>
    <xf numFmtId="166" fontId="3" fillId="16" borderId="0" xfId="1" applyNumberFormat="1" applyFont="1" applyFill="1" applyAlignment="1">
      <alignment horizontal="center"/>
    </xf>
    <xf numFmtId="0" fontId="3" fillId="16" borderId="0" xfId="1" applyFont="1" applyFill="1" applyAlignment="1">
      <alignment horizontal="center" textRotation="90"/>
    </xf>
    <xf numFmtId="0" fontId="3" fillId="16" borderId="0" xfId="1" applyFont="1" applyFill="1" applyAlignment="1">
      <alignment horizontal="center"/>
    </xf>
    <xf numFmtId="167" fontId="29" fillId="16" borderId="0" xfId="1" applyNumberFormat="1" applyFont="1" applyFill="1" applyAlignment="1">
      <alignment horizontal="center"/>
    </xf>
    <xf numFmtId="0" fontId="2" fillId="16" borderId="0" xfId="1" applyFill="1" applyAlignment="1">
      <alignment horizontal="center" textRotation="90"/>
    </xf>
    <xf numFmtId="0" fontId="7" fillId="16" borderId="0" xfId="1" applyFont="1" applyFill="1" applyAlignment="1">
      <alignment horizontal="center" textRotation="90"/>
    </xf>
    <xf numFmtId="0" fontId="37" fillId="0" borderId="0" xfId="0" applyFont="1"/>
    <xf numFmtId="1" fontId="3" fillId="0" borderId="0" xfId="1" applyNumberFormat="1" applyFont="1" applyAlignment="1">
      <alignment horizontal="center"/>
    </xf>
    <xf numFmtId="0" fontId="5" fillId="12" borderId="0" xfId="1" applyFont="1" applyFill="1"/>
    <xf numFmtId="0" fontId="3" fillId="4" borderId="0" xfId="0" applyFont="1" applyFill="1" applyAlignment="1">
      <alignment horizontal="center"/>
    </xf>
    <xf numFmtId="0" fontId="0" fillId="0" borderId="15" xfId="0" applyBorder="1"/>
    <xf numFmtId="0" fontId="11" fillId="2" borderId="14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0" fillId="0" borderId="14" xfId="0" applyBorder="1"/>
    <xf numFmtId="0" fontId="39" fillId="0" borderId="0" xfId="1" applyFont="1"/>
    <xf numFmtId="0" fontId="39" fillId="12" borderId="0" xfId="1" applyFont="1" applyFill="1"/>
    <xf numFmtId="0" fontId="39" fillId="0" borderId="0" xfId="1" applyFont="1" applyAlignment="1">
      <alignment horizontal="left"/>
    </xf>
    <xf numFmtId="0" fontId="40" fillId="0" borderId="0" xfId="1" applyFont="1" applyAlignment="1">
      <alignment horizontal="left"/>
    </xf>
    <xf numFmtId="0" fontId="40" fillId="0" borderId="0" xfId="1" applyFont="1"/>
    <xf numFmtId="0" fontId="40" fillId="0" borderId="0" xfId="0" applyFont="1" applyAlignment="1">
      <alignment horizontal="left" vertical="top"/>
    </xf>
    <xf numFmtId="0" fontId="39" fillId="0" borderId="0" xfId="0" applyFont="1"/>
    <xf numFmtId="0" fontId="40" fillId="12" borderId="0" xfId="1" applyFont="1" applyFill="1"/>
    <xf numFmtId="0" fontId="40" fillId="0" borderId="0" xfId="0" applyFont="1"/>
    <xf numFmtId="0" fontId="4" fillId="0" borderId="11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15" fillId="13" borderId="11" xfId="1" applyFont="1" applyFill="1" applyBorder="1" applyAlignment="1">
      <alignment horizontal="center"/>
    </xf>
    <xf numFmtId="0" fontId="15" fillId="13" borderId="12" xfId="1" applyFont="1" applyFill="1" applyBorder="1" applyAlignment="1">
      <alignment horizontal="center"/>
    </xf>
    <xf numFmtId="0" fontId="15" fillId="13" borderId="13" xfId="1" applyFont="1" applyFill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0" borderId="15" xfId="1" quotePrefix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5">
    <cellStyle name="Comma" xfId="2" builtinId="3"/>
    <cellStyle name="Normal" xfId="0" builtinId="0"/>
    <cellStyle name="Normal 2" xfId="1" xr:uid="{00000000-0005-0000-0000-000003000000}"/>
    <cellStyle name="Normal 3" xfId="4" xr:uid="{00000000-0005-0000-0000-000004000000}"/>
    <cellStyle name="Percent" xfId="3" builtinId="5"/>
  </cellStyles>
  <dxfs count="23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ont>
        <condense val="0"/>
        <extend val="0"/>
        <color auto="1"/>
      </font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indexed="1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indexed="1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FFFF99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B76F280-BAA6-45F4-8B53-B376E3B42C68}" type="doc">
      <dgm:prSet loTypeId="urn:microsoft.com/office/officeart/2005/8/layout/cycle1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3D2943-8662-47A5-85F1-A96F5EF022BA}">
      <dgm:prSet phldrT="[Text]" custT="1"/>
      <dgm:spPr/>
      <dgm:t>
        <a:bodyPr/>
        <a:lstStyle/>
        <a:p>
          <a:r>
            <a:rPr lang="en-US" sz="2000"/>
            <a:t>JCC </a:t>
          </a:r>
          <a:r>
            <a:rPr lang="en-US" sz="2000">
              <a:solidFill>
                <a:srgbClr val="FF0000"/>
              </a:solidFill>
            </a:rPr>
            <a:t>(+14)</a:t>
          </a:r>
        </a:p>
        <a:p>
          <a:r>
            <a:rPr lang="en-US" sz="1100"/>
            <a:t>COPD: JCC +49 over Oak Park</a:t>
          </a:r>
        </a:p>
      </dgm:t>
    </dgm:pt>
    <dgm:pt modelId="{A2BF8594-09D9-46EF-AAD1-27EBE708F62E}" type="parTrans" cxnId="{E9CCA513-95AE-4579-B93D-0D4B57316960}">
      <dgm:prSet/>
      <dgm:spPr/>
      <dgm:t>
        <a:bodyPr/>
        <a:lstStyle/>
        <a:p>
          <a:endParaRPr lang="en-US"/>
        </a:p>
      </dgm:t>
    </dgm:pt>
    <dgm:pt modelId="{D4267235-E695-4FD9-8194-0E739D2BF524}" type="sibTrans" cxnId="{E9CCA513-95AE-4579-B93D-0D4B57316960}">
      <dgm:prSet/>
      <dgm:spPr/>
      <dgm:t>
        <a:bodyPr/>
        <a:lstStyle/>
        <a:p>
          <a:endParaRPr lang="en-US"/>
        </a:p>
      </dgm:t>
    </dgm:pt>
    <dgm:pt modelId="{0E40CD4C-3C1D-4C80-AD25-52EC8EDBBD5D}">
      <dgm:prSet phldrT="[Text]" custT="1"/>
      <dgm:spPr/>
      <dgm:t>
        <a:bodyPr/>
        <a:lstStyle/>
        <a:p>
          <a:r>
            <a:rPr lang="en-US" sz="2000"/>
            <a:t>Oak Park (+23)</a:t>
          </a:r>
        </a:p>
        <a:p>
          <a:r>
            <a:rPr lang="en-US" sz="1200"/>
            <a:t>COPD: Oak Park </a:t>
          </a:r>
          <a:r>
            <a:rPr lang="en-US" sz="1200">
              <a:solidFill>
                <a:srgbClr val="FF0000"/>
              </a:solidFill>
            </a:rPr>
            <a:t>+7.4 </a:t>
          </a:r>
          <a:r>
            <a:rPr lang="en-US" sz="1200"/>
            <a:t>over Crab</a:t>
          </a:r>
        </a:p>
      </dgm:t>
    </dgm:pt>
    <dgm:pt modelId="{42BA0107-2389-4ADF-944C-0E30F99677D2}" type="sibTrans" cxnId="{9A5AE8FC-9707-4EC1-B78B-1CAB775F85B3}">
      <dgm:prSet/>
      <dgm:spPr/>
      <dgm:t>
        <a:bodyPr/>
        <a:lstStyle/>
        <a:p>
          <a:endParaRPr lang="en-US"/>
        </a:p>
      </dgm:t>
    </dgm:pt>
    <dgm:pt modelId="{2C52D273-10DA-412F-A5BD-E3D94C140B91}" type="parTrans" cxnId="{9A5AE8FC-9707-4EC1-B78B-1CAB775F85B3}">
      <dgm:prSet/>
      <dgm:spPr/>
      <dgm:t>
        <a:bodyPr/>
        <a:lstStyle/>
        <a:p>
          <a:endParaRPr lang="en-US"/>
        </a:p>
      </dgm:t>
    </dgm:pt>
    <dgm:pt modelId="{5C2DF603-61D2-4666-9CD4-5F4401CF4924}">
      <dgm:prSet phldrT="[Text]" custT="1"/>
      <dgm:spPr/>
      <dgm:t>
        <a:bodyPr/>
        <a:lstStyle/>
        <a:p>
          <a:r>
            <a:rPr lang="en-US" sz="2000"/>
            <a:t>Crabtree (+37)</a:t>
          </a:r>
        </a:p>
        <a:p>
          <a:r>
            <a:rPr lang="en-US" sz="1200"/>
            <a:t>COPD: Crab +135.6 over JCC</a:t>
          </a:r>
        </a:p>
      </dgm:t>
    </dgm:pt>
    <dgm:pt modelId="{F59494BD-D1E4-4F40-AA7A-C2561AF22DC5}" type="sibTrans" cxnId="{B428F0DA-4F78-4E88-B000-FE8C3B0B1D83}">
      <dgm:prSet/>
      <dgm:spPr/>
      <dgm:t>
        <a:bodyPr/>
        <a:lstStyle/>
        <a:p>
          <a:endParaRPr lang="en-US"/>
        </a:p>
      </dgm:t>
    </dgm:pt>
    <dgm:pt modelId="{587D8EB4-33AD-43A4-AE09-8B55F72A14D5}" type="parTrans" cxnId="{B428F0DA-4F78-4E88-B000-FE8C3B0B1D83}">
      <dgm:prSet/>
      <dgm:spPr/>
      <dgm:t>
        <a:bodyPr/>
        <a:lstStyle/>
        <a:p>
          <a:endParaRPr lang="en-US"/>
        </a:p>
      </dgm:t>
    </dgm:pt>
    <dgm:pt modelId="{2C912B3B-C24F-406E-96F3-D6B51222D6F8}" type="pres">
      <dgm:prSet presAssocID="{6B76F280-BAA6-45F4-8B53-B376E3B42C68}" presName="cycle" presStyleCnt="0">
        <dgm:presLayoutVars>
          <dgm:dir/>
          <dgm:resizeHandles val="exact"/>
        </dgm:presLayoutVars>
      </dgm:prSet>
      <dgm:spPr/>
    </dgm:pt>
    <dgm:pt modelId="{0BA3F836-8ADE-4AF6-8A5A-083485F3A79C}" type="pres">
      <dgm:prSet presAssocID="{703D2943-8662-47A5-85F1-A96F5EF022BA}" presName="dummy" presStyleCnt="0"/>
      <dgm:spPr/>
    </dgm:pt>
    <dgm:pt modelId="{50EA55C8-4626-4D97-82E9-289295A74861}" type="pres">
      <dgm:prSet presAssocID="{703D2943-8662-47A5-85F1-A96F5EF022BA}" presName="node" presStyleLbl="revTx" presStyleIdx="0" presStyleCnt="3" custRadScaleRad="98674" custRadScaleInc="31676">
        <dgm:presLayoutVars>
          <dgm:bulletEnabled val="1"/>
        </dgm:presLayoutVars>
      </dgm:prSet>
      <dgm:spPr/>
    </dgm:pt>
    <dgm:pt modelId="{1B5BC1FB-F9E6-45DF-B218-D83CC699B2A3}" type="pres">
      <dgm:prSet presAssocID="{D4267235-E695-4FD9-8194-0E739D2BF524}" presName="sibTrans" presStyleLbl="node1" presStyleIdx="0" presStyleCnt="3"/>
      <dgm:spPr/>
    </dgm:pt>
    <dgm:pt modelId="{583532F1-7F69-44D3-B0C7-ABA3258DA703}" type="pres">
      <dgm:prSet presAssocID="{5C2DF603-61D2-4666-9CD4-5F4401CF4924}" presName="dummy" presStyleCnt="0"/>
      <dgm:spPr/>
    </dgm:pt>
    <dgm:pt modelId="{4DF3630E-9156-4781-ADE4-65D085B3C6FB}" type="pres">
      <dgm:prSet presAssocID="{5C2DF603-61D2-4666-9CD4-5F4401CF4924}" presName="node" presStyleLbl="revTx" presStyleIdx="1" presStyleCnt="3" custScaleX="111637">
        <dgm:presLayoutVars>
          <dgm:bulletEnabled val="1"/>
        </dgm:presLayoutVars>
      </dgm:prSet>
      <dgm:spPr/>
    </dgm:pt>
    <dgm:pt modelId="{01C66C09-50A0-4F90-9BA0-D3A80A712C8E}" type="pres">
      <dgm:prSet presAssocID="{F59494BD-D1E4-4F40-AA7A-C2561AF22DC5}" presName="sibTrans" presStyleLbl="node1" presStyleIdx="1" presStyleCnt="3"/>
      <dgm:spPr/>
    </dgm:pt>
    <dgm:pt modelId="{2A5A3F8F-3FDA-4E06-9D69-567454EFBF06}" type="pres">
      <dgm:prSet presAssocID="{0E40CD4C-3C1D-4C80-AD25-52EC8EDBBD5D}" presName="dummy" presStyleCnt="0"/>
      <dgm:spPr/>
    </dgm:pt>
    <dgm:pt modelId="{A33D2F2D-1EBE-47AE-9764-AAC78F95BE07}" type="pres">
      <dgm:prSet presAssocID="{0E40CD4C-3C1D-4C80-AD25-52EC8EDBBD5D}" presName="node" presStyleLbl="revTx" presStyleIdx="2" presStyleCnt="3" custScaleX="113371" custRadScaleRad="94584" custRadScaleInc="-24522">
        <dgm:presLayoutVars>
          <dgm:bulletEnabled val="1"/>
        </dgm:presLayoutVars>
      </dgm:prSet>
      <dgm:spPr/>
    </dgm:pt>
    <dgm:pt modelId="{83D08C31-9D49-48D2-A927-99BD8FEAC8A3}" type="pres">
      <dgm:prSet presAssocID="{42BA0107-2389-4ADF-944C-0E30F99677D2}" presName="sibTrans" presStyleLbl="node1" presStyleIdx="2" presStyleCnt="3"/>
      <dgm:spPr/>
    </dgm:pt>
  </dgm:ptLst>
  <dgm:cxnLst>
    <dgm:cxn modelId="{7659A910-33D1-444A-A062-93DA43A5D778}" type="presOf" srcId="{0E40CD4C-3C1D-4C80-AD25-52EC8EDBBD5D}" destId="{A33D2F2D-1EBE-47AE-9764-AAC78F95BE07}" srcOrd="0" destOrd="0" presId="urn:microsoft.com/office/officeart/2005/8/layout/cycle1"/>
    <dgm:cxn modelId="{E9CCA513-95AE-4579-B93D-0D4B57316960}" srcId="{6B76F280-BAA6-45F4-8B53-B376E3B42C68}" destId="{703D2943-8662-47A5-85F1-A96F5EF022BA}" srcOrd="0" destOrd="0" parTransId="{A2BF8594-09D9-46EF-AAD1-27EBE708F62E}" sibTransId="{D4267235-E695-4FD9-8194-0E739D2BF524}"/>
    <dgm:cxn modelId="{60FC811B-5255-430B-AA02-6DC3FD6FF71C}" type="presOf" srcId="{D4267235-E695-4FD9-8194-0E739D2BF524}" destId="{1B5BC1FB-F9E6-45DF-B218-D83CC699B2A3}" srcOrd="0" destOrd="0" presId="urn:microsoft.com/office/officeart/2005/8/layout/cycle1"/>
    <dgm:cxn modelId="{A8BF5F81-1ED4-4338-AF87-0170014D651B}" type="presOf" srcId="{6B76F280-BAA6-45F4-8B53-B376E3B42C68}" destId="{2C912B3B-C24F-406E-96F3-D6B51222D6F8}" srcOrd="0" destOrd="0" presId="urn:microsoft.com/office/officeart/2005/8/layout/cycle1"/>
    <dgm:cxn modelId="{1FFA84A4-AC16-4061-B3AB-B543DA8EA140}" type="presOf" srcId="{42BA0107-2389-4ADF-944C-0E30F99677D2}" destId="{83D08C31-9D49-48D2-A927-99BD8FEAC8A3}" srcOrd="0" destOrd="0" presId="urn:microsoft.com/office/officeart/2005/8/layout/cycle1"/>
    <dgm:cxn modelId="{6D1968A7-273B-46AF-8D98-7731A8C79423}" type="presOf" srcId="{5C2DF603-61D2-4666-9CD4-5F4401CF4924}" destId="{4DF3630E-9156-4781-ADE4-65D085B3C6FB}" srcOrd="0" destOrd="0" presId="urn:microsoft.com/office/officeart/2005/8/layout/cycle1"/>
    <dgm:cxn modelId="{10886FB4-42CB-49C8-BE07-0D10A7B8FC90}" type="presOf" srcId="{F59494BD-D1E4-4F40-AA7A-C2561AF22DC5}" destId="{01C66C09-50A0-4F90-9BA0-D3A80A712C8E}" srcOrd="0" destOrd="0" presId="urn:microsoft.com/office/officeart/2005/8/layout/cycle1"/>
    <dgm:cxn modelId="{9DC338D2-CB91-4592-B641-BA935D20F0F8}" type="presOf" srcId="{703D2943-8662-47A5-85F1-A96F5EF022BA}" destId="{50EA55C8-4626-4D97-82E9-289295A74861}" srcOrd="0" destOrd="0" presId="urn:microsoft.com/office/officeart/2005/8/layout/cycle1"/>
    <dgm:cxn modelId="{B428F0DA-4F78-4E88-B000-FE8C3B0B1D83}" srcId="{6B76F280-BAA6-45F4-8B53-B376E3B42C68}" destId="{5C2DF603-61D2-4666-9CD4-5F4401CF4924}" srcOrd="1" destOrd="0" parTransId="{587D8EB4-33AD-43A4-AE09-8B55F72A14D5}" sibTransId="{F59494BD-D1E4-4F40-AA7A-C2561AF22DC5}"/>
    <dgm:cxn modelId="{9A5AE8FC-9707-4EC1-B78B-1CAB775F85B3}" srcId="{6B76F280-BAA6-45F4-8B53-B376E3B42C68}" destId="{0E40CD4C-3C1D-4C80-AD25-52EC8EDBBD5D}" srcOrd="2" destOrd="0" parTransId="{2C52D273-10DA-412F-A5BD-E3D94C140B91}" sibTransId="{42BA0107-2389-4ADF-944C-0E30F99677D2}"/>
    <dgm:cxn modelId="{B6EBE8CE-50F2-47CD-A1A9-F171290C2721}" type="presParOf" srcId="{2C912B3B-C24F-406E-96F3-D6B51222D6F8}" destId="{0BA3F836-8ADE-4AF6-8A5A-083485F3A79C}" srcOrd="0" destOrd="0" presId="urn:microsoft.com/office/officeart/2005/8/layout/cycle1"/>
    <dgm:cxn modelId="{F93986D4-93DB-4F7B-B3A8-B06BA5D0751C}" type="presParOf" srcId="{2C912B3B-C24F-406E-96F3-D6B51222D6F8}" destId="{50EA55C8-4626-4D97-82E9-289295A74861}" srcOrd="1" destOrd="0" presId="urn:microsoft.com/office/officeart/2005/8/layout/cycle1"/>
    <dgm:cxn modelId="{F79BCCCA-EF5F-4F72-A769-24F6A8871DE8}" type="presParOf" srcId="{2C912B3B-C24F-406E-96F3-D6B51222D6F8}" destId="{1B5BC1FB-F9E6-45DF-B218-D83CC699B2A3}" srcOrd="2" destOrd="0" presId="urn:microsoft.com/office/officeart/2005/8/layout/cycle1"/>
    <dgm:cxn modelId="{829CAB91-C121-4A8F-818C-BAFD7714C166}" type="presParOf" srcId="{2C912B3B-C24F-406E-96F3-D6B51222D6F8}" destId="{583532F1-7F69-44D3-B0C7-ABA3258DA703}" srcOrd="3" destOrd="0" presId="urn:microsoft.com/office/officeart/2005/8/layout/cycle1"/>
    <dgm:cxn modelId="{9A8F7F75-C218-4F48-BC5F-4855459286A3}" type="presParOf" srcId="{2C912B3B-C24F-406E-96F3-D6B51222D6F8}" destId="{4DF3630E-9156-4781-ADE4-65D085B3C6FB}" srcOrd="4" destOrd="0" presId="urn:microsoft.com/office/officeart/2005/8/layout/cycle1"/>
    <dgm:cxn modelId="{8A6F1386-A20E-44C4-9D17-3F3770DED7BE}" type="presParOf" srcId="{2C912B3B-C24F-406E-96F3-D6B51222D6F8}" destId="{01C66C09-50A0-4F90-9BA0-D3A80A712C8E}" srcOrd="5" destOrd="0" presId="urn:microsoft.com/office/officeart/2005/8/layout/cycle1"/>
    <dgm:cxn modelId="{F84F9768-AE88-4CCE-9894-2B8ACB283014}" type="presParOf" srcId="{2C912B3B-C24F-406E-96F3-D6B51222D6F8}" destId="{2A5A3F8F-3FDA-4E06-9D69-567454EFBF06}" srcOrd="6" destOrd="0" presId="urn:microsoft.com/office/officeart/2005/8/layout/cycle1"/>
    <dgm:cxn modelId="{E3CF2450-DB74-47E2-A5B5-6BBED3F2B4E0}" type="presParOf" srcId="{2C912B3B-C24F-406E-96F3-D6B51222D6F8}" destId="{A33D2F2D-1EBE-47AE-9764-AAC78F95BE07}" srcOrd="7" destOrd="0" presId="urn:microsoft.com/office/officeart/2005/8/layout/cycle1"/>
    <dgm:cxn modelId="{4F54DE90-05C3-4092-AA2B-6A44794AA54A}" type="presParOf" srcId="{2C912B3B-C24F-406E-96F3-D6B51222D6F8}" destId="{83D08C31-9D49-48D2-A927-99BD8FEAC8A3}" srcOrd="8" destOrd="0" presId="urn:microsoft.com/office/officeart/2005/8/layout/cycle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3D9F366-BC75-49EE-B93C-65ECB9FBC4C9}" type="doc">
      <dgm:prSet loTypeId="urn:microsoft.com/office/officeart/2005/8/layout/cycle1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3BC9C36-40E9-4AA6-8469-8B3099A5E958}">
      <dgm:prSet phldrT="[Text]" phldr="1"/>
      <dgm:spPr/>
      <dgm:t>
        <a:bodyPr/>
        <a:lstStyle/>
        <a:p>
          <a:endParaRPr lang="en-US"/>
        </a:p>
      </dgm:t>
    </dgm:pt>
    <dgm:pt modelId="{FEBDD4BF-3C58-4502-9D1A-320DF53F6124}" type="parTrans" cxnId="{10C0972F-2E00-4825-A88C-B9BB9FBC0B8C}">
      <dgm:prSet/>
      <dgm:spPr/>
      <dgm:t>
        <a:bodyPr/>
        <a:lstStyle/>
        <a:p>
          <a:endParaRPr lang="en-US"/>
        </a:p>
      </dgm:t>
    </dgm:pt>
    <dgm:pt modelId="{8B4F1768-0652-4046-8432-5982C8531173}" type="sibTrans" cxnId="{10C0972F-2E00-4825-A88C-B9BB9FBC0B8C}">
      <dgm:prSet/>
      <dgm:spPr/>
      <dgm:t>
        <a:bodyPr/>
        <a:lstStyle/>
        <a:p>
          <a:endParaRPr lang="en-US"/>
        </a:p>
      </dgm:t>
    </dgm:pt>
    <dgm:pt modelId="{52159F25-3E55-45EE-B5B9-0F96AA467915}">
      <dgm:prSet phldrT="[Text]" phldr="1"/>
      <dgm:spPr/>
      <dgm:t>
        <a:bodyPr/>
        <a:lstStyle/>
        <a:p>
          <a:endParaRPr lang="en-US"/>
        </a:p>
      </dgm:t>
    </dgm:pt>
    <dgm:pt modelId="{6F1DB171-B901-498E-A4EE-810C0BA11232}" type="parTrans" cxnId="{A36D4BF7-DB36-40A7-AB86-CE4E88B0B7AE}">
      <dgm:prSet/>
      <dgm:spPr/>
      <dgm:t>
        <a:bodyPr/>
        <a:lstStyle/>
        <a:p>
          <a:endParaRPr lang="en-US"/>
        </a:p>
      </dgm:t>
    </dgm:pt>
    <dgm:pt modelId="{E20C3003-03C5-4642-8100-7F08450D16F5}" type="sibTrans" cxnId="{A36D4BF7-DB36-40A7-AB86-CE4E88B0B7AE}">
      <dgm:prSet/>
      <dgm:spPr/>
      <dgm:t>
        <a:bodyPr/>
        <a:lstStyle/>
        <a:p>
          <a:endParaRPr lang="en-US"/>
        </a:p>
      </dgm:t>
    </dgm:pt>
    <dgm:pt modelId="{3F40AC2B-7FA8-4D76-98C4-AEEDA3139725}">
      <dgm:prSet phldrT="[Text]" phldr="1"/>
      <dgm:spPr/>
      <dgm:t>
        <a:bodyPr/>
        <a:lstStyle/>
        <a:p>
          <a:endParaRPr lang="en-US"/>
        </a:p>
      </dgm:t>
    </dgm:pt>
    <dgm:pt modelId="{8E350C92-04F1-4F8B-8EA4-D299D76B8BC7}" type="parTrans" cxnId="{EC76EBDF-7B56-465F-8C84-3F06BB3C0E96}">
      <dgm:prSet/>
      <dgm:spPr/>
      <dgm:t>
        <a:bodyPr/>
        <a:lstStyle/>
        <a:p>
          <a:endParaRPr lang="en-US"/>
        </a:p>
      </dgm:t>
    </dgm:pt>
    <dgm:pt modelId="{C898F791-9D9B-4522-998F-DFB8B006C5C8}" type="sibTrans" cxnId="{EC76EBDF-7B56-465F-8C84-3F06BB3C0E96}">
      <dgm:prSet/>
      <dgm:spPr/>
      <dgm:t>
        <a:bodyPr/>
        <a:lstStyle/>
        <a:p>
          <a:endParaRPr lang="en-US"/>
        </a:p>
      </dgm:t>
    </dgm:pt>
    <dgm:pt modelId="{4B0A9C88-2D0D-4BCC-ADDC-91B8E0102656}">
      <dgm:prSet phldrT="[Text]" phldr="1"/>
      <dgm:spPr/>
      <dgm:t>
        <a:bodyPr/>
        <a:lstStyle/>
        <a:p>
          <a:endParaRPr lang="en-US"/>
        </a:p>
      </dgm:t>
    </dgm:pt>
    <dgm:pt modelId="{FC8D0D64-5BB6-4967-902C-B84845B43428}" type="parTrans" cxnId="{3B6BBF6F-41B3-42D8-A4E3-8F61DA8D7A56}">
      <dgm:prSet/>
      <dgm:spPr/>
      <dgm:t>
        <a:bodyPr/>
        <a:lstStyle/>
        <a:p>
          <a:endParaRPr lang="en-US"/>
        </a:p>
      </dgm:t>
    </dgm:pt>
    <dgm:pt modelId="{89043F1E-38D1-4FC9-84FF-449EA6F90767}" type="sibTrans" cxnId="{3B6BBF6F-41B3-42D8-A4E3-8F61DA8D7A56}">
      <dgm:prSet/>
      <dgm:spPr>
        <a:solidFill>
          <a:srgbClr val="FF0000"/>
        </a:solidFill>
      </dgm:spPr>
      <dgm:t>
        <a:bodyPr/>
        <a:lstStyle/>
        <a:p>
          <a:endParaRPr lang="en-US"/>
        </a:p>
      </dgm:t>
    </dgm:pt>
    <dgm:pt modelId="{E021AEB5-01C7-45F6-B0B5-636FFE049D92}">
      <dgm:prSet phldrT="[Text]" phldr="1"/>
      <dgm:spPr/>
      <dgm:t>
        <a:bodyPr/>
        <a:lstStyle/>
        <a:p>
          <a:endParaRPr lang="en-US"/>
        </a:p>
      </dgm:t>
    </dgm:pt>
    <dgm:pt modelId="{1093863D-7752-4876-B213-E5C1CE625A41}" type="parTrans" cxnId="{56855167-72CB-44D1-89FF-3535BA12C695}">
      <dgm:prSet/>
      <dgm:spPr/>
      <dgm:t>
        <a:bodyPr/>
        <a:lstStyle/>
        <a:p>
          <a:endParaRPr lang="en-US"/>
        </a:p>
      </dgm:t>
    </dgm:pt>
    <dgm:pt modelId="{66FB3DA6-FC5F-4596-83F5-EC03D9ADCFFF}" type="sibTrans" cxnId="{56855167-72CB-44D1-89FF-3535BA12C695}">
      <dgm:prSet/>
      <dgm:spPr/>
      <dgm:t>
        <a:bodyPr/>
        <a:lstStyle/>
        <a:p>
          <a:endParaRPr lang="en-US"/>
        </a:p>
      </dgm:t>
    </dgm:pt>
    <dgm:pt modelId="{3134FD77-0476-493C-B678-F76940FAF491}" type="pres">
      <dgm:prSet presAssocID="{D3D9F366-BC75-49EE-B93C-65ECB9FBC4C9}" presName="cycle" presStyleCnt="0">
        <dgm:presLayoutVars>
          <dgm:dir/>
          <dgm:resizeHandles val="exact"/>
        </dgm:presLayoutVars>
      </dgm:prSet>
      <dgm:spPr/>
    </dgm:pt>
    <dgm:pt modelId="{3307347E-271D-4515-9A6F-F45FBFFBE304}" type="pres">
      <dgm:prSet presAssocID="{73BC9C36-40E9-4AA6-8469-8B3099A5E958}" presName="dummy" presStyleCnt="0"/>
      <dgm:spPr/>
    </dgm:pt>
    <dgm:pt modelId="{5CA006B5-0851-4257-91A7-AE2571473CE1}" type="pres">
      <dgm:prSet presAssocID="{73BC9C36-40E9-4AA6-8469-8B3099A5E958}" presName="node" presStyleLbl="revTx" presStyleIdx="0" presStyleCnt="5">
        <dgm:presLayoutVars>
          <dgm:bulletEnabled val="1"/>
        </dgm:presLayoutVars>
      </dgm:prSet>
      <dgm:spPr/>
    </dgm:pt>
    <dgm:pt modelId="{2E8ED0E6-955F-4DAB-8716-BCA8A25F8DC0}" type="pres">
      <dgm:prSet presAssocID="{8B4F1768-0652-4046-8432-5982C8531173}" presName="sibTrans" presStyleLbl="node1" presStyleIdx="0" presStyleCnt="5"/>
      <dgm:spPr/>
    </dgm:pt>
    <dgm:pt modelId="{21363B53-E0C5-4BD6-A7DD-423DA34218F4}" type="pres">
      <dgm:prSet presAssocID="{52159F25-3E55-45EE-B5B9-0F96AA467915}" presName="dummy" presStyleCnt="0"/>
      <dgm:spPr/>
    </dgm:pt>
    <dgm:pt modelId="{79B26F0D-38BA-4D89-A5BD-14165474D8F7}" type="pres">
      <dgm:prSet presAssocID="{52159F25-3E55-45EE-B5B9-0F96AA467915}" presName="node" presStyleLbl="revTx" presStyleIdx="1" presStyleCnt="5">
        <dgm:presLayoutVars>
          <dgm:bulletEnabled val="1"/>
        </dgm:presLayoutVars>
      </dgm:prSet>
      <dgm:spPr/>
    </dgm:pt>
    <dgm:pt modelId="{155F31E9-6EBA-47D6-A3DF-851D0053BCC1}" type="pres">
      <dgm:prSet presAssocID="{E20C3003-03C5-4642-8100-7F08450D16F5}" presName="sibTrans" presStyleLbl="node1" presStyleIdx="1" presStyleCnt="5"/>
      <dgm:spPr/>
    </dgm:pt>
    <dgm:pt modelId="{BEF80387-6247-43CF-BAB7-C5C2C7638DB7}" type="pres">
      <dgm:prSet presAssocID="{3F40AC2B-7FA8-4D76-98C4-AEEDA3139725}" presName="dummy" presStyleCnt="0"/>
      <dgm:spPr/>
    </dgm:pt>
    <dgm:pt modelId="{DF84A445-69C4-4606-8A92-35537242DCCA}" type="pres">
      <dgm:prSet presAssocID="{3F40AC2B-7FA8-4D76-98C4-AEEDA3139725}" presName="node" presStyleLbl="revTx" presStyleIdx="2" presStyleCnt="5">
        <dgm:presLayoutVars>
          <dgm:bulletEnabled val="1"/>
        </dgm:presLayoutVars>
      </dgm:prSet>
      <dgm:spPr/>
    </dgm:pt>
    <dgm:pt modelId="{1E3B7976-9957-402F-A4B1-91F1874A806F}" type="pres">
      <dgm:prSet presAssocID="{C898F791-9D9B-4522-998F-DFB8B006C5C8}" presName="sibTrans" presStyleLbl="node1" presStyleIdx="2" presStyleCnt="5"/>
      <dgm:spPr/>
    </dgm:pt>
    <dgm:pt modelId="{736E18BA-6944-4A8B-ABDD-D1280FE4CDF4}" type="pres">
      <dgm:prSet presAssocID="{4B0A9C88-2D0D-4BCC-ADDC-91B8E0102656}" presName="dummy" presStyleCnt="0"/>
      <dgm:spPr/>
    </dgm:pt>
    <dgm:pt modelId="{835DEAFA-7A19-4FA4-873F-D2F67E1000F5}" type="pres">
      <dgm:prSet presAssocID="{4B0A9C88-2D0D-4BCC-ADDC-91B8E0102656}" presName="node" presStyleLbl="revTx" presStyleIdx="3" presStyleCnt="5">
        <dgm:presLayoutVars>
          <dgm:bulletEnabled val="1"/>
        </dgm:presLayoutVars>
      </dgm:prSet>
      <dgm:spPr/>
    </dgm:pt>
    <dgm:pt modelId="{9D78B871-CF17-41DA-ADBC-643E3BEA92A4}" type="pres">
      <dgm:prSet presAssocID="{89043F1E-38D1-4FC9-84FF-449EA6F90767}" presName="sibTrans" presStyleLbl="node1" presStyleIdx="3" presStyleCnt="5" custLinFactNeighborX="-2563"/>
      <dgm:spPr/>
    </dgm:pt>
    <dgm:pt modelId="{634E2212-281F-4D04-9C19-2F8511D651B4}" type="pres">
      <dgm:prSet presAssocID="{E021AEB5-01C7-45F6-B0B5-636FFE049D92}" presName="dummy" presStyleCnt="0"/>
      <dgm:spPr/>
    </dgm:pt>
    <dgm:pt modelId="{E200247A-EB6F-442E-B1E8-11BFF1587081}" type="pres">
      <dgm:prSet presAssocID="{E021AEB5-01C7-45F6-B0B5-636FFE049D92}" presName="node" presStyleLbl="revTx" presStyleIdx="4" presStyleCnt="5">
        <dgm:presLayoutVars>
          <dgm:bulletEnabled val="1"/>
        </dgm:presLayoutVars>
      </dgm:prSet>
      <dgm:spPr/>
    </dgm:pt>
    <dgm:pt modelId="{A6054E44-4B54-47A0-AFF9-FC9572B92213}" type="pres">
      <dgm:prSet presAssocID="{66FB3DA6-FC5F-4596-83F5-EC03D9ADCFFF}" presName="sibTrans" presStyleLbl="node1" presStyleIdx="4" presStyleCnt="5"/>
      <dgm:spPr/>
    </dgm:pt>
  </dgm:ptLst>
  <dgm:cxnLst>
    <dgm:cxn modelId="{CF25C204-CD2F-49EA-BCF7-84DCA2FED814}" type="presOf" srcId="{73BC9C36-40E9-4AA6-8469-8B3099A5E958}" destId="{5CA006B5-0851-4257-91A7-AE2571473CE1}" srcOrd="0" destOrd="0" presId="urn:microsoft.com/office/officeart/2005/8/layout/cycle1"/>
    <dgm:cxn modelId="{ECA2871B-E6FD-40D5-A899-AF975632F51D}" type="presOf" srcId="{4B0A9C88-2D0D-4BCC-ADDC-91B8E0102656}" destId="{835DEAFA-7A19-4FA4-873F-D2F67E1000F5}" srcOrd="0" destOrd="0" presId="urn:microsoft.com/office/officeart/2005/8/layout/cycle1"/>
    <dgm:cxn modelId="{850F8F25-1D74-49B3-9C3B-A3036AFBDD05}" type="presOf" srcId="{52159F25-3E55-45EE-B5B9-0F96AA467915}" destId="{79B26F0D-38BA-4D89-A5BD-14165474D8F7}" srcOrd="0" destOrd="0" presId="urn:microsoft.com/office/officeart/2005/8/layout/cycle1"/>
    <dgm:cxn modelId="{10C0972F-2E00-4825-A88C-B9BB9FBC0B8C}" srcId="{D3D9F366-BC75-49EE-B93C-65ECB9FBC4C9}" destId="{73BC9C36-40E9-4AA6-8469-8B3099A5E958}" srcOrd="0" destOrd="0" parTransId="{FEBDD4BF-3C58-4502-9D1A-320DF53F6124}" sibTransId="{8B4F1768-0652-4046-8432-5982C8531173}"/>
    <dgm:cxn modelId="{55CBA33D-7FBA-4CBA-96D6-A1047AD99D8E}" type="presOf" srcId="{66FB3DA6-FC5F-4596-83F5-EC03D9ADCFFF}" destId="{A6054E44-4B54-47A0-AFF9-FC9572B92213}" srcOrd="0" destOrd="0" presId="urn:microsoft.com/office/officeart/2005/8/layout/cycle1"/>
    <dgm:cxn modelId="{56855167-72CB-44D1-89FF-3535BA12C695}" srcId="{D3D9F366-BC75-49EE-B93C-65ECB9FBC4C9}" destId="{E021AEB5-01C7-45F6-B0B5-636FFE049D92}" srcOrd="4" destOrd="0" parTransId="{1093863D-7752-4876-B213-E5C1CE625A41}" sibTransId="{66FB3DA6-FC5F-4596-83F5-EC03D9ADCFFF}"/>
    <dgm:cxn modelId="{3B6BBF6F-41B3-42D8-A4E3-8F61DA8D7A56}" srcId="{D3D9F366-BC75-49EE-B93C-65ECB9FBC4C9}" destId="{4B0A9C88-2D0D-4BCC-ADDC-91B8E0102656}" srcOrd="3" destOrd="0" parTransId="{FC8D0D64-5BB6-4967-902C-B84845B43428}" sibTransId="{89043F1E-38D1-4FC9-84FF-449EA6F90767}"/>
    <dgm:cxn modelId="{35F90853-BEBE-4A5F-A803-CB1DE8D5F30A}" type="presOf" srcId="{D3D9F366-BC75-49EE-B93C-65ECB9FBC4C9}" destId="{3134FD77-0476-493C-B678-F76940FAF491}" srcOrd="0" destOrd="0" presId="urn:microsoft.com/office/officeart/2005/8/layout/cycle1"/>
    <dgm:cxn modelId="{9B508D53-F26F-4E33-BB7D-BCB96F4EA5F6}" type="presOf" srcId="{C898F791-9D9B-4522-998F-DFB8B006C5C8}" destId="{1E3B7976-9957-402F-A4B1-91F1874A806F}" srcOrd="0" destOrd="0" presId="urn:microsoft.com/office/officeart/2005/8/layout/cycle1"/>
    <dgm:cxn modelId="{C4087A58-19BA-4823-9AC4-7C51E8D4E51E}" type="presOf" srcId="{E021AEB5-01C7-45F6-B0B5-636FFE049D92}" destId="{E200247A-EB6F-442E-B1E8-11BFF1587081}" srcOrd="0" destOrd="0" presId="urn:microsoft.com/office/officeart/2005/8/layout/cycle1"/>
    <dgm:cxn modelId="{E5037383-B710-4895-8A21-490AEF0E5B25}" type="presOf" srcId="{8B4F1768-0652-4046-8432-5982C8531173}" destId="{2E8ED0E6-955F-4DAB-8716-BCA8A25F8DC0}" srcOrd="0" destOrd="0" presId="urn:microsoft.com/office/officeart/2005/8/layout/cycle1"/>
    <dgm:cxn modelId="{0B5EF08C-6551-4967-9891-21C94BA7F856}" type="presOf" srcId="{3F40AC2B-7FA8-4D76-98C4-AEEDA3139725}" destId="{DF84A445-69C4-4606-8A92-35537242DCCA}" srcOrd="0" destOrd="0" presId="urn:microsoft.com/office/officeart/2005/8/layout/cycle1"/>
    <dgm:cxn modelId="{2C4FB696-84BC-446B-BEF2-3D53D42621AF}" type="presOf" srcId="{89043F1E-38D1-4FC9-84FF-449EA6F90767}" destId="{9D78B871-CF17-41DA-ADBC-643E3BEA92A4}" srcOrd="0" destOrd="0" presId="urn:microsoft.com/office/officeart/2005/8/layout/cycle1"/>
    <dgm:cxn modelId="{40D4E59A-90DF-49ED-9DD3-728E8ACF0C7E}" type="presOf" srcId="{E20C3003-03C5-4642-8100-7F08450D16F5}" destId="{155F31E9-6EBA-47D6-A3DF-851D0053BCC1}" srcOrd="0" destOrd="0" presId="urn:microsoft.com/office/officeart/2005/8/layout/cycle1"/>
    <dgm:cxn modelId="{EC76EBDF-7B56-465F-8C84-3F06BB3C0E96}" srcId="{D3D9F366-BC75-49EE-B93C-65ECB9FBC4C9}" destId="{3F40AC2B-7FA8-4D76-98C4-AEEDA3139725}" srcOrd="2" destOrd="0" parTransId="{8E350C92-04F1-4F8B-8EA4-D299D76B8BC7}" sibTransId="{C898F791-9D9B-4522-998F-DFB8B006C5C8}"/>
    <dgm:cxn modelId="{A36D4BF7-DB36-40A7-AB86-CE4E88B0B7AE}" srcId="{D3D9F366-BC75-49EE-B93C-65ECB9FBC4C9}" destId="{52159F25-3E55-45EE-B5B9-0F96AA467915}" srcOrd="1" destOrd="0" parTransId="{6F1DB171-B901-498E-A4EE-810C0BA11232}" sibTransId="{E20C3003-03C5-4642-8100-7F08450D16F5}"/>
    <dgm:cxn modelId="{531E2240-6A15-452B-A336-0BE6DD382797}" type="presParOf" srcId="{3134FD77-0476-493C-B678-F76940FAF491}" destId="{3307347E-271D-4515-9A6F-F45FBFFBE304}" srcOrd="0" destOrd="0" presId="urn:microsoft.com/office/officeart/2005/8/layout/cycle1"/>
    <dgm:cxn modelId="{A7928DA7-D579-47DD-804A-2533375CD5DC}" type="presParOf" srcId="{3134FD77-0476-493C-B678-F76940FAF491}" destId="{5CA006B5-0851-4257-91A7-AE2571473CE1}" srcOrd="1" destOrd="0" presId="urn:microsoft.com/office/officeart/2005/8/layout/cycle1"/>
    <dgm:cxn modelId="{1013078C-69FC-47CE-8645-BF92C5FCAD0B}" type="presParOf" srcId="{3134FD77-0476-493C-B678-F76940FAF491}" destId="{2E8ED0E6-955F-4DAB-8716-BCA8A25F8DC0}" srcOrd="2" destOrd="0" presId="urn:microsoft.com/office/officeart/2005/8/layout/cycle1"/>
    <dgm:cxn modelId="{F510FEA2-6D43-44B3-B1D8-5D1F8AAD17D0}" type="presParOf" srcId="{3134FD77-0476-493C-B678-F76940FAF491}" destId="{21363B53-E0C5-4BD6-A7DD-423DA34218F4}" srcOrd="3" destOrd="0" presId="urn:microsoft.com/office/officeart/2005/8/layout/cycle1"/>
    <dgm:cxn modelId="{96605487-BFF8-4CE0-AE88-8F62D182A6E2}" type="presParOf" srcId="{3134FD77-0476-493C-B678-F76940FAF491}" destId="{79B26F0D-38BA-4D89-A5BD-14165474D8F7}" srcOrd="4" destOrd="0" presId="urn:microsoft.com/office/officeart/2005/8/layout/cycle1"/>
    <dgm:cxn modelId="{B061898B-6903-41DA-9547-F8E9C777F424}" type="presParOf" srcId="{3134FD77-0476-493C-B678-F76940FAF491}" destId="{155F31E9-6EBA-47D6-A3DF-851D0053BCC1}" srcOrd="5" destOrd="0" presId="urn:microsoft.com/office/officeart/2005/8/layout/cycle1"/>
    <dgm:cxn modelId="{627E3988-831E-4AD0-BD55-88ED016E161C}" type="presParOf" srcId="{3134FD77-0476-493C-B678-F76940FAF491}" destId="{BEF80387-6247-43CF-BAB7-C5C2C7638DB7}" srcOrd="6" destOrd="0" presId="urn:microsoft.com/office/officeart/2005/8/layout/cycle1"/>
    <dgm:cxn modelId="{DA067D48-261B-46BB-8CBC-03307406CBFC}" type="presParOf" srcId="{3134FD77-0476-493C-B678-F76940FAF491}" destId="{DF84A445-69C4-4606-8A92-35537242DCCA}" srcOrd="7" destOrd="0" presId="urn:microsoft.com/office/officeart/2005/8/layout/cycle1"/>
    <dgm:cxn modelId="{52193326-9C30-4E99-BBF2-BD1564F40AF2}" type="presParOf" srcId="{3134FD77-0476-493C-B678-F76940FAF491}" destId="{1E3B7976-9957-402F-A4B1-91F1874A806F}" srcOrd="8" destOrd="0" presId="urn:microsoft.com/office/officeart/2005/8/layout/cycle1"/>
    <dgm:cxn modelId="{1CD77032-753D-4B32-AA9F-557FDB284AF1}" type="presParOf" srcId="{3134FD77-0476-493C-B678-F76940FAF491}" destId="{736E18BA-6944-4A8B-ABDD-D1280FE4CDF4}" srcOrd="9" destOrd="0" presId="urn:microsoft.com/office/officeart/2005/8/layout/cycle1"/>
    <dgm:cxn modelId="{2C609ECD-1E8E-4EC6-AC68-968D66594708}" type="presParOf" srcId="{3134FD77-0476-493C-B678-F76940FAF491}" destId="{835DEAFA-7A19-4FA4-873F-D2F67E1000F5}" srcOrd="10" destOrd="0" presId="urn:microsoft.com/office/officeart/2005/8/layout/cycle1"/>
    <dgm:cxn modelId="{2FB198D9-998F-4CDF-992A-FF02511D0D82}" type="presParOf" srcId="{3134FD77-0476-493C-B678-F76940FAF491}" destId="{9D78B871-CF17-41DA-ADBC-643E3BEA92A4}" srcOrd="11" destOrd="0" presId="urn:microsoft.com/office/officeart/2005/8/layout/cycle1"/>
    <dgm:cxn modelId="{AD31FCA0-B229-4409-9E58-245E044208A6}" type="presParOf" srcId="{3134FD77-0476-493C-B678-F76940FAF491}" destId="{634E2212-281F-4D04-9C19-2F8511D651B4}" srcOrd="12" destOrd="0" presId="urn:microsoft.com/office/officeart/2005/8/layout/cycle1"/>
    <dgm:cxn modelId="{5CCB3524-ED69-495D-940F-340F3867F0E0}" type="presParOf" srcId="{3134FD77-0476-493C-B678-F76940FAF491}" destId="{E200247A-EB6F-442E-B1E8-11BFF1587081}" srcOrd="13" destOrd="0" presId="urn:microsoft.com/office/officeart/2005/8/layout/cycle1"/>
    <dgm:cxn modelId="{B3266E8C-2365-414D-80CA-D55EC85B54AF}" type="presParOf" srcId="{3134FD77-0476-493C-B678-F76940FAF491}" destId="{A6054E44-4B54-47A0-AFF9-FC9572B92213}" srcOrd="14" destOrd="0" presId="urn:microsoft.com/office/officeart/2005/8/layout/cycle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2FFA9AC0-14FD-4A9D-ACB3-8C0DE9E9F8F6}" type="doc">
      <dgm:prSet loTypeId="urn:microsoft.com/office/officeart/2005/8/layout/cycle2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BF602647-F4F1-49A0-BA97-A1DDB89C5B55}">
      <dgm:prSet phldrT="[Text]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r>
            <a:rPr lang="en-US"/>
            <a:t>Lake Park</a:t>
          </a:r>
        </a:p>
      </dgm:t>
    </dgm:pt>
    <dgm:pt modelId="{77FBD219-D0BF-4052-A80D-C2027CC38A5F}" type="parTrans" cxnId="{862EB3DE-A9B4-4DC2-B7B0-12801091CD13}">
      <dgm:prSet/>
      <dgm:spPr/>
      <dgm:t>
        <a:bodyPr/>
        <a:lstStyle/>
        <a:p>
          <a:endParaRPr lang="en-US"/>
        </a:p>
      </dgm:t>
    </dgm:pt>
    <dgm:pt modelId="{4543E7F1-95C9-406F-B870-2B2B6C54CE02}" type="sibTrans" cxnId="{862EB3DE-A9B4-4DC2-B7B0-12801091CD13}">
      <dgm:prSet/>
      <dgm:spPr/>
      <dgm:t>
        <a:bodyPr/>
        <a:lstStyle/>
        <a:p>
          <a:endParaRPr lang="en-US"/>
        </a:p>
      </dgm:t>
    </dgm:pt>
    <dgm:pt modelId="{F7E91F08-FAA0-47B7-8226-838647EB6D65}">
      <dgm:prSet phldrT="[Text]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r>
            <a:rPr lang="en-US"/>
            <a:t>SpringDale</a:t>
          </a:r>
        </a:p>
      </dgm:t>
    </dgm:pt>
    <dgm:pt modelId="{C52FB432-DF6B-4E11-9C1E-003310BB85B3}" type="parTrans" cxnId="{E373AF62-2C3E-43C0-8A63-1F0F73DB15A6}">
      <dgm:prSet/>
      <dgm:spPr/>
      <dgm:t>
        <a:bodyPr/>
        <a:lstStyle/>
        <a:p>
          <a:endParaRPr lang="en-US"/>
        </a:p>
      </dgm:t>
    </dgm:pt>
    <dgm:pt modelId="{2AC3C230-3115-4834-A086-15D3B2BDA08B}" type="sibTrans" cxnId="{E373AF62-2C3E-43C0-8A63-1F0F73DB15A6}">
      <dgm:prSet/>
      <dgm:spPr/>
      <dgm:t>
        <a:bodyPr/>
        <a:lstStyle/>
        <a:p>
          <a:endParaRPr lang="en-US"/>
        </a:p>
      </dgm:t>
    </dgm:pt>
    <dgm:pt modelId="{7C67D0D7-564D-4C63-8509-56ADEEC9318C}">
      <dgm:prSet phldrT="[Text]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US"/>
            <a:t>Wood Valley</a:t>
          </a:r>
        </a:p>
      </dgm:t>
    </dgm:pt>
    <dgm:pt modelId="{D034E957-427C-426A-94C1-DB90F31391C4}" type="parTrans" cxnId="{29A7F7D6-5CDA-4011-9E6E-21E273B37650}">
      <dgm:prSet/>
      <dgm:spPr/>
      <dgm:t>
        <a:bodyPr/>
        <a:lstStyle/>
        <a:p>
          <a:endParaRPr lang="en-US"/>
        </a:p>
      </dgm:t>
    </dgm:pt>
    <dgm:pt modelId="{C850B81E-2DA1-44AA-9F46-9D4AD40D3DC8}" type="sibTrans" cxnId="{29A7F7D6-5CDA-4011-9E6E-21E273B37650}">
      <dgm:prSet/>
      <dgm:spPr/>
      <dgm:t>
        <a:bodyPr/>
        <a:lstStyle/>
        <a:p>
          <a:endParaRPr lang="en-US"/>
        </a:p>
      </dgm:t>
    </dgm:pt>
    <dgm:pt modelId="{73E88AB9-A502-48F2-BD3F-251F51A4C655}" type="pres">
      <dgm:prSet presAssocID="{2FFA9AC0-14FD-4A9D-ACB3-8C0DE9E9F8F6}" presName="cycle" presStyleCnt="0">
        <dgm:presLayoutVars>
          <dgm:dir/>
          <dgm:resizeHandles val="exact"/>
        </dgm:presLayoutVars>
      </dgm:prSet>
      <dgm:spPr/>
    </dgm:pt>
    <dgm:pt modelId="{92EE2DA5-962A-4A66-9CC3-42EEE18702A5}" type="pres">
      <dgm:prSet presAssocID="{BF602647-F4F1-49A0-BA97-A1DDB89C5B55}" presName="node" presStyleLbl="node1" presStyleIdx="0" presStyleCnt="3">
        <dgm:presLayoutVars>
          <dgm:bulletEnabled val="1"/>
        </dgm:presLayoutVars>
      </dgm:prSet>
      <dgm:spPr/>
    </dgm:pt>
    <dgm:pt modelId="{C53CF10B-9C0B-4EA5-868E-0B4335FBFFDE}" type="pres">
      <dgm:prSet presAssocID="{4543E7F1-95C9-406F-B870-2B2B6C54CE02}" presName="sibTrans" presStyleLbl="sibTrans2D1" presStyleIdx="0" presStyleCnt="3"/>
      <dgm:spPr/>
    </dgm:pt>
    <dgm:pt modelId="{F7BCCFD4-2451-4756-A473-EAAE826906D6}" type="pres">
      <dgm:prSet presAssocID="{4543E7F1-95C9-406F-B870-2B2B6C54CE02}" presName="connectorText" presStyleLbl="sibTrans2D1" presStyleIdx="0" presStyleCnt="3"/>
      <dgm:spPr/>
    </dgm:pt>
    <dgm:pt modelId="{5ACEB4C0-7214-48A6-9D09-659772B32F4B}" type="pres">
      <dgm:prSet presAssocID="{F7E91F08-FAA0-47B7-8226-838647EB6D65}" presName="node" presStyleLbl="node1" presStyleIdx="1" presStyleCnt="3">
        <dgm:presLayoutVars>
          <dgm:bulletEnabled val="1"/>
        </dgm:presLayoutVars>
      </dgm:prSet>
      <dgm:spPr/>
    </dgm:pt>
    <dgm:pt modelId="{82348706-F993-41DA-9C50-4CDD74B5549F}" type="pres">
      <dgm:prSet presAssocID="{2AC3C230-3115-4834-A086-15D3B2BDA08B}" presName="sibTrans" presStyleLbl="sibTrans2D1" presStyleIdx="1" presStyleCnt="3"/>
      <dgm:spPr/>
    </dgm:pt>
    <dgm:pt modelId="{D5F493BA-9B9B-4305-9254-1DCA276FB5C8}" type="pres">
      <dgm:prSet presAssocID="{2AC3C230-3115-4834-A086-15D3B2BDA08B}" presName="connectorText" presStyleLbl="sibTrans2D1" presStyleIdx="1" presStyleCnt="3"/>
      <dgm:spPr/>
    </dgm:pt>
    <dgm:pt modelId="{F3A8C9F1-7DF6-4E3F-ADD1-B2D82E0940E5}" type="pres">
      <dgm:prSet presAssocID="{7C67D0D7-564D-4C63-8509-56ADEEC9318C}" presName="node" presStyleLbl="node1" presStyleIdx="2" presStyleCnt="3">
        <dgm:presLayoutVars>
          <dgm:bulletEnabled val="1"/>
        </dgm:presLayoutVars>
      </dgm:prSet>
      <dgm:spPr/>
    </dgm:pt>
    <dgm:pt modelId="{FF2C809F-2F95-4563-AE08-29E43DCD002E}" type="pres">
      <dgm:prSet presAssocID="{C850B81E-2DA1-44AA-9F46-9D4AD40D3DC8}" presName="sibTrans" presStyleLbl="sibTrans2D1" presStyleIdx="2" presStyleCnt="3"/>
      <dgm:spPr/>
    </dgm:pt>
    <dgm:pt modelId="{40B3EE79-D9CD-48C0-8F46-0A15E6207B35}" type="pres">
      <dgm:prSet presAssocID="{C850B81E-2DA1-44AA-9F46-9D4AD40D3DC8}" presName="connectorText" presStyleLbl="sibTrans2D1" presStyleIdx="2" presStyleCnt="3"/>
      <dgm:spPr/>
    </dgm:pt>
  </dgm:ptLst>
  <dgm:cxnLst>
    <dgm:cxn modelId="{1BFB581B-411B-44CB-A725-BB73F6894FF3}" type="presOf" srcId="{2AC3C230-3115-4834-A086-15D3B2BDA08B}" destId="{82348706-F993-41DA-9C50-4CDD74B5549F}" srcOrd="0" destOrd="0" presId="urn:microsoft.com/office/officeart/2005/8/layout/cycle2"/>
    <dgm:cxn modelId="{E929252A-2CF7-4BCB-89CA-2FADF150DBE3}" type="presOf" srcId="{4543E7F1-95C9-406F-B870-2B2B6C54CE02}" destId="{C53CF10B-9C0B-4EA5-868E-0B4335FBFFDE}" srcOrd="0" destOrd="0" presId="urn:microsoft.com/office/officeart/2005/8/layout/cycle2"/>
    <dgm:cxn modelId="{B005402A-5283-4930-A6B2-37BCDB87DA6E}" type="presOf" srcId="{2AC3C230-3115-4834-A086-15D3B2BDA08B}" destId="{D5F493BA-9B9B-4305-9254-1DCA276FB5C8}" srcOrd="1" destOrd="0" presId="urn:microsoft.com/office/officeart/2005/8/layout/cycle2"/>
    <dgm:cxn modelId="{F54F8336-0ABD-4887-A71F-EAE8AA990D7F}" type="presOf" srcId="{2FFA9AC0-14FD-4A9D-ACB3-8C0DE9E9F8F6}" destId="{73E88AB9-A502-48F2-BD3F-251F51A4C655}" srcOrd="0" destOrd="0" presId="urn:microsoft.com/office/officeart/2005/8/layout/cycle2"/>
    <dgm:cxn modelId="{92BBC83A-1BA2-4D2A-8169-9452D1B2374A}" type="presOf" srcId="{4543E7F1-95C9-406F-B870-2B2B6C54CE02}" destId="{F7BCCFD4-2451-4756-A473-EAAE826906D6}" srcOrd="1" destOrd="0" presId="urn:microsoft.com/office/officeart/2005/8/layout/cycle2"/>
    <dgm:cxn modelId="{E373AF62-2C3E-43C0-8A63-1F0F73DB15A6}" srcId="{2FFA9AC0-14FD-4A9D-ACB3-8C0DE9E9F8F6}" destId="{F7E91F08-FAA0-47B7-8226-838647EB6D65}" srcOrd="1" destOrd="0" parTransId="{C52FB432-DF6B-4E11-9C1E-003310BB85B3}" sibTransId="{2AC3C230-3115-4834-A086-15D3B2BDA08B}"/>
    <dgm:cxn modelId="{04F2E345-5F02-4465-9AB4-2C6E77D23516}" type="presOf" srcId="{C850B81E-2DA1-44AA-9F46-9D4AD40D3DC8}" destId="{40B3EE79-D9CD-48C0-8F46-0A15E6207B35}" srcOrd="1" destOrd="0" presId="urn:microsoft.com/office/officeart/2005/8/layout/cycle2"/>
    <dgm:cxn modelId="{E4D1AA8B-F7AF-457A-BD35-2FFF1C534594}" type="presOf" srcId="{C850B81E-2DA1-44AA-9F46-9D4AD40D3DC8}" destId="{FF2C809F-2F95-4563-AE08-29E43DCD002E}" srcOrd="0" destOrd="0" presId="urn:microsoft.com/office/officeart/2005/8/layout/cycle2"/>
    <dgm:cxn modelId="{E3A9B6A4-7E90-4B1D-94D6-CB93577C30B8}" type="presOf" srcId="{F7E91F08-FAA0-47B7-8226-838647EB6D65}" destId="{5ACEB4C0-7214-48A6-9D09-659772B32F4B}" srcOrd="0" destOrd="0" presId="urn:microsoft.com/office/officeart/2005/8/layout/cycle2"/>
    <dgm:cxn modelId="{28CD2EC9-3A02-48CD-8464-18EC104BF34C}" type="presOf" srcId="{BF602647-F4F1-49A0-BA97-A1DDB89C5B55}" destId="{92EE2DA5-962A-4A66-9CC3-42EEE18702A5}" srcOrd="0" destOrd="0" presId="urn:microsoft.com/office/officeart/2005/8/layout/cycle2"/>
    <dgm:cxn modelId="{29A7F7D6-5CDA-4011-9E6E-21E273B37650}" srcId="{2FFA9AC0-14FD-4A9D-ACB3-8C0DE9E9F8F6}" destId="{7C67D0D7-564D-4C63-8509-56ADEEC9318C}" srcOrd="2" destOrd="0" parTransId="{D034E957-427C-426A-94C1-DB90F31391C4}" sibTransId="{C850B81E-2DA1-44AA-9F46-9D4AD40D3DC8}"/>
    <dgm:cxn modelId="{893168D8-C1F4-4C41-81A4-CEC6CA9C1717}" type="presOf" srcId="{7C67D0D7-564D-4C63-8509-56ADEEC9318C}" destId="{F3A8C9F1-7DF6-4E3F-ADD1-B2D82E0940E5}" srcOrd="0" destOrd="0" presId="urn:microsoft.com/office/officeart/2005/8/layout/cycle2"/>
    <dgm:cxn modelId="{862EB3DE-A9B4-4DC2-B7B0-12801091CD13}" srcId="{2FFA9AC0-14FD-4A9D-ACB3-8C0DE9E9F8F6}" destId="{BF602647-F4F1-49A0-BA97-A1DDB89C5B55}" srcOrd="0" destOrd="0" parTransId="{77FBD219-D0BF-4052-A80D-C2027CC38A5F}" sibTransId="{4543E7F1-95C9-406F-B870-2B2B6C54CE02}"/>
    <dgm:cxn modelId="{350FD23C-ACC7-42B8-A698-43C8A2D8D10E}" type="presParOf" srcId="{73E88AB9-A502-48F2-BD3F-251F51A4C655}" destId="{92EE2DA5-962A-4A66-9CC3-42EEE18702A5}" srcOrd="0" destOrd="0" presId="urn:microsoft.com/office/officeart/2005/8/layout/cycle2"/>
    <dgm:cxn modelId="{FBFF30BE-9695-4018-974A-3CC63BA5EDD2}" type="presParOf" srcId="{73E88AB9-A502-48F2-BD3F-251F51A4C655}" destId="{C53CF10B-9C0B-4EA5-868E-0B4335FBFFDE}" srcOrd="1" destOrd="0" presId="urn:microsoft.com/office/officeart/2005/8/layout/cycle2"/>
    <dgm:cxn modelId="{EE1096B6-13B4-4AEA-AD01-8C16B610B9EA}" type="presParOf" srcId="{C53CF10B-9C0B-4EA5-868E-0B4335FBFFDE}" destId="{F7BCCFD4-2451-4756-A473-EAAE826906D6}" srcOrd="0" destOrd="0" presId="urn:microsoft.com/office/officeart/2005/8/layout/cycle2"/>
    <dgm:cxn modelId="{511E5173-A02B-4F7A-B467-43C4C797FFB5}" type="presParOf" srcId="{73E88AB9-A502-48F2-BD3F-251F51A4C655}" destId="{5ACEB4C0-7214-48A6-9D09-659772B32F4B}" srcOrd="2" destOrd="0" presId="urn:microsoft.com/office/officeart/2005/8/layout/cycle2"/>
    <dgm:cxn modelId="{1E539367-D6A2-4EA2-9DB9-2A13B0B85C2E}" type="presParOf" srcId="{73E88AB9-A502-48F2-BD3F-251F51A4C655}" destId="{82348706-F993-41DA-9C50-4CDD74B5549F}" srcOrd="3" destOrd="0" presId="urn:microsoft.com/office/officeart/2005/8/layout/cycle2"/>
    <dgm:cxn modelId="{F0EBCD61-6F94-4075-8125-E3EF59870B6B}" type="presParOf" srcId="{82348706-F993-41DA-9C50-4CDD74B5549F}" destId="{D5F493BA-9B9B-4305-9254-1DCA276FB5C8}" srcOrd="0" destOrd="0" presId="urn:microsoft.com/office/officeart/2005/8/layout/cycle2"/>
    <dgm:cxn modelId="{CB57B05E-B2FA-4595-96F4-7BA77B2FF8E9}" type="presParOf" srcId="{73E88AB9-A502-48F2-BD3F-251F51A4C655}" destId="{F3A8C9F1-7DF6-4E3F-ADD1-B2D82E0940E5}" srcOrd="4" destOrd="0" presId="urn:microsoft.com/office/officeart/2005/8/layout/cycle2"/>
    <dgm:cxn modelId="{4DFC7E88-B2DA-49AF-86A3-0679A8FC5A28}" type="presParOf" srcId="{73E88AB9-A502-48F2-BD3F-251F51A4C655}" destId="{FF2C809F-2F95-4563-AE08-29E43DCD002E}" srcOrd="5" destOrd="0" presId="urn:microsoft.com/office/officeart/2005/8/layout/cycle2"/>
    <dgm:cxn modelId="{A6BA3955-46FC-4E72-B139-334B39365FA4}" type="presParOf" srcId="{FF2C809F-2F95-4563-AE08-29E43DCD002E}" destId="{40B3EE79-D9CD-48C0-8F46-0A15E6207B35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2FFA9AC0-14FD-4A9D-ACB3-8C0DE9E9F8F6}" type="doc">
      <dgm:prSet loTypeId="urn:microsoft.com/office/officeart/2005/8/layout/cycle2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BF602647-F4F1-49A0-BA97-A1DDB89C5B55}">
      <dgm:prSet phldrT="[Text]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r>
            <a:rPr lang="en-US"/>
            <a:t>Brookstone</a:t>
          </a:r>
        </a:p>
      </dgm:t>
    </dgm:pt>
    <dgm:pt modelId="{77FBD219-D0BF-4052-A80D-C2027CC38A5F}" type="parTrans" cxnId="{862EB3DE-A9B4-4DC2-B7B0-12801091CD13}">
      <dgm:prSet/>
      <dgm:spPr/>
      <dgm:t>
        <a:bodyPr/>
        <a:lstStyle/>
        <a:p>
          <a:endParaRPr lang="en-US"/>
        </a:p>
      </dgm:t>
    </dgm:pt>
    <dgm:pt modelId="{4543E7F1-95C9-406F-B870-2B2B6C54CE02}" type="sibTrans" cxnId="{862EB3DE-A9B4-4DC2-B7B0-12801091CD13}">
      <dgm:prSet/>
      <dgm:spPr/>
      <dgm:t>
        <a:bodyPr/>
        <a:lstStyle/>
        <a:p>
          <a:endParaRPr lang="en-US"/>
        </a:p>
      </dgm:t>
    </dgm:pt>
    <dgm:pt modelId="{F7E91F08-FAA0-47B7-8226-838647EB6D65}">
      <dgm:prSet phldrT="[Text]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r>
            <a:rPr lang="en-US"/>
            <a:t>Highcroft</a:t>
          </a:r>
        </a:p>
      </dgm:t>
    </dgm:pt>
    <dgm:pt modelId="{C52FB432-DF6B-4E11-9C1E-003310BB85B3}" type="parTrans" cxnId="{E373AF62-2C3E-43C0-8A63-1F0F73DB15A6}">
      <dgm:prSet/>
      <dgm:spPr/>
      <dgm:t>
        <a:bodyPr/>
        <a:lstStyle/>
        <a:p>
          <a:endParaRPr lang="en-US"/>
        </a:p>
      </dgm:t>
    </dgm:pt>
    <dgm:pt modelId="{2AC3C230-3115-4834-A086-15D3B2BDA08B}" type="sibTrans" cxnId="{E373AF62-2C3E-43C0-8A63-1F0F73DB15A6}">
      <dgm:prSet/>
      <dgm:spPr/>
      <dgm:t>
        <a:bodyPr/>
        <a:lstStyle/>
        <a:p>
          <a:endParaRPr lang="en-US"/>
        </a:p>
      </dgm:t>
    </dgm:pt>
    <dgm:pt modelId="{7C67D0D7-564D-4C63-8509-56ADEEC9318C}">
      <dgm:prSet phldrT="[Text]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US"/>
            <a:t>Glenridge</a:t>
          </a:r>
        </a:p>
      </dgm:t>
    </dgm:pt>
    <dgm:pt modelId="{D034E957-427C-426A-94C1-DB90F31391C4}" type="parTrans" cxnId="{29A7F7D6-5CDA-4011-9E6E-21E273B37650}">
      <dgm:prSet/>
      <dgm:spPr/>
      <dgm:t>
        <a:bodyPr/>
        <a:lstStyle/>
        <a:p>
          <a:endParaRPr lang="en-US"/>
        </a:p>
      </dgm:t>
    </dgm:pt>
    <dgm:pt modelId="{C850B81E-2DA1-44AA-9F46-9D4AD40D3DC8}" type="sibTrans" cxnId="{29A7F7D6-5CDA-4011-9E6E-21E273B37650}">
      <dgm:prSet/>
      <dgm:spPr/>
      <dgm:t>
        <a:bodyPr/>
        <a:lstStyle/>
        <a:p>
          <a:endParaRPr lang="en-US"/>
        </a:p>
      </dgm:t>
    </dgm:pt>
    <dgm:pt modelId="{73E88AB9-A502-48F2-BD3F-251F51A4C655}" type="pres">
      <dgm:prSet presAssocID="{2FFA9AC0-14FD-4A9D-ACB3-8C0DE9E9F8F6}" presName="cycle" presStyleCnt="0">
        <dgm:presLayoutVars>
          <dgm:dir/>
          <dgm:resizeHandles val="exact"/>
        </dgm:presLayoutVars>
      </dgm:prSet>
      <dgm:spPr/>
    </dgm:pt>
    <dgm:pt modelId="{92EE2DA5-962A-4A66-9CC3-42EEE18702A5}" type="pres">
      <dgm:prSet presAssocID="{BF602647-F4F1-49A0-BA97-A1DDB89C5B55}" presName="node" presStyleLbl="node1" presStyleIdx="0" presStyleCnt="3">
        <dgm:presLayoutVars>
          <dgm:bulletEnabled val="1"/>
        </dgm:presLayoutVars>
      </dgm:prSet>
      <dgm:spPr/>
    </dgm:pt>
    <dgm:pt modelId="{C53CF10B-9C0B-4EA5-868E-0B4335FBFFDE}" type="pres">
      <dgm:prSet presAssocID="{4543E7F1-95C9-406F-B870-2B2B6C54CE02}" presName="sibTrans" presStyleLbl="sibTrans2D1" presStyleIdx="0" presStyleCnt="3"/>
      <dgm:spPr/>
    </dgm:pt>
    <dgm:pt modelId="{F7BCCFD4-2451-4756-A473-EAAE826906D6}" type="pres">
      <dgm:prSet presAssocID="{4543E7F1-95C9-406F-B870-2B2B6C54CE02}" presName="connectorText" presStyleLbl="sibTrans2D1" presStyleIdx="0" presStyleCnt="3"/>
      <dgm:spPr/>
    </dgm:pt>
    <dgm:pt modelId="{5ACEB4C0-7214-48A6-9D09-659772B32F4B}" type="pres">
      <dgm:prSet presAssocID="{F7E91F08-FAA0-47B7-8226-838647EB6D65}" presName="node" presStyleLbl="node1" presStyleIdx="1" presStyleCnt="3">
        <dgm:presLayoutVars>
          <dgm:bulletEnabled val="1"/>
        </dgm:presLayoutVars>
      </dgm:prSet>
      <dgm:spPr/>
    </dgm:pt>
    <dgm:pt modelId="{82348706-F993-41DA-9C50-4CDD74B5549F}" type="pres">
      <dgm:prSet presAssocID="{2AC3C230-3115-4834-A086-15D3B2BDA08B}" presName="sibTrans" presStyleLbl="sibTrans2D1" presStyleIdx="1" presStyleCnt="3"/>
      <dgm:spPr/>
    </dgm:pt>
    <dgm:pt modelId="{D5F493BA-9B9B-4305-9254-1DCA276FB5C8}" type="pres">
      <dgm:prSet presAssocID="{2AC3C230-3115-4834-A086-15D3B2BDA08B}" presName="connectorText" presStyleLbl="sibTrans2D1" presStyleIdx="1" presStyleCnt="3"/>
      <dgm:spPr/>
    </dgm:pt>
    <dgm:pt modelId="{F3A8C9F1-7DF6-4E3F-ADD1-B2D82E0940E5}" type="pres">
      <dgm:prSet presAssocID="{7C67D0D7-564D-4C63-8509-56ADEEC9318C}" presName="node" presStyleLbl="node1" presStyleIdx="2" presStyleCnt="3">
        <dgm:presLayoutVars>
          <dgm:bulletEnabled val="1"/>
        </dgm:presLayoutVars>
      </dgm:prSet>
      <dgm:spPr/>
    </dgm:pt>
    <dgm:pt modelId="{FF2C809F-2F95-4563-AE08-29E43DCD002E}" type="pres">
      <dgm:prSet presAssocID="{C850B81E-2DA1-44AA-9F46-9D4AD40D3DC8}" presName="sibTrans" presStyleLbl="sibTrans2D1" presStyleIdx="2" presStyleCnt="3"/>
      <dgm:spPr/>
    </dgm:pt>
    <dgm:pt modelId="{40B3EE79-D9CD-48C0-8F46-0A15E6207B35}" type="pres">
      <dgm:prSet presAssocID="{C850B81E-2DA1-44AA-9F46-9D4AD40D3DC8}" presName="connectorText" presStyleLbl="sibTrans2D1" presStyleIdx="2" presStyleCnt="3"/>
      <dgm:spPr/>
    </dgm:pt>
  </dgm:ptLst>
  <dgm:cxnLst>
    <dgm:cxn modelId="{21386725-ACCE-4C01-8A95-CEB2C9E0C172}" type="presOf" srcId="{F7E91F08-FAA0-47B7-8226-838647EB6D65}" destId="{5ACEB4C0-7214-48A6-9D09-659772B32F4B}" srcOrd="0" destOrd="0" presId="urn:microsoft.com/office/officeart/2005/8/layout/cycle2"/>
    <dgm:cxn modelId="{E373AF62-2C3E-43C0-8A63-1F0F73DB15A6}" srcId="{2FFA9AC0-14FD-4A9D-ACB3-8C0DE9E9F8F6}" destId="{F7E91F08-FAA0-47B7-8226-838647EB6D65}" srcOrd="1" destOrd="0" parTransId="{C52FB432-DF6B-4E11-9C1E-003310BB85B3}" sibTransId="{2AC3C230-3115-4834-A086-15D3B2BDA08B}"/>
    <dgm:cxn modelId="{BA77D964-36F3-4CD8-A798-B5D36E48B4D6}" type="presOf" srcId="{2AC3C230-3115-4834-A086-15D3B2BDA08B}" destId="{D5F493BA-9B9B-4305-9254-1DCA276FB5C8}" srcOrd="1" destOrd="0" presId="urn:microsoft.com/office/officeart/2005/8/layout/cycle2"/>
    <dgm:cxn modelId="{3011D849-AAFE-435B-A4F9-A388628AEE7E}" type="presOf" srcId="{4543E7F1-95C9-406F-B870-2B2B6C54CE02}" destId="{F7BCCFD4-2451-4756-A473-EAAE826906D6}" srcOrd="1" destOrd="0" presId="urn:microsoft.com/office/officeart/2005/8/layout/cycle2"/>
    <dgm:cxn modelId="{BC8D574F-F87A-4F66-8620-D800FC4C3AFC}" type="presOf" srcId="{4543E7F1-95C9-406F-B870-2B2B6C54CE02}" destId="{C53CF10B-9C0B-4EA5-868E-0B4335FBFFDE}" srcOrd="0" destOrd="0" presId="urn:microsoft.com/office/officeart/2005/8/layout/cycle2"/>
    <dgm:cxn modelId="{AE020057-1E6D-4AD2-B5C9-DC468F9DCE61}" type="presOf" srcId="{C850B81E-2DA1-44AA-9F46-9D4AD40D3DC8}" destId="{40B3EE79-D9CD-48C0-8F46-0A15E6207B35}" srcOrd="1" destOrd="0" presId="urn:microsoft.com/office/officeart/2005/8/layout/cycle2"/>
    <dgm:cxn modelId="{EB00E091-2438-4E4A-B24A-AA3666BA5196}" type="presOf" srcId="{C850B81E-2DA1-44AA-9F46-9D4AD40D3DC8}" destId="{FF2C809F-2F95-4563-AE08-29E43DCD002E}" srcOrd="0" destOrd="0" presId="urn:microsoft.com/office/officeart/2005/8/layout/cycle2"/>
    <dgm:cxn modelId="{3AF929B2-0505-48B1-9FEB-A3E01A8DD25B}" type="presOf" srcId="{BF602647-F4F1-49A0-BA97-A1DDB89C5B55}" destId="{92EE2DA5-962A-4A66-9CC3-42EEE18702A5}" srcOrd="0" destOrd="0" presId="urn:microsoft.com/office/officeart/2005/8/layout/cycle2"/>
    <dgm:cxn modelId="{86587CB9-7943-4D94-92EC-FCCF17D73ABF}" type="presOf" srcId="{7C67D0D7-564D-4C63-8509-56ADEEC9318C}" destId="{F3A8C9F1-7DF6-4E3F-ADD1-B2D82E0940E5}" srcOrd="0" destOrd="0" presId="urn:microsoft.com/office/officeart/2005/8/layout/cycle2"/>
    <dgm:cxn modelId="{29A7F7D6-5CDA-4011-9E6E-21E273B37650}" srcId="{2FFA9AC0-14FD-4A9D-ACB3-8C0DE9E9F8F6}" destId="{7C67D0D7-564D-4C63-8509-56ADEEC9318C}" srcOrd="2" destOrd="0" parTransId="{D034E957-427C-426A-94C1-DB90F31391C4}" sibTransId="{C850B81E-2DA1-44AA-9F46-9D4AD40D3DC8}"/>
    <dgm:cxn modelId="{862EB3DE-A9B4-4DC2-B7B0-12801091CD13}" srcId="{2FFA9AC0-14FD-4A9D-ACB3-8C0DE9E9F8F6}" destId="{BF602647-F4F1-49A0-BA97-A1DDB89C5B55}" srcOrd="0" destOrd="0" parTransId="{77FBD219-D0BF-4052-A80D-C2027CC38A5F}" sibTransId="{4543E7F1-95C9-406F-B870-2B2B6C54CE02}"/>
    <dgm:cxn modelId="{95FFFDEE-0A23-4B81-B82C-78006AACC664}" type="presOf" srcId="{2AC3C230-3115-4834-A086-15D3B2BDA08B}" destId="{82348706-F993-41DA-9C50-4CDD74B5549F}" srcOrd="0" destOrd="0" presId="urn:microsoft.com/office/officeart/2005/8/layout/cycle2"/>
    <dgm:cxn modelId="{1F1269EF-2D2B-44B7-970B-BDF59DA8F77B}" type="presOf" srcId="{2FFA9AC0-14FD-4A9D-ACB3-8C0DE9E9F8F6}" destId="{73E88AB9-A502-48F2-BD3F-251F51A4C655}" srcOrd="0" destOrd="0" presId="urn:microsoft.com/office/officeart/2005/8/layout/cycle2"/>
    <dgm:cxn modelId="{BA2FB92B-B4BA-4469-A9EB-E1FA8ED8BAA3}" type="presParOf" srcId="{73E88AB9-A502-48F2-BD3F-251F51A4C655}" destId="{92EE2DA5-962A-4A66-9CC3-42EEE18702A5}" srcOrd="0" destOrd="0" presId="urn:microsoft.com/office/officeart/2005/8/layout/cycle2"/>
    <dgm:cxn modelId="{2B84C7A2-0518-49A4-BC66-6A4AEFABFB61}" type="presParOf" srcId="{73E88AB9-A502-48F2-BD3F-251F51A4C655}" destId="{C53CF10B-9C0B-4EA5-868E-0B4335FBFFDE}" srcOrd="1" destOrd="0" presId="urn:microsoft.com/office/officeart/2005/8/layout/cycle2"/>
    <dgm:cxn modelId="{0192936B-36C1-4478-991C-C76842AEF44B}" type="presParOf" srcId="{C53CF10B-9C0B-4EA5-868E-0B4335FBFFDE}" destId="{F7BCCFD4-2451-4756-A473-EAAE826906D6}" srcOrd="0" destOrd="0" presId="urn:microsoft.com/office/officeart/2005/8/layout/cycle2"/>
    <dgm:cxn modelId="{2E4245AF-25EB-4A77-91E3-2B99C5EAEC01}" type="presParOf" srcId="{73E88AB9-A502-48F2-BD3F-251F51A4C655}" destId="{5ACEB4C0-7214-48A6-9D09-659772B32F4B}" srcOrd="2" destOrd="0" presId="urn:microsoft.com/office/officeart/2005/8/layout/cycle2"/>
    <dgm:cxn modelId="{80B54CC7-CCED-4932-ADA2-57A66A5B1098}" type="presParOf" srcId="{73E88AB9-A502-48F2-BD3F-251F51A4C655}" destId="{82348706-F993-41DA-9C50-4CDD74B5549F}" srcOrd="3" destOrd="0" presId="urn:microsoft.com/office/officeart/2005/8/layout/cycle2"/>
    <dgm:cxn modelId="{1C1CCCB7-6D13-46AA-9B73-E6652AC75087}" type="presParOf" srcId="{82348706-F993-41DA-9C50-4CDD74B5549F}" destId="{D5F493BA-9B9B-4305-9254-1DCA276FB5C8}" srcOrd="0" destOrd="0" presId="urn:microsoft.com/office/officeart/2005/8/layout/cycle2"/>
    <dgm:cxn modelId="{9FA19F6C-5DDF-4623-9E64-A081C99A8096}" type="presParOf" srcId="{73E88AB9-A502-48F2-BD3F-251F51A4C655}" destId="{F3A8C9F1-7DF6-4E3F-ADD1-B2D82E0940E5}" srcOrd="4" destOrd="0" presId="urn:microsoft.com/office/officeart/2005/8/layout/cycle2"/>
    <dgm:cxn modelId="{417DABF5-8D07-45E0-B549-01BD052F2318}" type="presParOf" srcId="{73E88AB9-A502-48F2-BD3F-251F51A4C655}" destId="{FF2C809F-2F95-4563-AE08-29E43DCD002E}" srcOrd="5" destOrd="0" presId="urn:microsoft.com/office/officeart/2005/8/layout/cycle2"/>
    <dgm:cxn modelId="{9E67B04A-5BF8-4BC9-8011-727EA02C034A}" type="presParOf" srcId="{FF2C809F-2F95-4563-AE08-29E43DCD002E}" destId="{40B3EE79-D9CD-48C0-8F46-0A15E6207B35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0EA55C8-4626-4D97-82E9-289295A74861}">
      <dsp:nvSpPr>
        <dsp:cNvPr id="0" name=""/>
        <dsp:cNvSpPr/>
      </dsp:nvSpPr>
      <dsp:spPr>
        <a:xfrm>
          <a:off x="2734656" y="401565"/>
          <a:ext cx="1013333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JCC </a:t>
          </a:r>
          <a:r>
            <a:rPr lang="en-US" sz="2000" kern="1200">
              <a:solidFill>
                <a:srgbClr val="FF0000"/>
              </a:solidFill>
            </a:rPr>
            <a:t>(+14)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COPD: JCC +49 over Oak Park</a:t>
          </a:r>
        </a:p>
      </dsp:txBody>
      <dsp:txXfrm>
        <a:off x="2734656" y="401565"/>
        <a:ext cx="1013333" cy="1013333"/>
      </dsp:txXfrm>
    </dsp:sp>
    <dsp:sp modelId="{1B5BC1FB-F9E6-45DF-B218-D83CC699B2A3}">
      <dsp:nvSpPr>
        <dsp:cNvPr id="0" name=""/>
        <dsp:cNvSpPr/>
      </dsp:nvSpPr>
      <dsp:spPr>
        <a:xfrm>
          <a:off x="1100451" y="10774"/>
          <a:ext cx="2396165" cy="2396165"/>
        </a:xfrm>
        <a:prstGeom prst="circularArrow">
          <a:avLst>
            <a:gd name="adj1" fmla="val 8247"/>
            <a:gd name="adj2" fmla="val 575951"/>
            <a:gd name="adj3" fmla="val 2650497"/>
            <a:gd name="adj4" fmla="val 725193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DF3630E-9156-4781-ADE4-65D085B3C6FB}">
      <dsp:nvSpPr>
        <dsp:cNvPr id="0" name=""/>
        <dsp:cNvSpPr/>
      </dsp:nvSpPr>
      <dsp:spPr>
        <a:xfrm>
          <a:off x="1748802" y="1674801"/>
          <a:ext cx="1131255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Crabtree (+37)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COPD: Crab +135.6 over JCC</a:t>
          </a:r>
        </a:p>
      </dsp:txBody>
      <dsp:txXfrm>
        <a:off x="1748802" y="1674801"/>
        <a:ext cx="1131255" cy="1013333"/>
      </dsp:txXfrm>
    </dsp:sp>
    <dsp:sp modelId="{01C66C09-50A0-4F90-9BA0-D3A80A712C8E}">
      <dsp:nvSpPr>
        <dsp:cNvPr id="0" name=""/>
        <dsp:cNvSpPr/>
      </dsp:nvSpPr>
      <dsp:spPr>
        <a:xfrm>
          <a:off x="1178590" y="46901"/>
          <a:ext cx="2396165" cy="2396165"/>
        </a:xfrm>
        <a:prstGeom prst="circularArrow">
          <a:avLst>
            <a:gd name="adj1" fmla="val 8247"/>
            <a:gd name="adj2" fmla="val 575951"/>
            <a:gd name="adj3" fmla="val 9740718"/>
            <a:gd name="adj4" fmla="val 7778879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33D2F2D-1EBE-47AE-9764-AAC78F95BE07}">
      <dsp:nvSpPr>
        <dsp:cNvPr id="0" name=""/>
        <dsp:cNvSpPr/>
      </dsp:nvSpPr>
      <dsp:spPr>
        <a:xfrm>
          <a:off x="866491" y="369543"/>
          <a:ext cx="1148826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Oak Park (+23)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COPD: Oak Park </a:t>
          </a:r>
          <a:r>
            <a:rPr lang="en-US" sz="1200" kern="1200">
              <a:solidFill>
                <a:srgbClr val="FF0000"/>
              </a:solidFill>
            </a:rPr>
            <a:t>+7.4 </a:t>
          </a:r>
          <a:r>
            <a:rPr lang="en-US" sz="1200" kern="1200"/>
            <a:t>over Crab</a:t>
          </a:r>
        </a:p>
      </dsp:txBody>
      <dsp:txXfrm>
        <a:off x="866491" y="369543"/>
        <a:ext cx="1148826" cy="1013333"/>
      </dsp:txXfrm>
    </dsp:sp>
    <dsp:sp modelId="{83D08C31-9D49-48D2-A927-99BD8FEAC8A3}">
      <dsp:nvSpPr>
        <dsp:cNvPr id="0" name=""/>
        <dsp:cNvSpPr/>
      </dsp:nvSpPr>
      <dsp:spPr>
        <a:xfrm>
          <a:off x="1154021" y="39804"/>
          <a:ext cx="2396165" cy="2396165"/>
        </a:xfrm>
        <a:prstGeom prst="circularArrow">
          <a:avLst>
            <a:gd name="adj1" fmla="val 8247"/>
            <a:gd name="adj2" fmla="val 575951"/>
            <a:gd name="adj3" fmla="val 17531962"/>
            <a:gd name="adj4" fmla="val 14516346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CA006B5-0851-4257-91A7-AE2571473CE1}">
      <dsp:nvSpPr>
        <dsp:cNvPr id="0" name=""/>
        <dsp:cNvSpPr/>
      </dsp:nvSpPr>
      <dsp:spPr>
        <a:xfrm>
          <a:off x="5134272" y="27795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5134272" y="27795"/>
        <a:ext cx="958825" cy="958825"/>
      </dsp:txXfrm>
    </dsp:sp>
    <dsp:sp modelId="{2E8ED0E6-955F-4DAB-8716-BCA8A25F8DC0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21294179"/>
            <a:gd name="adj4" fmla="val 19765418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9B26F0D-38BA-4D89-A5BD-14165474D8F7}">
      <dsp:nvSpPr>
        <dsp:cNvPr id="0" name=""/>
        <dsp:cNvSpPr/>
      </dsp:nvSpPr>
      <dsp:spPr>
        <a:xfrm>
          <a:off x="5714156" y="1812493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5714156" y="1812493"/>
        <a:ext cx="958825" cy="958825"/>
      </dsp:txXfrm>
    </dsp:sp>
    <dsp:sp modelId="{155F31E9-6EBA-47D6-A3DF-851D0053BCC1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4015669"/>
            <a:gd name="adj4" fmla="val 2252541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F84A445-69C4-4606-8A92-35537242DCCA}">
      <dsp:nvSpPr>
        <dsp:cNvPr id="0" name=""/>
        <dsp:cNvSpPr/>
      </dsp:nvSpPr>
      <dsp:spPr>
        <a:xfrm>
          <a:off x="4196001" y="2915497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4196001" y="2915497"/>
        <a:ext cx="958825" cy="958825"/>
      </dsp:txXfrm>
    </dsp:sp>
    <dsp:sp modelId="{1E3B7976-9957-402F-A4B1-91F1874A806F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8211776"/>
            <a:gd name="adj4" fmla="val 6448648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35DEAFA-7A19-4FA4-873F-D2F67E1000F5}">
      <dsp:nvSpPr>
        <dsp:cNvPr id="0" name=""/>
        <dsp:cNvSpPr/>
      </dsp:nvSpPr>
      <dsp:spPr>
        <a:xfrm>
          <a:off x="2677846" y="1812493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2677846" y="1812493"/>
        <a:ext cx="958825" cy="958825"/>
      </dsp:txXfrm>
    </dsp:sp>
    <dsp:sp modelId="{9D78B871-CF17-41DA-ADBC-643E3BEA92A4}">
      <dsp:nvSpPr>
        <dsp:cNvPr id="0" name=""/>
        <dsp:cNvSpPr/>
      </dsp:nvSpPr>
      <dsp:spPr>
        <a:xfrm>
          <a:off x="2784371" y="-207"/>
          <a:ext cx="3597668" cy="3597668"/>
        </a:xfrm>
        <a:prstGeom prst="circularArrow">
          <a:avLst>
            <a:gd name="adj1" fmla="val 5197"/>
            <a:gd name="adj2" fmla="val 335683"/>
            <a:gd name="adj3" fmla="val 12298899"/>
            <a:gd name="adj4" fmla="val 10770138"/>
            <a:gd name="adj5" fmla="val 6063"/>
          </a:avLst>
        </a:prstGeom>
        <a:solidFill>
          <a:srgbClr val="FF000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200247A-EB6F-442E-B1E8-11BFF1587081}">
      <dsp:nvSpPr>
        <dsp:cNvPr id="0" name=""/>
        <dsp:cNvSpPr/>
      </dsp:nvSpPr>
      <dsp:spPr>
        <a:xfrm>
          <a:off x="3257730" y="27795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3257730" y="27795"/>
        <a:ext cx="958825" cy="958825"/>
      </dsp:txXfrm>
    </dsp:sp>
    <dsp:sp modelId="{A6054E44-4B54-47A0-AFF9-FC9572B92213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16866655"/>
            <a:gd name="adj4" fmla="val 15197662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EE2DA5-962A-4A66-9CC3-42EEE18702A5}">
      <dsp:nvSpPr>
        <dsp:cNvPr id="0" name=""/>
        <dsp:cNvSpPr/>
      </dsp:nvSpPr>
      <dsp:spPr>
        <a:xfrm>
          <a:off x="1161506" y="385"/>
          <a:ext cx="695725" cy="6957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Lake Park</a:t>
          </a:r>
        </a:p>
      </dsp:txBody>
      <dsp:txXfrm>
        <a:off x="1263393" y="102272"/>
        <a:ext cx="491951" cy="491951"/>
      </dsp:txXfrm>
    </dsp:sp>
    <dsp:sp modelId="{C53CF10B-9C0B-4EA5-868E-0B4335FBFFDE}">
      <dsp:nvSpPr>
        <dsp:cNvPr id="0" name=""/>
        <dsp:cNvSpPr/>
      </dsp:nvSpPr>
      <dsp:spPr>
        <a:xfrm rot="3600000">
          <a:off x="1675428" y="679065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1689336" y="701936"/>
        <a:ext cx="129811" cy="140885"/>
      </dsp:txXfrm>
    </dsp:sp>
    <dsp:sp modelId="{5ACEB4C0-7214-48A6-9D09-659772B32F4B}">
      <dsp:nvSpPr>
        <dsp:cNvPr id="0" name=""/>
        <dsp:cNvSpPr/>
      </dsp:nvSpPr>
      <dsp:spPr>
        <a:xfrm>
          <a:off x="1684317" y="905918"/>
          <a:ext cx="695725" cy="695725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SpringDale</a:t>
          </a:r>
        </a:p>
      </dsp:txBody>
      <dsp:txXfrm>
        <a:off x="1786204" y="1007805"/>
        <a:ext cx="491951" cy="491951"/>
      </dsp:txXfrm>
    </dsp:sp>
    <dsp:sp modelId="{82348706-F993-41DA-9C50-4CDD74B5549F}">
      <dsp:nvSpPr>
        <dsp:cNvPr id="0" name=""/>
        <dsp:cNvSpPr/>
      </dsp:nvSpPr>
      <dsp:spPr>
        <a:xfrm rot="10800000">
          <a:off x="1421895" y="1136377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10800000">
        <a:off x="1477528" y="1183338"/>
        <a:ext cx="129811" cy="140885"/>
      </dsp:txXfrm>
    </dsp:sp>
    <dsp:sp modelId="{F3A8C9F1-7DF6-4E3F-ADD1-B2D82E0940E5}">
      <dsp:nvSpPr>
        <dsp:cNvPr id="0" name=""/>
        <dsp:cNvSpPr/>
      </dsp:nvSpPr>
      <dsp:spPr>
        <a:xfrm>
          <a:off x="638696" y="905918"/>
          <a:ext cx="695725" cy="69572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Wood Valley</a:t>
          </a:r>
        </a:p>
      </dsp:txBody>
      <dsp:txXfrm>
        <a:off x="740583" y="1007805"/>
        <a:ext cx="491951" cy="491951"/>
      </dsp:txXfrm>
    </dsp:sp>
    <dsp:sp modelId="{FF2C809F-2F95-4563-AE08-29E43DCD002E}">
      <dsp:nvSpPr>
        <dsp:cNvPr id="0" name=""/>
        <dsp:cNvSpPr/>
      </dsp:nvSpPr>
      <dsp:spPr>
        <a:xfrm rot="18000000">
          <a:off x="1152617" y="688156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1166525" y="759207"/>
        <a:ext cx="129811" cy="140885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EE2DA5-962A-4A66-9CC3-42EEE18702A5}">
      <dsp:nvSpPr>
        <dsp:cNvPr id="0" name=""/>
        <dsp:cNvSpPr/>
      </dsp:nvSpPr>
      <dsp:spPr>
        <a:xfrm>
          <a:off x="1161506" y="385"/>
          <a:ext cx="695725" cy="6957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Brookstone</a:t>
          </a:r>
        </a:p>
      </dsp:txBody>
      <dsp:txXfrm>
        <a:off x="1263393" y="102272"/>
        <a:ext cx="491951" cy="491951"/>
      </dsp:txXfrm>
    </dsp:sp>
    <dsp:sp modelId="{C53CF10B-9C0B-4EA5-868E-0B4335FBFFDE}">
      <dsp:nvSpPr>
        <dsp:cNvPr id="0" name=""/>
        <dsp:cNvSpPr/>
      </dsp:nvSpPr>
      <dsp:spPr>
        <a:xfrm rot="3600000">
          <a:off x="1675428" y="679065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689336" y="701936"/>
        <a:ext cx="129811" cy="140885"/>
      </dsp:txXfrm>
    </dsp:sp>
    <dsp:sp modelId="{5ACEB4C0-7214-48A6-9D09-659772B32F4B}">
      <dsp:nvSpPr>
        <dsp:cNvPr id="0" name=""/>
        <dsp:cNvSpPr/>
      </dsp:nvSpPr>
      <dsp:spPr>
        <a:xfrm>
          <a:off x="1684317" y="905918"/>
          <a:ext cx="695725" cy="695725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Highcroft</a:t>
          </a:r>
        </a:p>
      </dsp:txBody>
      <dsp:txXfrm>
        <a:off x="1786204" y="1007805"/>
        <a:ext cx="491951" cy="491951"/>
      </dsp:txXfrm>
    </dsp:sp>
    <dsp:sp modelId="{82348706-F993-41DA-9C50-4CDD74B5549F}">
      <dsp:nvSpPr>
        <dsp:cNvPr id="0" name=""/>
        <dsp:cNvSpPr/>
      </dsp:nvSpPr>
      <dsp:spPr>
        <a:xfrm rot="10800000">
          <a:off x="1421895" y="1136377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1477528" y="1183338"/>
        <a:ext cx="129811" cy="140885"/>
      </dsp:txXfrm>
    </dsp:sp>
    <dsp:sp modelId="{F3A8C9F1-7DF6-4E3F-ADD1-B2D82E0940E5}">
      <dsp:nvSpPr>
        <dsp:cNvPr id="0" name=""/>
        <dsp:cNvSpPr/>
      </dsp:nvSpPr>
      <dsp:spPr>
        <a:xfrm>
          <a:off x="638696" y="905918"/>
          <a:ext cx="695725" cy="69572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Glenridge</a:t>
          </a:r>
        </a:p>
      </dsp:txBody>
      <dsp:txXfrm>
        <a:off x="740583" y="1007805"/>
        <a:ext cx="491951" cy="491951"/>
      </dsp:txXfrm>
    </dsp:sp>
    <dsp:sp modelId="{FF2C809F-2F95-4563-AE08-29E43DCD002E}">
      <dsp:nvSpPr>
        <dsp:cNvPr id="0" name=""/>
        <dsp:cNvSpPr/>
      </dsp:nvSpPr>
      <dsp:spPr>
        <a:xfrm rot="18000000">
          <a:off x="1152617" y="688156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166525" y="759207"/>
        <a:ext cx="129811" cy="14088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1">
  <dgm:title val=""/>
  <dgm:desc val=""/>
  <dgm:catLst>
    <dgm:cat type="cycle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alg type="cycle">
          <dgm:param type="stAng" val="0"/>
          <dgm:param type="spanAng" val="360"/>
        </dgm:alg>
      </dgm:if>
      <dgm:else name="Name2">
        <dgm:alg type="cycle">
          <dgm:param type="stAng" val="0"/>
          <dgm:param type="spanAng" val="-360"/>
        </dgm:alg>
      </dgm:else>
    </dgm:choose>
    <dgm:shape xmlns:r="http://schemas.openxmlformats.org/officeDocument/2006/relationships" r:blip="">
      <dgm:adjLst/>
    </dgm:shape>
    <dgm:presOf/>
    <dgm:choose name="Name3">
      <dgm:if name="Name4" func="var" arg="dir" op="equ" val="norm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if>
      <dgm:else name="Name5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 fact="-1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else>
    </dgm:choose>
    <dgm:ruleLst>
      <dgm:rule type="diam" val="INF" fact="NaN" max="NaN"/>
    </dgm:ruleLst>
    <dgm:forEach name="nodesForEach" axis="ch" ptType="node">
      <dgm:choose name="Name6">
        <dgm:if name="Name7" axis="par ch" ptType="doc node" func="cnt" op="gt" val="1">
          <dgm:layoutNode name="dummy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</dgm:if>
        <dgm:else name="Name8"/>
      </dgm:choose>
      <dgm:layoutNode name="node" styleLbl="revTx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Name11" axis="followSib" ptType="sibTrans" hideLastTrans="0" cnt="1">
            <dgm:layoutNode name="sibTrans" styleLbl="node1">
              <dgm:alg type="conn"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begPad"/>
                <dgm:constr type="endPad"/>
              </dgm:constrLst>
              <dgm:ruleLst/>
            </dgm:layoutNode>
          </dgm:forEach>
        </dgm:if>
        <dgm:else name="Name12"/>
      </dgm:choos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cycle1">
  <dgm:title val=""/>
  <dgm:desc val=""/>
  <dgm:catLst>
    <dgm:cat type="cycle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alg type="cycle">
          <dgm:param type="stAng" val="0"/>
          <dgm:param type="spanAng" val="360"/>
        </dgm:alg>
      </dgm:if>
      <dgm:else name="Name2">
        <dgm:alg type="cycle">
          <dgm:param type="stAng" val="0"/>
          <dgm:param type="spanAng" val="-360"/>
        </dgm:alg>
      </dgm:else>
    </dgm:choose>
    <dgm:shape xmlns:r="http://schemas.openxmlformats.org/officeDocument/2006/relationships" r:blip="">
      <dgm:adjLst/>
    </dgm:shape>
    <dgm:presOf/>
    <dgm:choose name="Name3">
      <dgm:if name="Name4" func="var" arg="dir" op="equ" val="norm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if>
      <dgm:else name="Name5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 fact="-1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else>
    </dgm:choose>
    <dgm:ruleLst>
      <dgm:rule type="diam" val="INF" fact="NaN" max="NaN"/>
    </dgm:ruleLst>
    <dgm:forEach name="nodesForEach" axis="ch" ptType="node">
      <dgm:choose name="Name6">
        <dgm:if name="Name7" axis="par ch" ptType="doc node" func="cnt" op="gt" val="1">
          <dgm:layoutNode name="dummy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</dgm:if>
        <dgm:else name="Name8"/>
      </dgm:choose>
      <dgm:layoutNode name="node" styleLbl="revTx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Name11" axis="followSib" ptType="sibTrans" hideLastTrans="0" cnt="1">
            <dgm:layoutNode name="sibTrans" styleLbl="node1">
              <dgm:alg type="conn"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begPad"/>
                <dgm:constr type="endPad"/>
              </dgm:constrLst>
              <dgm:ruleLst/>
            </dgm:layoutNode>
          </dgm:forEach>
        </dgm:if>
        <dgm:else name="Name12"/>
      </dgm:choos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3.xml"/><Relationship Id="rId7" Type="http://schemas.openxmlformats.org/officeDocument/2006/relationships/diagramLayout" Target="../diagrams/layout4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6" Type="http://schemas.openxmlformats.org/officeDocument/2006/relationships/diagramData" Target="../diagrams/data4.xml"/><Relationship Id="rId5" Type="http://schemas.microsoft.com/office/2007/relationships/diagramDrawing" Target="../diagrams/drawing3.xml"/><Relationship Id="rId10" Type="http://schemas.microsoft.com/office/2007/relationships/diagramDrawing" Target="../diagrams/drawing4.xml"/><Relationship Id="rId4" Type="http://schemas.openxmlformats.org/officeDocument/2006/relationships/diagramColors" Target="../diagrams/colors3.xml"/><Relationship Id="rId9" Type="http://schemas.openxmlformats.org/officeDocument/2006/relationships/diagramColors" Target="../diagrams/colors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158115</xdr:colOff>
      <xdr:row>0</xdr:row>
      <xdr:rowOff>0</xdr:rowOff>
    </xdr:from>
    <xdr:to>
      <xdr:col>17</xdr:col>
      <xdr:colOff>6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215640" y="0"/>
          <a:ext cx="71819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RECORDS</a:t>
          </a:r>
        </a:p>
      </xdr:txBody>
    </xdr:sp>
    <xdr:clientData/>
  </xdr:twoCellAnchor>
  <xdr:twoCellAnchor>
    <xdr:from>
      <xdr:col>13</xdr:col>
      <xdr:colOff>28575</xdr:colOff>
      <xdr:row>0</xdr:row>
      <xdr:rowOff>0</xdr:rowOff>
    </xdr:from>
    <xdr:to>
      <xdr:col>17</xdr:col>
      <xdr:colOff>205701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086100" y="0"/>
          <a:ext cx="104390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1</xdr:row>
      <xdr:rowOff>81643</xdr:rowOff>
    </xdr:from>
    <xdr:to>
      <xdr:col>8</xdr:col>
      <xdr:colOff>511628</xdr:colOff>
      <xdr:row>11</xdr:row>
      <xdr:rowOff>103415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0538122-AF04-4CDA-A42A-66DA94078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20</xdr:col>
      <xdr:colOff>315686</xdr:colOff>
      <xdr:row>1</xdr:row>
      <xdr:rowOff>0</xdr:rowOff>
    </xdr:from>
    <xdr:to>
      <xdr:col>35</xdr:col>
      <xdr:colOff>522514</xdr:colOff>
      <xdr:row>15</xdr:row>
      <xdr:rowOff>141514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A8CB381-7858-4D37-93C7-FBCC80A1F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</xdr:row>
      <xdr:rowOff>76200</xdr:rowOff>
    </xdr:from>
    <xdr:to>
      <xdr:col>2</xdr:col>
      <xdr:colOff>171451</xdr:colOff>
      <xdr:row>7</xdr:row>
      <xdr:rowOff>76200</xdr:rowOff>
    </xdr:to>
    <xdr:sp macro="" textlink="">
      <xdr:nvSpPr>
        <xdr:cNvPr id="2" name="Curved Right Arrow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00125" y="14763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</xdr:colOff>
      <xdr:row>7</xdr:row>
      <xdr:rowOff>104775</xdr:rowOff>
    </xdr:from>
    <xdr:to>
      <xdr:col>2</xdr:col>
      <xdr:colOff>171451</xdr:colOff>
      <xdr:row>9</xdr:row>
      <xdr:rowOff>104775</xdr:rowOff>
    </xdr:to>
    <xdr:sp macro="" textlink="">
      <xdr:nvSpPr>
        <xdr:cNvPr id="3" name="Curved Right Arrow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000125" y="18288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5</xdr:row>
      <xdr:rowOff>76200</xdr:rowOff>
    </xdr:from>
    <xdr:to>
      <xdr:col>5</xdr:col>
      <xdr:colOff>171451</xdr:colOff>
      <xdr:row>7</xdr:row>
      <xdr:rowOff>76200</xdr:rowOff>
    </xdr:to>
    <xdr:sp macro="" textlink="">
      <xdr:nvSpPr>
        <xdr:cNvPr id="4" name="Curved Right Arrow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2867025" y="14763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7</xdr:row>
      <xdr:rowOff>104775</xdr:rowOff>
    </xdr:from>
    <xdr:to>
      <xdr:col>5</xdr:col>
      <xdr:colOff>171451</xdr:colOff>
      <xdr:row>9</xdr:row>
      <xdr:rowOff>104775</xdr:rowOff>
    </xdr:to>
    <xdr:sp macro="" textlink="">
      <xdr:nvSpPr>
        <xdr:cNvPr id="5" name="Curved Right Arrow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2867025" y="18288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5</xdr:row>
      <xdr:rowOff>85725</xdr:rowOff>
    </xdr:from>
    <xdr:to>
      <xdr:col>8</xdr:col>
      <xdr:colOff>180976</xdr:colOff>
      <xdr:row>7</xdr:row>
      <xdr:rowOff>85725</xdr:rowOff>
    </xdr:to>
    <xdr:sp macro="" textlink="">
      <xdr:nvSpPr>
        <xdr:cNvPr id="6" name="Curved Right Arrow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743450" y="14859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7</xdr:row>
      <xdr:rowOff>114300</xdr:rowOff>
    </xdr:from>
    <xdr:to>
      <xdr:col>8</xdr:col>
      <xdr:colOff>180976</xdr:colOff>
      <xdr:row>9</xdr:row>
      <xdr:rowOff>114300</xdr:rowOff>
    </xdr:to>
    <xdr:sp macro="" textlink="">
      <xdr:nvSpPr>
        <xdr:cNvPr id="7" name="Curved Right Arrow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743450" y="183832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5</xdr:row>
      <xdr:rowOff>66675</xdr:rowOff>
    </xdr:from>
    <xdr:to>
      <xdr:col>11</xdr:col>
      <xdr:colOff>180976</xdr:colOff>
      <xdr:row>7</xdr:row>
      <xdr:rowOff>66675</xdr:rowOff>
    </xdr:to>
    <xdr:sp macro="" textlink="">
      <xdr:nvSpPr>
        <xdr:cNvPr id="8" name="Curved Right Arrow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6610350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7</xdr:row>
      <xdr:rowOff>95250</xdr:rowOff>
    </xdr:from>
    <xdr:to>
      <xdr:col>11</xdr:col>
      <xdr:colOff>180976</xdr:colOff>
      <xdr:row>9</xdr:row>
      <xdr:rowOff>95250</xdr:rowOff>
    </xdr:to>
    <xdr:sp macro="" textlink="">
      <xdr:nvSpPr>
        <xdr:cNvPr id="9" name="Curved Right Arrow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6610350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5</xdr:row>
      <xdr:rowOff>66675</xdr:rowOff>
    </xdr:from>
    <xdr:to>
      <xdr:col>14</xdr:col>
      <xdr:colOff>171451</xdr:colOff>
      <xdr:row>7</xdr:row>
      <xdr:rowOff>66675</xdr:rowOff>
    </xdr:to>
    <xdr:sp macro="" textlink="">
      <xdr:nvSpPr>
        <xdr:cNvPr id="10" name="Curved Right Arrow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8505825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7</xdr:row>
      <xdr:rowOff>95250</xdr:rowOff>
    </xdr:from>
    <xdr:to>
      <xdr:col>14</xdr:col>
      <xdr:colOff>171451</xdr:colOff>
      <xdr:row>9</xdr:row>
      <xdr:rowOff>95250</xdr:rowOff>
    </xdr:to>
    <xdr:sp macro="" textlink="">
      <xdr:nvSpPr>
        <xdr:cNvPr id="11" name="Curved Right Arrow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8505825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5</xdr:row>
      <xdr:rowOff>66675</xdr:rowOff>
    </xdr:from>
    <xdr:to>
      <xdr:col>17</xdr:col>
      <xdr:colOff>171451</xdr:colOff>
      <xdr:row>7</xdr:row>
      <xdr:rowOff>66675</xdr:rowOff>
    </xdr:to>
    <xdr:sp macro="" textlink="">
      <xdr:nvSpPr>
        <xdr:cNvPr id="14" name="Curved Right Arrow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10277475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7</xdr:row>
      <xdr:rowOff>95250</xdr:rowOff>
    </xdr:from>
    <xdr:to>
      <xdr:col>17</xdr:col>
      <xdr:colOff>171451</xdr:colOff>
      <xdr:row>9</xdr:row>
      <xdr:rowOff>95250</xdr:rowOff>
    </xdr:to>
    <xdr:sp macro="" textlink="">
      <xdr:nvSpPr>
        <xdr:cNvPr id="15" name="Curved Right Arrow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0277475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228600</xdr:colOff>
      <xdr:row>5</xdr:row>
      <xdr:rowOff>85724</xdr:rowOff>
    </xdr:from>
    <xdr:to>
      <xdr:col>1</xdr:col>
      <xdr:colOff>419100</xdr:colOff>
      <xdr:row>9</xdr:row>
      <xdr:rowOff>95249</xdr:rowOff>
    </xdr:to>
    <xdr:sp macro="" textlink="">
      <xdr:nvSpPr>
        <xdr:cNvPr id="17" name="Curved Right Arrow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590550" y="1485899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5</xdr:row>
      <xdr:rowOff>85725</xdr:rowOff>
    </xdr:from>
    <xdr:to>
      <xdr:col>4</xdr:col>
      <xdr:colOff>409575</xdr:colOff>
      <xdr:row>9</xdr:row>
      <xdr:rowOff>95250</xdr:rowOff>
    </xdr:to>
    <xdr:sp macro="" textlink="">
      <xdr:nvSpPr>
        <xdr:cNvPr id="18" name="Curved Right Arrow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2447925" y="14859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209550</xdr:colOff>
      <xdr:row>5</xdr:row>
      <xdr:rowOff>76200</xdr:rowOff>
    </xdr:from>
    <xdr:to>
      <xdr:col>7</xdr:col>
      <xdr:colOff>400050</xdr:colOff>
      <xdr:row>9</xdr:row>
      <xdr:rowOff>85725</xdr:rowOff>
    </xdr:to>
    <xdr:sp macro="" textlink="">
      <xdr:nvSpPr>
        <xdr:cNvPr id="19" name="Curved Right Arrow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4305300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257175</xdr:colOff>
      <xdr:row>5</xdr:row>
      <xdr:rowOff>76200</xdr:rowOff>
    </xdr:from>
    <xdr:to>
      <xdr:col>10</xdr:col>
      <xdr:colOff>447675</xdr:colOff>
      <xdr:row>9</xdr:row>
      <xdr:rowOff>85725</xdr:rowOff>
    </xdr:to>
    <xdr:sp macro="" textlink="">
      <xdr:nvSpPr>
        <xdr:cNvPr id="20" name="Curved Right Arrow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6219825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238125</xdr:colOff>
      <xdr:row>5</xdr:row>
      <xdr:rowOff>76200</xdr:rowOff>
    </xdr:from>
    <xdr:to>
      <xdr:col>13</xdr:col>
      <xdr:colOff>428625</xdr:colOff>
      <xdr:row>9</xdr:row>
      <xdr:rowOff>85725</xdr:rowOff>
    </xdr:to>
    <xdr:sp macro="" textlink="">
      <xdr:nvSpPr>
        <xdr:cNvPr id="21" name="Curved Right Arrow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8105775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247650</xdr:colOff>
      <xdr:row>5</xdr:row>
      <xdr:rowOff>76200</xdr:rowOff>
    </xdr:from>
    <xdr:to>
      <xdr:col>16</xdr:col>
      <xdr:colOff>438150</xdr:colOff>
      <xdr:row>9</xdr:row>
      <xdr:rowOff>85725</xdr:rowOff>
    </xdr:to>
    <xdr:sp macro="" textlink="">
      <xdr:nvSpPr>
        <xdr:cNvPr id="22" name="Curved Right Arrow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9886950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47625</xdr:colOff>
      <xdr:row>14</xdr:row>
      <xdr:rowOff>66675</xdr:rowOff>
    </xdr:from>
    <xdr:to>
      <xdr:col>5</xdr:col>
      <xdr:colOff>285064</xdr:colOff>
      <xdr:row>24</xdr:row>
      <xdr:rowOff>49454</xdr:rowOff>
    </xdr:to>
    <xdr:graphicFrame macro="">
      <xdr:nvGraphicFramePr>
        <xdr:cNvPr id="23" name="Diagram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28575</xdr:colOff>
      <xdr:row>29</xdr:row>
      <xdr:rowOff>76200</xdr:rowOff>
    </xdr:from>
    <xdr:to>
      <xdr:col>2</xdr:col>
      <xdr:colOff>171451</xdr:colOff>
      <xdr:row>31</xdr:row>
      <xdr:rowOff>76200</xdr:rowOff>
    </xdr:to>
    <xdr:sp macro="" textlink="">
      <xdr:nvSpPr>
        <xdr:cNvPr id="24" name="Curved Right Arrow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1000125" y="8286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</xdr:colOff>
      <xdr:row>31</xdr:row>
      <xdr:rowOff>104775</xdr:rowOff>
    </xdr:from>
    <xdr:to>
      <xdr:col>2</xdr:col>
      <xdr:colOff>171451</xdr:colOff>
      <xdr:row>33</xdr:row>
      <xdr:rowOff>104775</xdr:rowOff>
    </xdr:to>
    <xdr:sp macro="" textlink="">
      <xdr:nvSpPr>
        <xdr:cNvPr id="25" name="Curved Right Arrow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1000125" y="11811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29</xdr:row>
      <xdr:rowOff>76200</xdr:rowOff>
    </xdr:from>
    <xdr:to>
      <xdr:col>5</xdr:col>
      <xdr:colOff>171451</xdr:colOff>
      <xdr:row>31</xdr:row>
      <xdr:rowOff>76200</xdr:rowOff>
    </xdr:to>
    <xdr:sp macro="" textlink="">
      <xdr:nvSpPr>
        <xdr:cNvPr id="26" name="Curved Right Arrow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2867025" y="8286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31</xdr:row>
      <xdr:rowOff>104775</xdr:rowOff>
    </xdr:from>
    <xdr:to>
      <xdr:col>5</xdr:col>
      <xdr:colOff>171451</xdr:colOff>
      <xdr:row>33</xdr:row>
      <xdr:rowOff>104775</xdr:rowOff>
    </xdr:to>
    <xdr:sp macro="" textlink="">
      <xdr:nvSpPr>
        <xdr:cNvPr id="27" name="Curved Right Arrow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2867025" y="11811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29</xdr:row>
      <xdr:rowOff>85725</xdr:rowOff>
    </xdr:from>
    <xdr:to>
      <xdr:col>8</xdr:col>
      <xdr:colOff>180976</xdr:colOff>
      <xdr:row>31</xdr:row>
      <xdr:rowOff>85725</xdr:rowOff>
    </xdr:to>
    <xdr:sp macro="" textlink="">
      <xdr:nvSpPr>
        <xdr:cNvPr id="28" name="Curved Right Arrow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4743450" y="8382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31</xdr:row>
      <xdr:rowOff>114300</xdr:rowOff>
    </xdr:from>
    <xdr:to>
      <xdr:col>8</xdr:col>
      <xdr:colOff>180976</xdr:colOff>
      <xdr:row>33</xdr:row>
      <xdr:rowOff>114300</xdr:rowOff>
    </xdr:to>
    <xdr:sp macro="" textlink="">
      <xdr:nvSpPr>
        <xdr:cNvPr id="29" name="Curved Right Arrow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4743450" y="119062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29</xdr:row>
      <xdr:rowOff>66675</xdr:rowOff>
    </xdr:from>
    <xdr:to>
      <xdr:col>11</xdr:col>
      <xdr:colOff>180976</xdr:colOff>
      <xdr:row>31</xdr:row>
      <xdr:rowOff>66675</xdr:rowOff>
    </xdr:to>
    <xdr:sp macro="" textlink="">
      <xdr:nvSpPr>
        <xdr:cNvPr id="30" name="Curved Right Arrow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6610350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31</xdr:row>
      <xdr:rowOff>95250</xdr:rowOff>
    </xdr:from>
    <xdr:to>
      <xdr:col>11</xdr:col>
      <xdr:colOff>180976</xdr:colOff>
      <xdr:row>33</xdr:row>
      <xdr:rowOff>95250</xdr:rowOff>
    </xdr:to>
    <xdr:sp macro="" textlink="">
      <xdr:nvSpPr>
        <xdr:cNvPr id="31" name="Curved Right Arrow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6610350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29</xdr:row>
      <xdr:rowOff>66675</xdr:rowOff>
    </xdr:from>
    <xdr:to>
      <xdr:col>14</xdr:col>
      <xdr:colOff>171451</xdr:colOff>
      <xdr:row>31</xdr:row>
      <xdr:rowOff>66675</xdr:rowOff>
    </xdr:to>
    <xdr:sp macro="" textlink="">
      <xdr:nvSpPr>
        <xdr:cNvPr id="32" name="Curved Right Arrow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8505825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31</xdr:row>
      <xdr:rowOff>95250</xdr:rowOff>
    </xdr:from>
    <xdr:to>
      <xdr:col>14</xdr:col>
      <xdr:colOff>171451</xdr:colOff>
      <xdr:row>33</xdr:row>
      <xdr:rowOff>95250</xdr:rowOff>
    </xdr:to>
    <xdr:sp macro="" textlink="">
      <xdr:nvSpPr>
        <xdr:cNvPr id="33" name="Curved Right Arrow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8505825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29</xdr:row>
      <xdr:rowOff>66675</xdr:rowOff>
    </xdr:from>
    <xdr:to>
      <xdr:col>17</xdr:col>
      <xdr:colOff>171451</xdr:colOff>
      <xdr:row>31</xdr:row>
      <xdr:rowOff>66675</xdr:rowOff>
    </xdr:to>
    <xdr:sp macro="" textlink="">
      <xdr:nvSpPr>
        <xdr:cNvPr id="34" name="Curved Right Arrow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0277475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31</xdr:row>
      <xdr:rowOff>95250</xdr:rowOff>
    </xdr:from>
    <xdr:to>
      <xdr:col>17</xdr:col>
      <xdr:colOff>171451</xdr:colOff>
      <xdr:row>33</xdr:row>
      <xdr:rowOff>95250</xdr:rowOff>
    </xdr:to>
    <xdr:sp macro="" textlink="">
      <xdr:nvSpPr>
        <xdr:cNvPr id="35" name="Curved Right Arrow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0277475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228600</xdr:colOff>
      <xdr:row>29</xdr:row>
      <xdr:rowOff>85724</xdr:rowOff>
    </xdr:from>
    <xdr:to>
      <xdr:col>1</xdr:col>
      <xdr:colOff>419100</xdr:colOff>
      <xdr:row>33</xdr:row>
      <xdr:rowOff>95249</xdr:rowOff>
    </xdr:to>
    <xdr:sp macro="" textlink="">
      <xdr:nvSpPr>
        <xdr:cNvPr id="36" name="Curved Right Arrow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590550" y="838199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276225</xdr:colOff>
      <xdr:row>29</xdr:row>
      <xdr:rowOff>85725</xdr:rowOff>
    </xdr:from>
    <xdr:to>
      <xdr:col>4</xdr:col>
      <xdr:colOff>466725</xdr:colOff>
      <xdr:row>33</xdr:row>
      <xdr:rowOff>95250</xdr:rowOff>
    </xdr:to>
    <xdr:sp macro="" textlink="">
      <xdr:nvSpPr>
        <xdr:cNvPr id="37" name="Curved Right Arrow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2505075" y="488632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228600</xdr:colOff>
      <xdr:row>29</xdr:row>
      <xdr:rowOff>76200</xdr:rowOff>
    </xdr:from>
    <xdr:to>
      <xdr:col>7</xdr:col>
      <xdr:colOff>419100</xdr:colOff>
      <xdr:row>33</xdr:row>
      <xdr:rowOff>85725</xdr:rowOff>
    </xdr:to>
    <xdr:sp macro="" textlink="">
      <xdr:nvSpPr>
        <xdr:cNvPr id="38" name="Curved Right Arrow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4324350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228600</xdr:colOff>
      <xdr:row>29</xdr:row>
      <xdr:rowOff>76200</xdr:rowOff>
    </xdr:from>
    <xdr:to>
      <xdr:col>10</xdr:col>
      <xdr:colOff>419100</xdr:colOff>
      <xdr:row>33</xdr:row>
      <xdr:rowOff>85725</xdr:rowOff>
    </xdr:to>
    <xdr:sp macro="" textlink="">
      <xdr:nvSpPr>
        <xdr:cNvPr id="39" name="Curved Right Arrow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6191250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276225</xdr:colOff>
      <xdr:row>29</xdr:row>
      <xdr:rowOff>76200</xdr:rowOff>
    </xdr:from>
    <xdr:to>
      <xdr:col>13</xdr:col>
      <xdr:colOff>466725</xdr:colOff>
      <xdr:row>33</xdr:row>
      <xdr:rowOff>85725</xdr:rowOff>
    </xdr:to>
    <xdr:sp macro="" textlink="">
      <xdr:nvSpPr>
        <xdr:cNvPr id="40" name="Curved Right Arrow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8143875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247650</xdr:colOff>
      <xdr:row>29</xdr:row>
      <xdr:rowOff>76200</xdr:rowOff>
    </xdr:from>
    <xdr:to>
      <xdr:col>16</xdr:col>
      <xdr:colOff>438150</xdr:colOff>
      <xdr:row>33</xdr:row>
      <xdr:rowOff>85725</xdr:rowOff>
    </xdr:to>
    <xdr:sp macro="" textlink="">
      <xdr:nvSpPr>
        <xdr:cNvPr id="41" name="Curved Right Arrow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9886950" y="8286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323850</xdr:colOff>
      <xdr:row>42</xdr:row>
      <xdr:rowOff>57150</xdr:rowOff>
    </xdr:from>
    <xdr:to>
      <xdr:col>5</xdr:col>
      <xdr:colOff>199339</xdr:colOff>
      <xdr:row>52</xdr:row>
      <xdr:rowOff>39929</xdr:rowOff>
    </xdr:to>
    <xdr:graphicFrame macro="">
      <xdr:nvGraphicFramePr>
        <xdr:cNvPr id="42" name="Diagram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2</xdr:col>
      <xdr:colOff>1076325</xdr:colOff>
      <xdr:row>29</xdr:row>
      <xdr:rowOff>104775</xdr:rowOff>
    </xdr:from>
    <xdr:to>
      <xdr:col>2</xdr:col>
      <xdr:colOff>1209675</xdr:colOff>
      <xdr:row>33</xdr:row>
      <xdr:rowOff>114300</xdr:rowOff>
    </xdr:to>
    <xdr:sp macro="" textlink="">
      <xdr:nvSpPr>
        <xdr:cNvPr id="43" name="Curved Right Arrow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 flipH="1">
          <a:off x="204787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1057275</xdr:colOff>
      <xdr:row>29</xdr:row>
      <xdr:rowOff>95250</xdr:rowOff>
    </xdr:from>
    <xdr:to>
      <xdr:col>5</xdr:col>
      <xdr:colOff>1190625</xdr:colOff>
      <xdr:row>33</xdr:row>
      <xdr:rowOff>104775</xdr:rowOff>
    </xdr:to>
    <xdr:sp macro="" textlink="">
      <xdr:nvSpPr>
        <xdr:cNvPr id="44" name="Curved Right Arrow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 flipH="1">
          <a:off x="4381500" y="47339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1057275</xdr:colOff>
      <xdr:row>29</xdr:row>
      <xdr:rowOff>95250</xdr:rowOff>
    </xdr:from>
    <xdr:to>
      <xdr:col>8</xdr:col>
      <xdr:colOff>1190625</xdr:colOff>
      <xdr:row>33</xdr:row>
      <xdr:rowOff>104775</xdr:rowOff>
    </xdr:to>
    <xdr:sp macro="" textlink="">
      <xdr:nvSpPr>
        <xdr:cNvPr id="45" name="Curved Right Arrow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 flipH="1">
          <a:off x="6734175" y="47339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1047750</xdr:colOff>
      <xdr:row>29</xdr:row>
      <xdr:rowOff>76200</xdr:rowOff>
    </xdr:from>
    <xdr:to>
      <xdr:col>11</xdr:col>
      <xdr:colOff>1181100</xdr:colOff>
      <xdr:row>33</xdr:row>
      <xdr:rowOff>85725</xdr:rowOff>
    </xdr:to>
    <xdr:sp macro="" textlink="">
      <xdr:nvSpPr>
        <xdr:cNvPr id="46" name="Curved Right Arrow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 flipH="1">
          <a:off x="9077325" y="471487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962025</xdr:colOff>
      <xdr:row>29</xdr:row>
      <xdr:rowOff>104775</xdr:rowOff>
    </xdr:from>
    <xdr:to>
      <xdr:col>14</xdr:col>
      <xdr:colOff>1095375</xdr:colOff>
      <xdr:row>33</xdr:row>
      <xdr:rowOff>114300</xdr:rowOff>
    </xdr:to>
    <xdr:sp macro="" textlink="">
      <xdr:nvSpPr>
        <xdr:cNvPr id="47" name="Curved Right Arrow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 flipH="1">
          <a:off x="1138237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1009650</xdr:colOff>
      <xdr:row>29</xdr:row>
      <xdr:rowOff>104775</xdr:rowOff>
    </xdr:from>
    <xdr:to>
      <xdr:col>17</xdr:col>
      <xdr:colOff>1143000</xdr:colOff>
      <xdr:row>33</xdr:row>
      <xdr:rowOff>114300</xdr:rowOff>
    </xdr:to>
    <xdr:sp macro="" textlink="">
      <xdr:nvSpPr>
        <xdr:cNvPr id="48" name="Curved Right Arrow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 flipH="1">
          <a:off x="1368742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1019175</xdr:colOff>
      <xdr:row>5</xdr:row>
      <xdr:rowOff>104775</xdr:rowOff>
    </xdr:from>
    <xdr:to>
      <xdr:col>2</xdr:col>
      <xdr:colOff>1152525</xdr:colOff>
      <xdr:row>9</xdr:row>
      <xdr:rowOff>114300</xdr:rowOff>
    </xdr:to>
    <xdr:sp macro="" textlink="">
      <xdr:nvSpPr>
        <xdr:cNvPr id="49" name="Curved Right Arrow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 flipH="1">
          <a:off x="1990725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1095375</xdr:colOff>
      <xdr:row>5</xdr:row>
      <xdr:rowOff>95250</xdr:rowOff>
    </xdr:from>
    <xdr:to>
      <xdr:col>5</xdr:col>
      <xdr:colOff>1228725</xdr:colOff>
      <xdr:row>9</xdr:row>
      <xdr:rowOff>104775</xdr:rowOff>
    </xdr:to>
    <xdr:sp macro="" textlink="">
      <xdr:nvSpPr>
        <xdr:cNvPr id="50" name="Curved Right Arrow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 flipH="1">
          <a:off x="4238625" y="8477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1114425</xdr:colOff>
      <xdr:row>5</xdr:row>
      <xdr:rowOff>114300</xdr:rowOff>
    </xdr:from>
    <xdr:to>
      <xdr:col>8</xdr:col>
      <xdr:colOff>1247775</xdr:colOff>
      <xdr:row>9</xdr:row>
      <xdr:rowOff>123825</xdr:rowOff>
    </xdr:to>
    <xdr:sp macro="" textlink="">
      <xdr:nvSpPr>
        <xdr:cNvPr id="51" name="Curved Right Arrow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 flipH="1">
          <a:off x="6429375" y="86677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1114425</xdr:colOff>
      <xdr:row>5</xdr:row>
      <xdr:rowOff>104775</xdr:rowOff>
    </xdr:from>
    <xdr:to>
      <xdr:col>11</xdr:col>
      <xdr:colOff>1247775</xdr:colOff>
      <xdr:row>9</xdr:row>
      <xdr:rowOff>114300</xdr:rowOff>
    </xdr:to>
    <xdr:sp macro="" textlink="">
      <xdr:nvSpPr>
        <xdr:cNvPr id="52" name="Curved Right Arrow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 flipH="1">
          <a:off x="8601075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1038225</xdr:colOff>
      <xdr:row>5</xdr:row>
      <xdr:rowOff>95250</xdr:rowOff>
    </xdr:from>
    <xdr:to>
      <xdr:col>15</xdr:col>
      <xdr:colOff>9525</xdr:colOff>
      <xdr:row>9</xdr:row>
      <xdr:rowOff>104775</xdr:rowOff>
    </xdr:to>
    <xdr:sp macro="" textlink="">
      <xdr:nvSpPr>
        <xdr:cNvPr id="53" name="Curved Right Arrow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 flipH="1">
          <a:off x="10734675" y="8477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1066800</xdr:colOff>
      <xdr:row>5</xdr:row>
      <xdr:rowOff>104775</xdr:rowOff>
    </xdr:from>
    <xdr:to>
      <xdr:col>17</xdr:col>
      <xdr:colOff>1200150</xdr:colOff>
      <xdr:row>9</xdr:row>
      <xdr:rowOff>114300</xdr:rowOff>
    </xdr:to>
    <xdr:sp macro="" textlink="">
      <xdr:nvSpPr>
        <xdr:cNvPr id="54" name="Curved Right Arrow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 flipH="1">
          <a:off x="12839700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8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G61"/>
  <sheetViews>
    <sheetView topLeftCell="A11" zoomScale="85" zoomScaleNormal="85" workbookViewId="0">
      <selection activeCell="M57" sqref="M57"/>
    </sheetView>
  </sheetViews>
  <sheetFormatPr defaultColWidth="9.140625" defaultRowHeight="12.75"/>
  <cols>
    <col min="1" max="1" width="7.140625" style="5" customWidth="1"/>
    <col min="2" max="2" width="5.5703125" style="5" customWidth="1"/>
    <col min="3" max="3" width="19" style="15" customWidth="1"/>
    <col min="4" max="4" width="3.7109375" style="15" customWidth="1"/>
    <col min="5" max="10" width="5.5703125" style="15" hidden="1" customWidth="1"/>
    <col min="11" max="11" width="7.7109375" style="15" hidden="1" customWidth="1"/>
    <col min="12" max="12" width="4.7109375" style="15" hidden="1" customWidth="1"/>
    <col min="13" max="13" width="3.7109375" style="2" customWidth="1"/>
    <col min="14" max="19" width="3.85546875" style="2" customWidth="1"/>
    <col min="20" max="20" width="3.5703125" style="5" hidden="1" customWidth="1"/>
    <col min="21" max="22" width="4.140625" style="3" bestFit="1" customWidth="1"/>
    <col min="23" max="23" width="3.7109375" style="3" customWidth="1"/>
    <col min="24" max="31" width="4.140625" style="2" bestFit="1" customWidth="1"/>
    <col min="32" max="32" width="3.5703125" style="2" bestFit="1" customWidth="1"/>
    <col min="33" max="38" width="4.140625" style="2" bestFit="1" customWidth="1"/>
    <col min="39" max="39" width="4.42578125" style="2" customWidth="1"/>
    <col min="40" max="48" width="4.140625" style="2" bestFit="1" customWidth="1"/>
    <col min="49" max="49" width="6.28515625" style="2" bestFit="1" customWidth="1"/>
    <col min="50" max="50" width="4.140625" style="5" bestFit="1" customWidth="1"/>
    <col min="51" max="51" width="3.5703125" style="5" bestFit="1" customWidth="1"/>
    <col min="52" max="52" width="4.140625" style="2" bestFit="1" customWidth="1"/>
    <col min="53" max="53" width="4.28515625" style="2" customWidth="1"/>
    <col min="54" max="55" width="4.140625" style="5" bestFit="1" customWidth="1"/>
    <col min="56" max="57" width="4.140625" style="2" bestFit="1" customWidth="1"/>
    <col min="58" max="58" width="3.5703125" style="2" bestFit="1" customWidth="1"/>
    <col min="59" max="59" width="3.5703125" style="5" bestFit="1" customWidth="1"/>
    <col min="60" max="60" width="4.140625" style="5" bestFit="1" customWidth="1"/>
    <col min="61" max="71" width="4.140625" style="8" bestFit="1" customWidth="1"/>
    <col min="72" max="72" width="3.5703125" style="8" bestFit="1" customWidth="1"/>
    <col min="73" max="74" width="4.140625" style="8" bestFit="1" customWidth="1"/>
    <col min="75" max="75" width="9.85546875" style="82" customWidth="1"/>
    <col min="76" max="78" width="6" style="5" customWidth="1"/>
    <col min="79" max="79" width="7.28515625" style="8" customWidth="1"/>
    <col min="80" max="82" width="9.140625" style="8" customWidth="1"/>
    <col min="83" max="84" width="9.140625" style="5" customWidth="1"/>
    <col min="85" max="87" width="9.140625" style="8" customWidth="1"/>
    <col min="88" max="16384" width="9.140625" style="8"/>
  </cols>
  <sheetData>
    <row r="1" spans="1:85" s="1" customFormat="1" ht="70.150000000000006" customHeight="1">
      <c r="A1" s="124">
        <f>BX56</f>
        <v>0.62587412587412583</v>
      </c>
      <c r="C1" s="2">
        <f>SUM(U4:BT52)+SUM(North!U4:W7)</f>
        <v>0</v>
      </c>
      <c r="E1" s="140"/>
      <c r="F1" s="141"/>
      <c r="G1" s="141"/>
      <c r="H1" s="141"/>
      <c r="I1" s="141"/>
      <c r="J1" s="141"/>
      <c r="K1" s="141"/>
      <c r="L1" s="141"/>
      <c r="M1" s="3"/>
      <c r="N1" s="169" t="s">
        <v>112</v>
      </c>
      <c r="O1" s="170"/>
      <c r="P1" s="170"/>
      <c r="Q1" s="170"/>
      <c r="R1" s="170"/>
      <c r="S1" s="170"/>
      <c r="T1" s="144"/>
      <c r="U1" s="4" t="str">
        <f>North!C4</f>
        <v>Seven Oaks</v>
      </c>
      <c r="V1" s="4" t="str">
        <f>North!C5</f>
        <v>University Club</v>
      </c>
      <c r="W1" s="4" t="str">
        <f>North!C6</f>
        <v>Greystone</v>
      </c>
      <c r="X1" s="4" t="str">
        <f>C4</f>
        <v>Cary</v>
      </c>
      <c r="Y1" s="4" t="str">
        <f>C5</f>
        <v>Scottish Hills</v>
      </c>
      <c r="Z1" s="4" t="str">
        <f>C6</f>
        <v>Cary Park</v>
      </c>
      <c r="AA1" s="4" t="str">
        <f>C7</f>
        <v>Apex</v>
      </c>
      <c r="AB1" s="4" t="str">
        <f>C8</f>
        <v>Medfield</v>
      </c>
      <c r="AC1" s="4" t="str">
        <f>C9</f>
        <v>Sunset Ridge</v>
      </c>
      <c r="AD1" s="4" t="str">
        <f>C10</f>
        <v>Abbington</v>
      </c>
      <c r="AE1" s="4" t="str">
        <f>C11</f>
        <v>Prestonwood</v>
      </c>
      <c r="AF1" s="4" t="str">
        <f>C12</f>
        <v>Dutchman Downs</v>
      </c>
      <c r="AG1" s="4" t="str">
        <f>C13</f>
        <v>Lochmere</v>
      </c>
      <c r="AH1" s="4" t="str">
        <f>C14</f>
        <v>Shepherds Vineyard</v>
      </c>
      <c r="AI1" s="4" t="str">
        <f>C15</f>
        <v>Olive Chapel</v>
      </c>
      <c r="AJ1" s="4" t="str">
        <f>C16</f>
        <v>Preston Village</v>
      </c>
      <c r="AK1" s="4" t="str">
        <f>C17</f>
        <v>Walden Creek</v>
      </c>
      <c r="AL1" s="4" t="str">
        <f>C18</f>
        <v>WoodCreek</v>
      </c>
      <c r="AM1" s="4" t="str">
        <f>C19</f>
        <v>Silverton</v>
      </c>
      <c r="AN1" s="4" t="str">
        <f>C20</f>
        <v>Clubworx</v>
      </c>
      <c r="AO1" s="4" t="str">
        <f>C21</f>
        <v>Brookstone</v>
      </c>
      <c r="AP1" s="4" t="str">
        <f>C22</f>
        <v>Regency</v>
      </c>
      <c r="AQ1" s="4" t="str">
        <f>C23</f>
        <v>Wellsley</v>
      </c>
      <c r="AR1" s="4" t="str">
        <f>C24</f>
        <v>Amberly</v>
      </c>
      <c r="AS1" s="4" t="str">
        <f>C25</f>
        <v>Highcroft</v>
      </c>
      <c r="AT1" s="4" t="str">
        <f>C26</f>
        <v>Weatherstone</v>
      </c>
      <c r="AU1" s="4" t="str">
        <f>C27</f>
        <v>Weldon Ridge</v>
      </c>
      <c r="AV1" s="4" t="str">
        <f>C28</f>
        <v>Oxxford Hunt</v>
      </c>
      <c r="AW1" s="4" t="str">
        <f>C29</f>
        <v>Haddon Hall</v>
      </c>
      <c r="AX1" s="4" t="str">
        <f>C30</f>
        <v>Scotts Mill</v>
      </c>
      <c r="AY1" s="4" t="str">
        <f>C31</f>
        <v>Park at West Lake</v>
      </c>
      <c r="AZ1" s="4" t="str">
        <f>C32</f>
        <v>Life Time Fitness Cary</v>
      </c>
      <c r="BA1" s="4" t="str">
        <f>C33</f>
        <v>Holly Glen</v>
      </c>
      <c r="BB1" s="4" t="str">
        <f>C34</f>
        <v>Bella Casa</v>
      </c>
      <c r="BC1" s="4" t="str">
        <f>C35</f>
        <v>The Reserve</v>
      </c>
      <c r="BD1" s="4" t="str">
        <f>C36</f>
        <v>TCC</v>
      </c>
      <c r="BE1" s="4" t="str">
        <f>C37</f>
        <v>Kildaire Farms</v>
      </c>
      <c r="BF1" s="4" t="str">
        <f>C38</f>
        <v>Carpenter Village</v>
      </c>
      <c r="BG1" s="4" t="str">
        <f>C39</f>
        <v>Bentwinds</v>
      </c>
      <c r="BH1" s="4" t="str">
        <f>C40</f>
        <v>Kitts Creek</v>
      </c>
      <c r="BI1" s="4" t="str">
        <f>C41</f>
        <v>Park Village</v>
      </c>
      <c r="BJ1" s="4" t="str">
        <f>C42</f>
        <v>Brighton Forest</v>
      </c>
      <c r="BK1" s="4" t="str">
        <f>C43</f>
        <v>Eagle Ridge</v>
      </c>
      <c r="BL1" s="4" t="str">
        <f>C44</f>
        <v>Glenridge</v>
      </c>
      <c r="BM1" s="4" t="str">
        <f>C45</f>
        <v>Harmony</v>
      </c>
      <c r="BN1" s="4" t="str">
        <f>C46</f>
        <v>Garner</v>
      </c>
      <c r="BO1" s="4" t="str">
        <f>C47</f>
        <v>Crooked Creek</v>
      </c>
      <c r="BP1" s="4" t="str">
        <f>C48</f>
        <v>Charleston Village</v>
      </c>
      <c r="BQ1" s="4" t="str">
        <f>C49</f>
        <v>Arbor Creek</v>
      </c>
      <c r="BR1" s="4" t="str">
        <f>C50</f>
        <v>Devereaux</v>
      </c>
      <c r="BS1" s="4" t="str">
        <f>C51</f>
        <v>Wellington Park</v>
      </c>
      <c r="BT1" s="4" t="str">
        <f>C52</f>
        <v>Renaissance Park</v>
      </c>
      <c r="BU1" s="4" t="str">
        <f>C53</f>
        <v>Breckenridge</v>
      </c>
      <c r="BV1" s="4" t="str">
        <f>C54</f>
        <v>Sweetwater</v>
      </c>
      <c r="BW1" s="80"/>
      <c r="BX1" s="4"/>
      <c r="CA1" s="64"/>
    </row>
    <row r="2" spans="1:85">
      <c r="A2" s="9">
        <v>2026</v>
      </c>
      <c r="B2" s="9">
        <v>2025</v>
      </c>
      <c r="C2" s="6"/>
      <c r="D2" s="6"/>
      <c r="E2" s="166" t="s">
        <v>130</v>
      </c>
      <c r="F2" s="167"/>
      <c r="G2" s="167"/>
      <c r="H2" s="167"/>
      <c r="I2" s="167"/>
      <c r="J2" s="168"/>
      <c r="K2" s="6"/>
      <c r="L2" s="2">
        <v>2023</v>
      </c>
      <c r="M2" s="7"/>
      <c r="N2" s="163" t="s">
        <v>75</v>
      </c>
      <c r="O2" s="164"/>
      <c r="P2" s="164"/>
      <c r="Q2" s="163" t="s">
        <v>41</v>
      </c>
      <c r="R2" s="164"/>
      <c r="S2" s="165"/>
      <c r="U2" s="2" t="s">
        <v>42</v>
      </c>
      <c r="V2" s="2" t="s">
        <v>42</v>
      </c>
      <c r="W2" s="2" t="s">
        <v>42</v>
      </c>
      <c r="X2" s="2">
        <v>1</v>
      </c>
      <c r="Y2" s="2">
        <v>1</v>
      </c>
      <c r="Z2" s="2">
        <v>1</v>
      </c>
      <c r="AA2" s="2">
        <v>1</v>
      </c>
      <c r="AB2" s="2">
        <v>2</v>
      </c>
      <c r="AC2" s="2">
        <v>2</v>
      </c>
      <c r="AD2" s="2">
        <v>2</v>
      </c>
      <c r="AE2" s="2">
        <v>2</v>
      </c>
      <c r="AF2" s="2">
        <v>3</v>
      </c>
      <c r="AG2" s="2">
        <v>3</v>
      </c>
      <c r="AH2" s="2">
        <v>3</v>
      </c>
      <c r="AI2" s="2">
        <v>3</v>
      </c>
      <c r="AJ2" s="2">
        <v>4</v>
      </c>
      <c r="AK2" s="2">
        <v>4</v>
      </c>
      <c r="AL2" s="2">
        <v>4</v>
      </c>
      <c r="AM2" s="2">
        <v>4</v>
      </c>
      <c r="AN2" s="2">
        <v>5</v>
      </c>
      <c r="AO2" s="2">
        <v>5</v>
      </c>
      <c r="AP2" s="2">
        <v>5</v>
      </c>
      <c r="AQ2" s="2">
        <v>5</v>
      </c>
      <c r="AR2" s="2">
        <v>6</v>
      </c>
      <c r="AS2" s="2">
        <v>6</v>
      </c>
      <c r="AT2" s="2">
        <v>6</v>
      </c>
      <c r="AU2" s="2">
        <v>6</v>
      </c>
      <c r="AV2" s="2">
        <v>7</v>
      </c>
      <c r="AW2" s="2">
        <v>7</v>
      </c>
      <c r="AX2" s="2">
        <v>7</v>
      </c>
      <c r="AY2" s="2">
        <v>7</v>
      </c>
      <c r="AZ2" s="2">
        <v>8</v>
      </c>
      <c r="BA2" s="2">
        <v>8</v>
      </c>
      <c r="BB2" s="2">
        <v>8</v>
      </c>
      <c r="BC2" s="2">
        <v>8</v>
      </c>
      <c r="BD2" s="2">
        <v>9</v>
      </c>
      <c r="BE2" s="2">
        <v>9</v>
      </c>
      <c r="BF2" s="2">
        <v>9</v>
      </c>
      <c r="BG2" s="2">
        <v>9</v>
      </c>
      <c r="BH2" s="2">
        <v>10</v>
      </c>
      <c r="BI2" s="2">
        <v>10</v>
      </c>
      <c r="BJ2" s="2">
        <v>10</v>
      </c>
      <c r="BK2" s="2">
        <v>10</v>
      </c>
      <c r="BL2" s="2">
        <v>11</v>
      </c>
      <c r="BM2" s="2">
        <v>11</v>
      </c>
      <c r="BN2" s="2">
        <v>11</v>
      </c>
      <c r="BO2" s="2">
        <v>11</v>
      </c>
      <c r="BP2" s="2">
        <v>12</v>
      </c>
      <c r="BQ2" s="2">
        <v>12</v>
      </c>
      <c r="BR2" s="2">
        <v>12</v>
      </c>
      <c r="BS2" s="2">
        <v>13</v>
      </c>
      <c r="BT2" s="2">
        <v>13</v>
      </c>
      <c r="BU2" s="2">
        <v>13</v>
      </c>
      <c r="BV2" s="2">
        <v>13</v>
      </c>
      <c r="BW2" s="81"/>
      <c r="BX2" s="5" t="s">
        <v>107</v>
      </c>
      <c r="BY2" s="5" t="s">
        <v>107</v>
      </c>
      <c r="BZ2" s="5" t="s">
        <v>107</v>
      </c>
    </row>
    <row r="3" spans="1:85" ht="13.5" thickBot="1">
      <c r="A3" s="9" t="s">
        <v>43</v>
      </c>
      <c r="B3" s="9" t="s">
        <v>43</v>
      </c>
      <c r="C3" s="2"/>
      <c r="D3" s="2"/>
      <c r="E3" s="68" t="s">
        <v>119</v>
      </c>
      <c r="F3" s="68" t="s">
        <v>120</v>
      </c>
      <c r="G3" s="68" t="s">
        <v>121</v>
      </c>
      <c r="H3" s="68" t="s">
        <v>131</v>
      </c>
      <c r="I3" s="68" t="s">
        <v>132</v>
      </c>
      <c r="J3" s="68" t="s">
        <v>133</v>
      </c>
      <c r="K3" s="2"/>
      <c r="L3" s="2" t="s">
        <v>43</v>
      </c>
      <c r="M3" s="7" t="s">
        <v>69</v>
      </c>
      <c r="N3" s="7" t="s">
        <v>44</v>
      </c>
      <c r="O3" s="7" t="s">
        <v>45</v>
      </c>
      <c r="P3" s="7" t="s">
        <v>46</v>
      </c>
      <c r="Q3" s="7" t="s">
        <v>44</v>
      </c>
      <c r="R3" s="7" t="s">
        <v>45</v>
      </c>
      <c r="S3" s="7" t="s">
        <v>46</v>
      </c>
      <c r="T3" s="5" t="s">
        <v>47</v>
      </c>
      <c r="BW3" s="81"/>
      <c r="BX3" s="5" t="s">
        <v>108</v>
      </c>
      <c r="BY3" s="5" t="s">
        <v>109</v>
      </c>
      <c r="BZ3" s="5" t="s">
        <v>110</v>
      </c>
      <c r="CA3" s="5" t="s">
        <v>111</v>
      </c>
      <c r="CE3" s="9" t="s">
        <v>184</v>
      </c>
      <c r="CF3" s="9" t="s">
        <v>124</v>
      </c>
      <c r="CG3" s="9" t="s">
        <v>125</v>
      </c>
    </row>
    <row r="4" spans="1:85">
      <c r="A4" s="2">
        <v>1</v>
      </c>
      <c r="B4" s="5">
        <v>1</v>
      </c>
      <c r="C4" s="154" t="s">
        <v>17</v>
      </c>
      <c r="D4" s="5"/>
      <c r="E4" s="5">
        <f>IF(AND(X4&gt;0,$A4&lt;VLOOKUP(X$1,$C:$L,10,FALSE)),1,IF(AND(X4&lt;0,$A4&gt;VLOOKUP(X$1,$C:$L,10,FALSE)),1,0))</f>
        <v>0</v>
      </c>
      <c r="F4" s="5">
        <f>IF(AND(Y4&gt;0,$A4&lt;VLOOKUP(Y$1,$C:$L,10,FALSE)),1,IF(AND(Y4&lt;0,$A4&gt;VLOOKUP(Y$1,$C:$L,10,FALSE)),1,0))</f>
        <v>1</v>
      </c>
      <c r="G4" s="5">
        <f>IF(AND(Z4&gt;0,$A4&lt;VLOOKUP(Z$1,$C:$L,10,FALSE)),1,IF(AND(Z4&lt;0,$A4&gt;VLOOKUP(Z$1,$C:$L,10,FALSE)),1,0))</f>
        <v>1</v>
      </c>
      <c r="H4" s="5">
        <f>IF(AND(AB4&gt;0,$A4&lt;VLOOKUP(AB$1,$C:$L,10,FALSE)),1,IF(AND(AB4&lt;0,$A4&gt;VLOOKUP(AB$1,$C:$L,10,FALSE)),1,0))</f>
        <v>1</v>
      </c>
      <c r="I4" s="5">
        <f>IF(AND(AC4&gt;0,$A4&lt;VLOOKUP(AC$1,$C:$L,10,FALSE)),1,IF(AND(AC4&lt;0,$A4&gt;VLOOKUP(AC$1,$C:$L,10,FALSE)),1,0))</f>
        <v>1</v>
      </c>
      <c r="J4" s="5">
        <f>IF(AND(AD4&gt;0,$A4&lt;VLOOKUP(AD$1,$C:$L,10,FALSE)),1,IF(AND(AD4&lt;0,$A4&gt;VLOOKUP(AD$1,$C:$L,10,FALSE)),1,0))</f>
        <v>1</v>
      </c>
      <c r="K4" s="79" t="s">
        <v>134</v>
      </c>
      <c r="L4" s="125">
        <f t="shared" ref="L4:L35" si="0">B4</f>
        <v>1</v>
      </c>
      <c r="M4" s="2">
        <v>1</v>
      </c>
      <c r="N4" s="11">
        <f t="shared" ref="N4:N42" si="1">COUNTIF($U4:$BT4,"&gt;0")</f>
        <v>5</v>
      </c>
      <c r="O4" s="2">
        <f t="shared" ref="O4:O42" si="2">COUNTIF($U4:$BT4,"&lt;0")</f>
        <v>1</v>
      </c>
      <c r="P4" s="2">
        <f t="shared" ref="P4:P42" si="3">COUNTIF($U4:$BT4,"=0")</f>
        <v>0</v>
      </c>
      <c r="Q4" s="12">
        <f>COUNTIF($X4:$AA4,"&gt;0")</f>
        <v>3</v>
      </c>
      <c r="R4" s="13">
        <f>COUNTIF($X4:$AA4,"&lt;0")</f>
        <v>0</v>
      </c>
      <c r="S4" s="14">
        <f>COUNTIF($X4:$AA4,"=0")</f>
        <v>0</v>
      </c>
      <c r="T4" s="2">
        <f t="shared" ref="T4:T35" si="4">COUNTIF(U4:BU4,"NC")</f>
        <v>0</v>
      </c>
      <c r="U4" s="2">
        <f>IFERROR(IFERROR(VLOOKUP($C4&amp;" "&amp;U$1,Results!$F:$H,3,FALSE),-VLOOKUP($C4&amp;" "&amp;U$1,Results!$G:$H,2,FALSE)),"")</f>
        <v>-134</v>
      </c>
      <c r="V4" s="2">
        <f>IFERROR(IFERROR(VLOOKUP($C4&amp;" "&amp;V$1,Results!$F:$H,3,FALSE),-VLOOKUP($C4&amp;" "&amp;V$1,Results!$G:$H,2,FALSE)),"")</f>
        <v>13</v>
      </c>
      <c r="W4" s="2">
        <f>IFERROR(IFERROR(VLOOKUP($C4&amp;" "&amp;W$1,Results!$F:$H,3,FALSE),-VLOOKUP($C4&amp;" "&amp;W$1,Results!$G:$H,2,FALSE)),"")</f>
        <v>1</v>
      </c>
      <c r="X4" s="18" t="str">
        <f>IFERROR(IFERROR(VLOOKUP($C4&amp;" "&amp;X$1,Results!$F:$H,3,FALSE),-VLOOKUP($C4&amp;" "&amp;X$1,Results!$G:$H,2,FALSE)),"")</f>
        <v/>
      </c>
      <c r="Y4" s="42">
        <f>IFERROR(IFERROR(VLOOKUP($C4&amp;" "&amp;Y$1,Results!$F:$H,3,FALSE),-VLOOKUP($C4&amp;" "&amp;Y$1,Results!$G:$H,2,FALSE)),"")</f>
        <v>29</v>
      </c>
      <c r="Z4" s="42">
        <f>IFERROR(IFERROR(VLOOKUP($C4&amp;" "&amp;Z$1,Results!$F:$H,3,FALSE),-VLOOKUP($C4&amp;" "&amp;Z$1,Results!$G:$H,2,FALSE)),"")</f>
        <v>70</v>
      </c>
      <c r="AA4" s="43">
        <f>IFERROR(IFERROR(VLOOKUP($C4&amp;" "&amp;AA$1,Results!$F:$H,3,FALSE),-VLOOKUP($C4&amp;" "&amp;AA$1,Results!$G:$H,2,FALSE)),"")</f>
        <v>68</v>
      </c>
      <c r="AB4" s="2" t="str">
        <f>IFERROR(IFERROR(VLOOKUP($C4&amp;" "&amp;AB$1,Results!$F:$H,3,FALSE),-VLOOKUP($C4&amp;" "&amp;AB$1,Results!$G:$H,2,FALSE)),"")</f>
        <v/>
      </c>
      <c r="AC4" s="2" t="str">
        <f>IFERROR(IFERROR(VLOOKUP($C4&amp;" "&amp;AC$1,Results!$F:$H,3,FALSE),-VLOOKUP($C4&amp;" "&amp;AC$1,Results!$G:$H,2,FALSE)),"")</f>
        <v/>
      </c>
      <c r="AD4" s="2" t="str">
        <f>IFERROR(IFERROR(VLOOKUP($C4&amp;" "&amp;AD$1,Results!$F:$H,3,FALSE),-VLOOKUP($C4&amp;" "&amp;AD$1,Results!$G:$H,2,FALSE)),"")</f>
        <v/>
      </c>
      <c r="AE4" s="2" t="str">
        <f>IFERROR(IFERROR(VLOOKUP($C4&amp;" "&amp;AE$1,Results!$F:$H,3,FALSE),-VLOOKUP($C4&amp;" "&amp;AE$1,Results!$G:$H,2,FALSE)),"")</f>
        <v/>
      </c>
      <c r="AX4" s="2"/>
      <c r="AY4" s="2"/>
      <c r="BB4" s="2"/>
      <c r="BC4" s="2"/>
      <c r="BG4" s="2"/>
      <c r="BH4" s="2"/>
      <c r="BI4" s="15"/>
      <c r="BJ4" s="15"/>
      <c r="BK4" s="15"/>
      <c r="BL4" s="15"/>
      <c r="BM4" s="15"/>
      <c r="BN4" s="15"/>
      <c r="BO4" s="15"/>
      <c r="BW4" s="82">
        <f t="shared" ref="BW4:BW35" si="5">SUM(U4:BS4)</f>
        <v>47</v>
      </c>
      <c r="BX4" s="5">
        <f>COUNTIF(E4:J4,1)</f>
        <v>5</v>
      </c>
      <c r="BY4" s="5">
        <f t="shared" ref="BY4:BY35" si="6">COUNTIF(E4:J4,0)</f>
        <v>1</v>
      </c>
      <c r="BZ4" s="5">
        <f>COUNT(E4:J4)</f>
        <v>6</v>
      </c>
      <c r="CA4" s="65">
        <f t="shared" ref="CA4:CA35" si="7">+BX4/BZ4</f>
        <v>0.83333333333333337</v>
      </c>
      <c r="CC4" s="8">
        <f t="shared" ref="CC4:CC35" si="8">SUM(U4:BT4)</f>
        <v>47</v>
      </c>
      <c r="CE4" s="5">
        <v>8</v>
      </c>
      <c r="CF4" s="5">
        <f t="shared" ref="CF4:CF35" si="9">A4</f>
        <v>1</v>
      </c>
      <c r="CG4" s="5">
        <f t="shared" ref="CG4:CG35" si="10">+CE4-CF4</f>
        <v>7</v>
      </c>
    </row>
    <row r="5" spans="1:85">
      <c r="A5" s="5">
        <v>3</v>
      </c>
      <c r="B5" s="5">
        <v>2</v>
      </c>
      <c r="C5" s="10" t="s">
        <v>12</v>
      </c>
      <c r="D5" s="5"/>
      <c r="E5" s="5"/>
      <c r="F5" s="5">
        <f>IF(AND(X5&gt;0,$A5&lt;VLOOKUP(X$1,$C:$L,10,FALSE)),1,IF(AND(X5&lt;0,$A5&gt;VLOOKUP(X$1,$C:$L,10,FALSE)),1,0))</f>
        <v>1</v>
      </c>
      <c r="G5" s="5">
        <f>IF(AND(Y5&gt;0,$A5&lt;VLOOKUP(Y$1,$C:$L,10,FALSE)),1,IF(AND(Y5&lt;0,$A5&gt;VLOOKUP(Y$1,$C:$L,10,FALSE)),1,0))</f>
        <v>0</v>
      </c>
      <c r="H5" s="5">
        <f>IF(AND(AA5&gt;0,$A5&lt;VLOOKUP(AA$1,$C:$L,10,FALSE)),1,IF(AND(AA5&lt;0,$A5&gt;VLOOKUP(AA$1,$C:$L,10,FALSE)),1,0))</f>
        <v>1</v>
      </c>
      <c r="I5" s="5">
        <f>IF(AND(AB5&gt;0,$A5&lt;VLOOKUP(AB$1,$C:$L,10,FALSE)),1,IF(AND(AB5&lt;0,$A5&gt;VLOOKUP(AB$1,$C:$L,10,FALSE)),1,0))</f>
        <v>1</v>
      </c>
      <c r="J5" s="5">
        <f>IF(AND(AC5&gt;0,$A5&lt;VLOOKUP(AC$1,$C:$L,10,FALSE)),1,IF(AND(AC5&lt;0,$A5&gt;VLOOKUP(AC$1,$C:$L,10,FALSE)),1,0))</f>
        <v>1</v>
      </c>
      <c r="K5" s="79" t="s">
        <v>134</v>
      </c>
      <c r="L5" s="125">
        <f t="shared" si="0"/>
        <v>2</v>
      </c>
      <c r="M5" s="2">
        <v>1</v>
      </c>
      <c r="N5" s="11">
        <f t="shared" si="1"/>
        <v>2</v>
      </c>
      <c r="O5" s="2">
        <f t="shared" si="2"/>
        <v>4</v>
      </c>
      <c r="P5" s="2">
        <f t="shared" si="3"/>
        <v>0</v>
      </c>
      <c r="Q5" s="12">
        <f>COUNTIF($X5:$AA5,"&gt;0")</f>
        <v>1</v>
      </c>
      <c r="R5" s="13">
        <f>COUNTIF($X5:$AA5,"&lt;0")</f>
        <v>2</v>
      </c>
      <c r="S5" s="14">
        <f>COUNTIF($X5:$AA5,"=0")</f>
        <v>0</v>
      </c>
      <c r="T5" s="2">
        <f t="shared" si="4"/>
        <v>0</v>
      </c>
      <c r="U5" s="2">
        <f>IFERROR(IFERROR(VLOOKUP($C5&amp;" "&amp;U$1,Results!$F:$H,3,FALSE),-VLOOKUP($C5&amp;" "&amp;U$1,Results!$G:$H,2,FALSE)),"")</f>
        <v>-197</v>
      </c>
      <c r="V5" s="2">
        <f>IFERROR(IFERROR(VLOOKUP($C5&amp;" "&amp;V$1,Results!$F:$H,3,FALSE),-VLOOKUP($C5&amp;" "&amp;V$1,Results!$G:$H,2,FALSE)),"")</f>
        <v>-102</v>
      </c>
      <c r="W5" s="2" t="str">
        <f>IFERROR(IFERROR(VLOOKUP($C5&amp;" "&amp;W$1,Results!$F:$H,3,FALSE),-VLOOKUP($C5&amp;" "&amp;W$1,Results!$G:$H,2,FALSE)),"")</f>
        <v/>
      </c>
      <c r="X5" s="44">
        <f>IFERROR(IFERROR(VLOOKUP($C5&amp;" "&amp;X$1,Results!$F:$H,3,FALSE),-VLOOKUP($C5&amp;" "&amp;X$1,Results!$G:$H,2,FALSE)),"")</f>
        <v>-29</v>
      </c>
      <c r="Y5" s="19" t="str">
        <f>IFERROR(IFERROR(VLOOKUP($C5&amp;" "&amp;Y$1,Results!$F:$H,3,FALSE),-VLOOKUP($C5&amp;" "&amp;Y$1,Results!$G:$H,2,FALSE)),"")</f>
        <v/>
      </c>
      <c r="Z5" s="19">
        <f>IFERROR(IFERROR(VLOOKUP($C5&amp;" "&amp;Z$1,Results!$F:$H,3,FALSE),-VLOOKUP($C5&amp;" "&amp;Z$1,Results!$G:$H,2,FALSE)),"")</f>
        <v>-66</v>
      </c>
      <c r="AA5" s="45">
        <f>IFERROR(IFERROR(VLOOKUP($C5&amp;" "&amp;AA$1,Results!$F:$H,3,FALSE),-VLOOKUP($C5&amp;" "&amp;AA$1,Results!$G:$H,2,FALSE)),"")</f>
        <v>123</v>
      </c>
      <c r="AB5" s="2">
        <f>IFERROR(IFERROR(VLOOKUP($C5&amp;" "&amp;AB$1,Results!$F:$H,3,FALSE),-VLOOKUP($C5&amp;" "&amp;AB$1,Results!$G:$H,2,FALSE)),"")</f>
        <v>116</v>
      </c>
      <c r="AC5" s="2" t="str">
        <f>IFERROR(IFERROR(VLOOKUP($C5&amp;" "&amp;AC$1,Results!$F:$H,3,FALSE),-VLOOKUP($C5&amp;" "&amp;AC$1,Results!$G:$H,2,FALSE)),"")</f>
        <v/>
      </c>
      <c r="AD5" s="2" t="str">
        <f>IFERROR(IFERROR(VLOOKUP($C5&amp;" "&amp;AD$1,Results!$F:$H,3,FALSE),-VLOOKUP($C5&amp;" "&amp;AD$1,Results!$G:$H,2,FALSE)),"")</f>
        <v/>
      </c>
      <c r="AE5" s="2" t="str">
        <f>IFERROR(IFERROR(VLOOKUP($C5&amp;" "&amp;AE$1,Results!$F:$H,3,FALSE),-VLOOKUP($C5&amp;" "&amp;AE$1,Results!$G:$H,2,FALSE)),"")</f>
        <v/>
      </c>
      <c r="AX5" s="2"/>
      <c r="AY5" s="2"/>
      <c r="BB5" s="2"/>
      <c r="BC5" s="2"/>
      <c r="BG5" s="2"/>
      <c r="BH5" s="2"/>
      <c r="BI5" s="15"/>
      <c r="BJ5" s="15"/>
      <c r="BK5" s="15"/>
      <c r="BL5" s="15"/>
      <c r="BM5" s="15"/>
      <c r="BN5" s="15"/>
      <c r="BO5" s="15"/>
      <c r="BW5" s="82">
        <f t="shared" si="5"/>
        <v>-155</v>
      </c>
      <c r="BX5" s="5">
        <f>COUNTIF(E5:J5,1)</f>
        <v>4</v>
      </c>
      <c r="BY5" s="5">
        <f t="shared" si="6"/>
        <v>1</v>
      </c>
      <c r="BZ5" s="5">
        <f>COUNT(E5:J5)</f>
        <v>5</v>
      </c>
      <c r="CA5" s="65">
        <f t="shared" si="7"/>
        <v>0.8</v>
      </c>
      <c r="CC5" s="8">
        <f t="shared" si="8"/>
        <v>-155</v>
      </c>
      <c r="CE5" s="5">
        <v>7</v>
      </c>
      <c r="CF5" s="5">
        <f t="shared" si="9"/>
        <v>3</v>
      </c>
      <c r="CG5" s="5">
        <f t="shared" si="10"/>
        <v>4</v>
      </c>
    </row>
    <row r="6" spans="1:85">
      <c r="A6" s="5">
        <v>2</v>
      </c>
      <c r="B6" s="5">
        <v>3</v>
      </c>
      <c r="C6" s="10" t="s">
        <v>15</v>
      </c>
      <c r="D6" s="5"/>
      <c r="E6" s="5"/>
      <c r="F6" s="5"/>
      <c r="G6" s="5">
        <f>IF(AND(X6&gt;0,$A6&lt;VLOOKUP(X$1,$C:$L,10,FALSE)),1,IF(AND(X6&lt;0,$A6&gt;VLOOKUP(X$1,$C:$L,10,FALSE)),1,0))</f>
        <v>1</v>
      </c>
      <c r="H6" s="5">
        <f>IF(AND(Z6&gt;0,$A6&lt;VLOOKUP(Z$1,$C:$L,10,FALSE)),1,IF(AND(Z6&lt;0,$A6&gt;VLOOKUP(Z$1,$C:$L,10,FALSE)),1,0))</f>
        <v>1</v>
      </c>
      <c r="I6" s="5">
        <f>IF(AND(AA6&gt;0,$A6&lt;VLOOKUP(AA$1,$C:$L,10,FALSE)),1,IF(AND(AA6&lt;0,$A6&gt;VLOOKUP(AA$1,$C:$L,10,FALSE)),1,0))</f>
        <v>1</v>
      </c>
      <c r="J6" s="5">
        <f>IF(AND(AB6&gt;0,$A6&lt;VLOOKUP(AB$1,$C:$L,10,FALSE)),1,IF(AND(AB6&lt;0,$A6&gt;VLOOKUP(AB$1,$C:$L,10,FALSE)),1,0))</f>
        <v>1</v>
      </c>
      <c r="K6" s="79" t="s">
        <v>134</v>
      </c>
      <c r="L6" s="125">
        <f t="shared" si="0"/>
        <v>3</v>
      </c>
      <c r="M6" s="2">
        <v>1</v>
      </c>
      <c r="N6" s="11">
        <f t="shared" si="1"/>
        <v>4</v>
      </c>
      <c r="O6" s="2">
        <f t="shared" si="2"/>
        <v>2</v>
      </c>
      <c r="P6" s="2">
        <f t="shared" si="3"/>
        <v>0</v>
      </c>
      <c r="Q6" s="12">
        <f>COUNTIF($X6:$AA6,"&gt;0")</f>
        <v>2</v>
      </c>
      <c r="R6" s="13">
        <f>COUNTIF($X6:$AA6,"&lt;0")</f>
        <v>1</v>
      </c>
      <c r="S6" s="14">
        <f>COUNTIF($X6:$AA6,"=0")</f>
        <v>0</v>
      </c>
      <c r="T6" s="2">
        <f t="shared" si="4"/>
        <v>0</v>
      </c>
      <c r="U6" s="2">
        <f>IFERROR(IFERROR(VLOOKUP($C6&amp;" "&amp;U$1,Results!$F:$H,3,FALSE),-VLOOKUP($C6&amp;" "&amp;U$1,Results!$G:$H,2,FALSE)),"")</f>
        <v>-99</v>
      </c>
      <c r="V6" s="2" t="str">
        <f>IFERROR(IFERROR(VLOOKUP($C6&amp;" "&amp;V$1,Results!$F:$H,3,FALSE),-VLOOKUP($C6&amp;" "&amp;V$1,Results!$G:$H,2,FALSE)),"")</f>
        <v/>
      </c>
      <c r="W6" s="2" t="str">
        <f>IFERROR(IFERROR(VLOOKUP($C6&amp;" "&amp;W$1,Results!$F:$H,3,FALSE),-VLOOKUP($C6&amp;" "&amp;W$1,Results!$G:$H,2,FALSE)),"")</f>
        <v/>
      </c>
      <c r="X6" s="44">
        <f>IFERROR(IFERROR(VLOOKUP($C6&amp;" "&amp;X$1,Results!$F:$H,3,FALSE),-VLOOKUP($C6&amp;" "&amp;X$1,Results!$G:$H,2,FALSE)),"")</f>
        <v>-70</v>
      </c>
      <c r="Y6" s="19">
        <f>IFERROR(IFERROR(VLOOKUP($C6&amp;" "&amp;Y$1,Results!$F:$H,3,FALSE),-VLOOKUP($C6&amp;" "&amp;Y$1,Results!$G:$H,2,FALSE)),"")</f>
        <v>66</v>
      </c>
      <c r="Z6" s="19" t="str">
        <f>IFERROR(IFERROR(VLOOKUP($C6&amp;" "&amp;Z$1,Results!$F:$H,3,FALSE),-VLOOKUP($C6&amp;" "&amp;Z$1,Results!$G:$H,2,FALSE)),"")</f>
        <v/>
      </c>
      <c r="AA6" s="45">
        <f>IFERROR(IFERROR(VLOOKUP($C6&amp;" "&amp;AA$1,Results!$F:$H,3,FALSE),-VLOOKUP($C6&amp;" "&amp;AA$1,Results!$G:$H,2,FALSE)),"")</f>
        <v>50</v>
      </c>
      <c r="AB6" s="2">
        <f>IFERROR(IFERROR(VLOOKUP($C6&amp;" "&amp;AB$1,Results!$F:$H,3,FALSE),-VLOOKUP($C6&amp;" "&amp;AB$1,Results!$G:$H,2,FALSE)),"")</f>
        <v>13</v>
      </c>
      <c r="AC6" s="2">
        <f>IFERROR(IFERROR(VLOOKUP($C6&amp;" "&amp;AC$1,Results!$F:$H,3,FALSE),-VLOOKUP($C6&amp;" "&amp;AC$1,Results!$G:$H,2,FALSE)),"")</f>
        <v>180</v>
      </c>
      <c r="AD6" s="2" t="str">
        <f>IFERROR(IFERROR(VLOOKUP($C6&amp;" "&amp;AD$1,Results!$F:$H,3,FALSE),-VLOOKUP($C6&amp;" "&amp;AD$1,Results!$G:$H,2,FALSE)),"")</f>
        <v/>
      </c>
      <c r="AE6" s="2" t="str">
        <f>IFERROR(IFERROR(VLOOKUP($C6&amp;" "&amp;AE$1,Results!$F:$H,3,FALSE),-VLOOKUP($C6&amp;" "&amp;AE$1,Results!$G:$H,2,FALSE)),"")</f>
        <v/>
      </c>
      <c r="AX6" s="2"/>
      <c r="AY6" s="2"/>
      <c r="BB6" s="2"/>
      <c r="BC6" s="2"/>
      <c r="BG6" s="2"/>
      <c r="BH6" s="2"/>
      <c r="BI6" s="15"/>
      <c r="BJ6" s="15"/>
      <c r="BK6" s="15"/>
      <c r="BL6" s="15"/>
      <c r="BM6" s="15"/>
      <c r="BN6" s="15"/>
      <c r="BO6" s="15"/>
      <c r="BW6" s="82">
        <f t="shared" si="5"/>
        <v>140</v>
      </c>
      <c r="BX6" s="5">
        <f>COUNTIF(E6:I6,1)</f>
        <v>3</v>
      </c>
      <c r="BY6" s="5">
        <f t="shared" si="6"/>
        <v>0</v>
      </c>
      <c r="BZ6" s="5">
        <f>COUNT(E6:I6)</f>
        <v>3</v>
      </c>
      <c r="CA6" s="65">
        <f t="shared" si="7"/>
        <v>1</v>
      </c>
      <c r="CC6" s="8">
        <f t="shared" si="8"/>
        <v>140</v>
      </c>
      <c r="CE6" s="5">
        <v>1</v>
      </c>
      <c r="CF6" s="5">
        <f t="shared" si="9"/>
        <v>2</v>
      </c>
      <c r="CG6" s="5">
        <f t="shared" si="10"/>
        <v>-1</v>
      </c>
    </row>
    <row r="7" spans="1:85" ht="13.5" thickBot="1">
      <c r="A7" s="5">
        <v>5</v>
      </c>
      <c r="B7" s="125">
        <v>4</v>
      </c>
      <c r="C7" s="161" t="s">
        <v>21</v>
      </c>
      <c r="D7" s="125"/>
      <c r="E7" s="5">
        <f>IF(AND(Z7&gt;0,$A7&lt;VLOOKUP(Z$1,$C:$L,10,FALSE)),1,IF(AND(Z7&lt;0,$A7&gt;VLOOKUP(Z$1,$C:$L,10,FALSE)),1,0))</f>
        <v>1</v>
      </c>
      <c r="F7" s="5">
        <f>IF(AND(AA7&gt;0,$A7&lt;VLOOKUP(AA$1,$C:$L,10,FALSE)),1,IF(AND(AA7&lt;0,$A7&gt;VLOOKUP(AA$1,$C:$L,10,FALSE)),1,0))</f>
        <v>0</v>
      </c>
      <c r="G7" s="5">
        <f>IF(AND(AB7&gt;0,$A7&lt;VLOOKUP(AB$1,$C:$L,10,FALSE)),1,IF(AND(AB7&lt;0,$A7&gt;VLOOKUP(AB$1,$C:$L,10,FALSE)),1,0))</f>
        <v>0</v>
      </c>
      <c r="H7" s="5">
        <f>IF(AND(AD7&gt;0,$A7&lt;VLOOKUP(AD$1,$C:$L,10,FALSE)),1,IF(AND(AD7&lt;0,$A7&gt;VLOOKUP(AD$1,$C:$L,10,FALSE)),1,0))</f>
        <v>0</v>
      </c>
      <c r="I7" s="5">
        <f>IF(AND(AE7&gt;0,$A7&lt;VLOOKUP(AE$1,$C:$L,10,FALSE)),1,IF(AND(AE7&lt;0,$A7&gt;VLOOKUP(AE$1,$C:$L,10,FALSE)),1,0))</f>
        <v>1</v>
      </c>
      <c r="J7" s="5">
        <f>IF(AND(AF7&gt;0,$A7&lt;VLOOKUP(AF$1,$C:$L,10,FALSE)),1,IF(AND(AF7&lt;0,$A7&gt;VLOOKUP(AF$1,$C:$L,10,FALSE)),1,0))</f>
        <v>1</v>
      </c>
      <c r="K7" s="79" t="s">
        <v>134</v>
      </c>
      <c r="L7" s="125">
        <f t="shared" si="0"/>
        <v>4</v>
      </c>
      <c r="M7" s="126">
        <v>1</v>
      </c>
      <c r="N7" s="11">
        <f t="shared" si="1"/>
        <v>2</v>
      </c>
      <c r="O7" s="2">
        <f t="shared" si="2"/>
        <v>4</v>
      </c>
      <c r="P7" s="2">
        <f t="shared" si="3"/>
        <v>0</v>
      </c>
      <c r="Q7" s="12">
        <f>COUNTIF($X7:$AA7,"&gt;0")</f>
        <v>0</v>
      </c>
      <c r="R7" s="13">
        <f>COUNTIF($X7:$AA7,"&lt;0")</f>
        <v>3</v>
      </c>
      <c r="S7" s="14">
        <f>COUNTIF($X7:$AA7,"=0")</f>
        <v>0</v>
      </c>
      <c r="T7" s="2">
        <f t="shared" si="4"/>
        <v>0</v>
      </c>
      <c r="U7" s="2"/>
      <c r="V7" s="2"/>
      <c r="W7" s="2"/>
      <c r="X7" s="52">
        <f>IFERROR(IFERROR(VLOOKUP($C7&amp;" "&amp;X$1,Results!$F:$H,3,FALSE),-VLOOKUP($C7&amp;" "&amp;X$1,Results!$G:$H,2,FALSE)),"")</f>
        <v>-68</v>
      </c>
      <c r="Y7" s="47">
        <f>IFERROR(IFERROR(VLOOKUP($C7&amp;" "&amp;Y$1,Results!$F:$H,3,FALSE),-VLOOKUP($C7&amp;" "&amp;Y$1,Results!$G:$H,2,FALSE)),"")</f>
        <v>-123</v>
      </c>
      <c r="Z7" s="57">
        <f>IFERROR(IFERROR(VLOOKUP($C7&amp;" "&amp;Z$1,Results!$F:$H,3,FALSE),-VLOOKUP($C7&amp;" "&amp;Z$1,Results!$G:$H,2,FALSE)),"")</f>
        <v>-50</v>
      </c>
      <c r="AA7" s="58" t="str">
        <f>IFERROR(IFERROR(VLOOKUP($C7&amp;" "&amp;AA$1,Results!$F:$H,3,FALSE),-VLOOKUP($C7&amp;" "&amp;AA$1,Results!$G:$H,2,FALSE)),"")</f>
        <v/>
      </c>
      <c r="AB7" s="19">
        <f>IFERROR(IFERROR(VLOOKUP($C7&amp;" "&amp;AB$1,Results!$F:$H,3,FALSE),-VLOOKUP($C7&amp;" "&amp;AB$1,Results!$G:$H,2,FALSE)),"")</f>
        <v>46</v>
      </c>
      <c r="AC7" s="19">
        <f>IFERROR(IFERROR(VLOOKUP($C7&amp;" "&amp;AC$1,Results!$F:$H,3,FALSE),-VLOOKUP($C7&amp;" "&amp;AC$1,Results!$G:$H,2,FALSE)),"")</f>
        <v>109</v>
      </c>
      <c r="AD7" s="19">
        <f>IFERROR(IFERROR(VLOOKUP($C7&amp;" "&amp;AD$1,Results!$F:$H,3,FALSE),-VLOOKUP($C7&amp;" "&amp;AD$1,Results!$G:$H,2,FALSE)),"")</f>
        <v>-66</v>
      </c>
      <c r="AE7" s="19" t="str">
        <f>IFERROR(IFERROR(VLOOKUP($C7&amp;" "&amp;AE$1,Results!$F:$H,3,FALSE),-VLOOKUP($C7&amp;" "&amp;AE$1,Results!$G:$H,2,FALSE)),"")</f>
        <v/>
      </c>
      <c r="AF7" s="2" t="str">
        <f>IFERROR(IFERROR(VLOOKUP($C7&amp;" "&amp;AF$1,Results!$F:$H,3,FALSE),-VLOOKUP($C7&amp;" "&amp;AF$1,Results!$G:$H,2,FALSE)),"")</f>
        <v/>
      </c>
      <c r="AG7" s="2" t="str">
        <f>IFERROR(IFERROR(VLOOKUP($C7&amp;" "&amp;AG$1,Results!$F:$H,3,FALSE),-VLOOKUP($C7&amp;" "&amp;AG$1,Results!$G:$H,2,FALSE)),"")</f>
        <v/>
      </c>
      <c r="AH7" s="2" t="str">
        <f>IFERROR(IFERROR(VLOOKUP($C7&amp;" "&amp;AH$1,Results!$F:$H,3,FALSE),-VLOOKUP($C7&amp;" "&amp;AH$1,Results!$G:$H,2,FALSE)),"")</f>
        <v/>
      </c>
      <c r="AI7" s="2" t="str">
        <f>IFERROR(IFERROR(VLOOKUP($C7&amp;" "&amp;AI$1,Results!$F:$H,3,FALSE),-VLOOKUP($C7&amp;" "&amp;AI$1,Results!$G:$H,2,FALSE)),"")</f>
        <v/>
      </c>
      <c r="AX7" s="2"/>
      <c r="AY7" s="2"/>
      <c r="BB7" s="2"/>
      <c r="BC7" s="2"/>
      <c r="BG7" s="2"/>
      <c r="BH7" s="2"/>
      <c r="BI7" s="15"/>
      <c r="BJ7" s="15"/>
      <c r="BK7" s="15"/>
      <c r="BL7" s="15"/>
      <c r="BM7" s="15"/>
      <c r="BN7" s="15"/>
      <c r="BO7" s="15"/>
      <c r="BW7" s="82">
        <f t="shared" si="5"/>
        <v>-152</v>
      </c>
      <c r="BX7" s="5">
        <f t="shared" ref="BX7:BX38" si="11">COUNTIF(E7:J7,1)</f>
        <v>3</v>
      </c>
      <c r="BY7" s="5">
        <f t="shared" si="6"/>
        <v>3</v>
      </c>
      <c r="BZ7" s="5">
        <f t="shared" ref="BZ7:BZ54" si="12">COUNT(E7:J7)</f>
        <v>6</v>
      </c>
      <c r="CA7" s="65">
        <f t="shared" si="7"/>
        <v>0.5</v>
      </c>
      <c r="CC7" s="8">
        <f t="shared" si="8"/>
        <v>-152</v>
      </c>
      <c r="CE7" s="125">
        <v>4</v>
      </c>
      <c r="CF7" s="5">
        <f t="shared" si="9"/>
        <v>5</v>
      </c>
      <c r="CG7" s="5">
        <f t="shared" si="10"/>
        <v>-1</v>
      </c>
    </row>
    <row r="8" spans="1:85">
      <c r="A8" s="125">
        <v>7</v>
      </c>
      <c r="B8" s="125">
        <v>5</v>
      </c>
      <c r="C8" s="148" t="s">
        <v>25</v>
      </c>
      <c r="D8" s="5"/>
      <c r="E8" s="5">
        <f>IF(AND(AC8&gt;0,$A8&lt;VLOOKUP(AC$1,$C:$L,10,FALSE)),1,IF(AND(AC8&lt;0,$A8&gt;VLOOKUP(AC$1,$C:$L,10,FALSE)),1,0))</f>
        <v>1</v>
      </c>
      <c r="F8" s="5">
        <f>IF(AND(AD8&gt;0,$A8&lt;VLOOKUP(AD$1,$C:$L,10,FALSE)),1,IF(AND(AD8&lt;0,$A8&gt;VLOOKUP(AD$1,$C:$L,10,FALSE)),1,0))</f>
        <v>0</v>
      </c>
      <c r="G8" s="5">
        <f>IF(AND(AE8&gt;0,$A8&lt;VLOOKUP(AE$1,$C:$L,10,FALSE)),1,IF(AND(AE8&lt;0,$A8&gt;VLOOKUP(AE$1,$C:$L,10,FALSE)),1,0))</f>
        <v>1</v>
      </c>
      <c r="H8" s="5">
        <f>IF(AND(AG8&gt;0,$A8&lt;VLOOKUP(AG$1,$C:$L,10,FALSE)),1,IF(AND(AG8&lt;0,$A8&gt;VLOOKUP(AG$1,$C:$L,10,FALSE)),1,0))</f>
        <v>1</v>
      </c>
      <c r="I8" s="5">
        <f>IF(AND(AH8&gt;0,$A8&lt;VLOOKUP(AH$1,$C:$L,10,FALSE)),1,IF(AND(AH8&lt;0,$A8&gt;VLOOKUP(AH$1,$C:$L,10,FALSE)),1,0))</f>
        <v>1</v>
      </c>
      <c r="J8" s="5">
        <f>IF(AND(AI8&gt;0,$A8&lt;VLOOKUP(AI$1,$C:$L,10,FALSE)),1,IF(AND(AI8&lt;0,$A8&gt;VLOOKUP(AI$1,$C:$L,10,FALSE)),1,0))</f>
        <v>1</v>
      </c>
      <c r="K8" s="79" t="s">
        <v>134</v>
      </c>
      <c r="L8" s="125">
        <f t="shared" si="0"/>
        <v>5</v>
      </c>
      <c r="M8" s="2">
        <v>2</v>
      </c>
      <c r="N8" s="11">
        <f t="shared" si="1"/>
        <v>2</v>
      </c>
      <c r="O8" s="2">
        <f t="shared" si="2"/>
        <v>4</v>
      </c>
      <c r="P8" s="2">
        <f t="shared" si="3"/>
        <v>0</v>
      </c>
      <c r="Q8" s="12">
        <f t="shared" ref="Q8:Q11" si="13">COUNTIF($AB8:$AE8,"&gt;0")</f>
        <v>2</v>
      </c>
      <c r="R8" s="13">
        <f t="shared" ref="R8:R11" si="14">COUNTIF($AB8:$AE8,"&lt;0")</f>
        <v>1</v>
      </c>
      <c r="S8" s="14">
        <f t="shared" ref="S8:S11" si="15">COUNTIF($AB8:$AE8,"=0")</f>
        <v>0</v>
      </c>
      <c r="T8" s="2">
        <f t="shared" si="4"/>
        <v>0</v>
      </c>
      <c r="U8" s="2"/>
      <c r="V8" s="2"/>
      <c r="W8" s="2"/>
      <c r="Y8" s="2">
        <f>IFERROR(IFERROR(VLOOKUP($C8&amp;" "&amp;Y$1,Results!$F:$H,3,FALSE),-VLOOKUP($C8&amp;" "&amp;Y$1,Results!$G:$H,2,FALSE)),"")</f>
        <v>-116</v>
      </c>
      <c r="Z8" s="2">
        <f>IFERROR(IFERROR(VLOOKUP($C8&amp;" "&amp;Z$1,Results!$F:$H,3,FALSE),-VLOOKUP($C8&amp;" "&amp;Z$1,Results!$G:$H,2,FALSE)),"")</f>
        <v>-13</v>
      </c>
      <c r="AA8" s="2">
        <f>IFERROR(IFERROR(VLOOKUP($C8&amp;" "&amp;AA$1,Results!$F:$H,3,FALSE),-VLOOKUP($C8&amp;" "&amp;AA$1,Results!$G:$H,2,FALSE)),"")</f>
        <v>-46</v>
      </c>
      <c r="AB8" s="35" t="str">
        <f>IFERROR(IFERROR(VLOOKUP($C8&amp;" "&amp;AB$1,Results!$F:$H,3,FALSE),-VLOOKUP($C8&amp;" "&amp;AB$1,Results!$G:$H,2,FALSE)),"")</f>
        <v/>
      </c>
      <c r="AC8" s="49">
        <f>IFERROR(IFERROR(VLOOKUP($C8&amp;" "&amp;AC$1,Results!$F:$H,3,FALSE),-VLOOKUP($C8&amp;" "&amp;AC$1,Results!$G:$H,2,FALSE)),"")</f>
        <v>-7</v>
      </c>
      <c r="AD8" s="49">
        <f>IFERROR(IFERROR(VLOOKUP($C8&amp;" "&amp;AD$1,Results!$F:$H,3,FALSE),-VLOOKUP($C8&amp;" "&amp;AD$1,Results!$G:$H,2,FALSE)),"")</f>
        <v>20</v>
      </c>
      <c r="AE8" s="55">
        <f>IFERROR(IFERROR(VLOOKUP($C8&amp;" "&amp;AE$1,Results!$F:$H,3,FALSE),-VLOOKUP($C8&amp;" "&amp;AE$1,Results!$G:$H,2,FALSE)),"")</f>
        <v>59</v>
      </c>
      <c r="AF8" s="19" t="str">
        <f>IFERROR(IFERROR(VLOOKUP($C8&amp;" "&amp;AF$1,Results!$F:$H,3,FALSE),-VLOOKUP($C8&amp;" "&amp;AF$1,Results!$G:$H,2,FALSE)),"")</f>
        <v/>
      </c>
      <c r="AG8" s="19" t="str">
        <f>IFERROR(IFERROR(VLOOKUP($C8&amp;" "&amp;AG$1,Results!$F:$H,3,FALSE),-VLOOKUP($C8&amp;" "&amp;AG$1,Results!$G:$H,2,FALSE)),"")</f>
        <v/>
      </c>
      <c r="AH8" s="19" t="str">
        <f>IFERROR(IFERROR(VLOOKUP($C8&amp;" "&amp;AH$1,Results!$F:$H,3,FALSE),-VLOOKUP($C8&amp;" "&amp;AH$1,Results!$G:$H,2,FALSE)),"")</f>
        <v/>
      </c>
      <c r="AI8" s="19" t="str">
        <f>IFERROR(IFERROR(VLOOKUP($C8&amp;" "&amp;AI$1,Results!$F:$H,3,FALSE),-VLOOKUP($C8&amp;" "&amp;AI$1,Results!$G:$H,2,FALSE)),"")</f>
        <v/>
      </c>
      <c r="AJ8" s="2" t="str">
        <f>IFERROR(IFERROR(VLOOKUP($C8&amp;" "&amp;AJ$1,Results!$F:$H,3,FALSE),-VLOOKUP($C8&amp;" "&amp;AJ$1,Results!$G:$H,2,FALSE)),"")</f>
        <v/>
      </c>
      <c r="AK8" s="2" t="str">
        <f>IFERROR(IFERROR(VLOOKUP($C8&amp;" "&amp;AK$1,Results!$F:$H,3,FALSE),-VLOOKUP($C8&amp;" "&amp;AK$1,Results!$G:$H,2,FALSE)),"")</f>
        <v/>
      </c>
      <c r="AL8" s="2" t="str">
        <f>IFERROR(IFERROR(VLOOKUP($C8&amp;" "&amp;AL$1,Results!$F:$H,3,FALSE),-VLOOKUP($C8&amp;" "&amp;AL$1,Results!$G:$H,2,FALSE)),"")</f>
        <v/>
      </c>
      <c r="AM8" s="2" t="str">
        <f>IFERROR(IFERROR(VLOOKUP($C8&amp;" "&amp;AM$1,Results!$F:$H,3,FALSE),-VLOOKUP($C8&amp;" "&amp;AM$1,Results!$G:$H,2,FALSE)),"")</f>
        <v/>
      </c>
      <c r="AX8" s="2"/>
      <c r="AY8" s="2"/>
      <c r="BB8" s="2"/>
      <c r="BC8" s="2"/>
      <c r="BG8" s="2"/>
      <c r="BH8" s="2"/>
      <c r="BI8" s="15"/>
      <c r="BJ8" s="15"/>
      <c r="BK8" s="15"/>
      <c r="BL8" s="15"/>
      <c r="BM8" s="15"/>
      <c r="BN8" s="15"/>
      <c r="BO8" s="15"/>
      <c r="BW8" s="82">
        <f t="shared" si="5"/>
        <v>-103</v>
      </c>
      <c r="BX8" s="5">
        <f t="shared" si="11"/>
        <v>5</v>
      </c>
      <c r="BY8" s="5">
        <f t="shared" si="6"/>
        <v>1</v>
      </c>
      <c r="BZ8" s="5">
        <f t="shared" si="12"/>
        <v>6</v>
      </c>
      <c r="CA8" s="65">
        <f t="shared" si="7"/>
        <v>0.83333333333333337</v>
      </c>
      <c r="CC8" s="8">
        <f t="shared" si="8"/>
        <v>-103</v>
      </c>
      <c r="CE8" s="125">
        <v>9</v>
      </c>
      <c r="CF8" s="5">
        <f t="shared" si="9"/>
        <v>7</v>
      </c>
      <c r="CG8" s="5">
        <f t="shared" si="10"/>
        <v>2</v>
      </c>
    </row>
    <row r="9" spans="1:85">
      <c r="A9" s="5">
        <v>4</v>
      </c>
      <c r="B9" s="5">
        <v>6</v>
      </c>
      <c r="C9" s="154" t="s">
        <v>18</v>
      </c>
      <c r="D9" s="5"/>
      <c r="E9" s="5">
        <f>IF(AND(AA9&gt;0,$A9&lt;VLOOKUP(AA$1,$C:$L,10,FALSE)),1,IF(AND(AA9&lt;0,$A9&gt;VLOOKUP(AA$1,$C:$L,10,FALSE)),1,0))</f>
        <v>0</v>
      </c>
      <c r="F9" s="5">
        <f>IF(AND(AB9&gt;0,$A9&lt;VLOOKUP(AB$1,$C:$L,10,FALSE)),1,IF(AND(AB9&lt;0,$A9&gt;VLOOKUP(AB$1,$C:$L,10,FALSE)),1,0))</f>
        <v>1</v>
      </c>
      <c r="G9" s="5">
        <f>IF(AND(AC9&gt;0,$A9&lt;VLOOKUP(AC$1,$C:$L,10,FALSE)),1,IF(AND(AC9&lt;0,$A9&gt;VLOOKUP(AC$1,$C:$L,10,FALSE)),1,0))</f>
        <v>1</v>
      </c>
      <c r="H9" s="5">
        <f>IF(AND(AE9&gt;0,$A9&lt;VLOOKUP(AE$1,$C:$L,10,FALSE)),1,IF(AND(AE9&lt;0,$A9&gt;VLOOKUP(AE$1,$C:$L,10,FALSE)),1,0))</f>
        <v>1</v>
      </c>
      <c r="I9" s="5">
        <f>IF(AND(AF9&gt;0,$A9&lt;VLOOKUP(AF$1,$C:$L,10,FALSE)),1,IF(AND(AF9&lt;0,$A9&gt;VLOOKUP(AF$1,$C:$L,10,FALSE)),1,0))</f>
        <v>0</v>
      </c>
      <c r="J9" s="5">
        <f>IF(AND(AG9&gt;0,$A9&lt;VLOOKUP(AG$1,$C:$L,10,FALSE)),1,IF(AND(AG9&lt;0,$A9&gt;VLOOKUP(AG$1,$C:$L,10,FALSE)),1,0))</f>
        <v>1</v>
      </c>
      <c r="K9" s="79" t="s">
        <v>134</v>
      </c>
      <c r="L9" s="125">
        <f t="shared" si="0"/>
        <v>6</v>
      </c>
      <c r="M9" s="126">
        <v>2</v>
      </c>
      <c r="N9" s="11">
        <f t="shared" si="1"/>
        <v>2</v>
      </c>
      <c r="O9" s="2">
        <f t="shared" si="2"/>
        <v>2</v>
      </c>
      <c r="P9" s="2">
        <f t="shared" si="3"/>
        <v>2</v>
      </c>
      <c r="Q9" s="12">
        <f t="shared" si="13"/>
        <v>2</v>
      </c>
      <c r="R9" s="13">
        <f t="shared" si="14"/>
        <v>0</v>
      </c>
      <c r="S9" s="14">
        <f t="shared" si="15"/>
        <v>1</v>
      </c>
      <c r="T9" s="2">
        <f t="shared" si="4"/>
        <v>0</v>
      </c>
      <c r="U9" s="2"/>
      <c r="V9" s="2"/>
      <c r="W9" s="2"/>
      <c r="X9" s="2" t="str">
        <f>IFERROR(IFERROR(VLOOKUP($C9&amp;" "&amp;X$1,Results!$F:$H,3,FALSE),-VLOOKUP($C9&amp;" "&amp;X$1,Results!$G:$H,2,FALSE)),"")</f>
        <v/>
      </c>
      <c r="Y9" s="2" t="str">
        <f>IFERROR(IFERROR(VLOOKUP($C9&amp;" "&amp;Y$1,Results!$F:$H,3,FALSE),-VLOOKUP($C9&amp;" "&amp;Y$1,Results!$G:$H,2,FALSE)),"")</f>
        <v/>
      </c>
      <c r="Z9" s="2">
        <f>IFERROR(IFERROR(VLOOKUP($C9&amp;" "&amp;Z$1,Results!$F:$H,3,FALSE),-VLOOKUP($C9&amp;" "&amp;Z$1,Results!$G:$H,2,FALSE)),"")</f>
        <v>-180</v>
      </c>
      <c r="AA9" s="2">
        <f>IFERROR(IFERROR(VLOOKUP($C9&amp;" "&amp;AA$1,Results!$F:$H,3,FALSE),-VLOOKUP($C9&amp;" "&amp;AA$1,Results!$G:$H,2,FALSE)),"")</f>
        <v>-109</v>
      </c>
      <c r="AB9" s="44">
        <f>IFERROR(IFERROR(VLOOKUP($C9&amp;" "&amp;AB$1,Results!$F:$H,3,FALSE),-VLOOKUP($C9&amp;" "&amp;AB$1,Results!$G:$H,2,FALSE)),"")</f>
        <v>7</v>
      </c>
      <c r="AC9" s="19" t="str">
        <f>IFERROR(IFERROR(VLOOKUP($C9&amp;" "&amp;AC$1,Results!$F:$H,3,FALSE),-VLOOKUP($C9&amp;" "&amp;AC$1,Results!$G:$H,2,FALSE)),"")</f>
        <v/>
      </c>
      <c r="AD9" s="19">
        <f>IFERROR(IFERROR(VLOOKUP($C9&amp;" "&amp;AD$1,Results!$F:$H,3,FALSE),-VLOOKUP($C9&amp;" "&amp;AD$1,Results!$G:$H,2,FALSE)),"")</f>
        <v>0</v>
      </c>
      <c r="AE9" s="45">
        <f>IFERROR(IFERROR(VLOOKUP($C9&amp;" "&amp;AE$1,Results!$F:$H,3,FALSE),-VLOOKUP($C9&amp;" "&amp;AE$1,Results!$G:$H,2,FALSE)),"")</f>
        <v>58</v>
      </c>
      <c r="AF9" s="2">
        <f>IFERROR(IFERROR(VLOOKUP($C9&amp;" "&amp;AF$1,Results!$F:$H,3,FALSE),-VLOOKUP($C9&amp;" "&amp;AF$1,Results!$G:$H,2,FALSE)),"")</f>
        <v>0</v>
      </c>
      <c r="AG9" s="2" t="str">
        <f>IFERROR(IFERROR(VLOOKUP($C9&amp;" "&amp;AG$1,Results!$F:$H,3,FALSE),-VLOOKUP($C9&amp;" "&amp;AG$1,Results!$G:$H,2,FALSE)),"")</f>
        <v/>
      </c>
      <c r="AH9" s="2" t="str">
        <f>IFERROR(IFERROR(VLOOKUP($C9&amp;" "&amp;AH$1,Results!$F:$H,3,FALSE),-VLOOKUP($C9&amp;" "&amp;AH$1,Results!$G:$H,2,FALSE)),"")</f>
        <v/>
      </c>
      <c r="AI9" s="2" t="str">
        <f>IFERROR(IFERROR(VLOOKUP($C9&amp;" "&amp;AI$1,Results!$F:$H,3,FALSE),-VLOOKUP($C9&amp;" "&amp;AI$1,Results!$G:$H,2,FALSE)),"")</f>
        <v/>
      </c>
      <c r="AX9" s="2"/>
      <c r="AY9" s="2"/>
      <c r="BB9" s="2"/>
      <c r="BC9" s="2"/>
      <c r="BG9" s="2"/>
      <c r="BH9" s="2"/>
      <c r="BI9" s="15"/>
      <c r="BJ9" s="15"/>
      <c r="BK9" s="15"/>
      <c r="BL9" s="15"/>
      <c r="BM9" s="15"/>
      <c r="BN9" s="15"/>
      <c r="BO9" s="15"/>
      <c r="BW9" s="82">
        <f t="shared" si="5"/>
        <v>-224</v>
      </c>
      <c r="BX9" s="5">
        <f t="shared" si="11"/>
        <v>4</v>
      </c>
      <c r="BY9" s="5">
        <f t="shared" si="6"/>
        <v>2</v>
      </c>
      <c r="BZ9" s="5">
        <f t="shared" si="12"/>
        <v>6</v>
      </c>
      <c r="CA9" s="65">
        <f t="shared" si="7"/>
        <v>0.66666666666666663</v>
      </c>
      <c r="CC9" s="8">
        <f t="shared" si="8"/>
        <v>-224</v>
      </c>
      <c r="CE9" s="5">
        <v>11</v>
      </c>
      <c r="CF9" s="5">
        <f t="shared" si="9"/>
        <v>4</v>
      </c>
      <c r="CG9" s="5">
        <f t="shared" si="10"/>
        <v>7</v>
      </c>
    </row>
    <row r="10" spans="1:85">
      <c r="A10" s="5">
        <v>9</v>
      </c>
      <c r="B10" s="5">
        <v>7</v>
      </c>
      <c r="C10" s="10" t="s">
        <v>78</v>
      </c>
      <c r="D10" s="125"/>
      <c r="E10" s="5">
        <f>IF(AND(Y10&gt;0,$A10&lt;VLOOKUP(Y$1,$C:$L,10,FALSE)),1,IF(AND(Y10&lt;0,$A10&gt;VLOOKUP(Y$1,$C:$L,10,FALSE)),1,0))</f>
        <v>0</v>
      </c>
      <c r="F10" s="5">
        <f>IF(AND(Z10&gt;0,$A10&lt;VLOOKUP(Z$1,$C:$L,10,FALSE)),1,IF(AND(Z10&lt;0,$A10&gt;VLOOKUP(Z$1,$C:$L,10,FALSE)),1,0))</f>
        <v>0</v>
      </c>
      <c r="G10" s="5">
        <f>IF(AND(AA10&gt;0,$A10&lt;VLOOKUP(AA$1,$C:$L,10,FALSE)),1,IF(AND(AA10&lt;0,$A10&gt;VLOOKUP(AA$1,$C:$L,10,FALSE)),1,0))</f>
        <v>0</v>
      </c>
      <c r="H10" s="5">
        <f>IF(AND(AC10&gt;0,$A10&lt;VLOOKUP(AC$1,$C:$L,10,FALSE)),1,IF(AND(AC10&lt;0,$A10&gt;VLOOKUP(AC$1,$C:$L,10,FALSE)),1,0))</f>
        <v>0</v>
      </c>
      <c r="I10" s="5">
        <f>IF(AND(AD10&gt;0,$A10&lt;VLOOKUP(AD$1,$C:$L,10,FALSE)),1,IF(AND(AD10&lt;0,$A10&gt;VLOOKUP(AD$1,$C:$L,10,FALSE)),1,0))</f>
        <v>0</v>
      </c>
      <c r="J10" s="5">
        <f>IF(AND(AE10&gt;0,$A10&lt;VLOOKUP(AE$1,$C:$L,10,FALSE)),1,IF(AND(AE10&lt;0,$A10&gt;VLOOKUP(AE$1,$C:$L,10,FALSE)),1,0))</f>
        <v>0</v>
      </c>
      <c r="K10" s="79" t="s">
        <v>134</v>
      </c>
      <c r="L10" s="125">
        <f t="shared" si="0"/>
        <v>7</v>
      </c>
      <c r="M10" s="126">
        <v>2</v>
      </c>
      <c r="N10" s="11">
        <f t="shared" si="1"/>
        <v>3</v>
      </c>
      <c r="O10" s="2">
        <f t="shared" si="2"/>
        <v>2</v>
      </c>
      <c r="P10" s="2">
        <f t="shared" si="3"/>
        <v>1</v>
      </c>
      <c r="Q10" s="12">
        <f t="shared" si="13"/>
        <v>1</v>
      </c>
      <c r="R10" s="13">
        <f t="shared" si="14"/>
        <v>1</v>
      </c>
      <c r="S10" s="14">
        <f t="shared" si="15"/>
        <v>1</v>
      </c>
      <c r="T10" s="2">
        <f t="shared" si="4"/>
        <v>0</v>
      </c>
      <c r="U10" s="2"/>
      <c r="V10" s="2"/>
      <c r="W10" s="2"/>
      <c r="X10" s="2" t="str">
        <f>IFERROR(IFERROR(VLOOKUP($C10&amp;" "&amp;X$1,Results!$F:$H,3,FALSE),-VLOOKUP($C10&amp;" "&amp;X$1,Results!$G:$H,2,FALSE)),"")</f>
        <v/>
      </c>
      <c r="Y10" s="2" t="str">
        <f>IFERROR(IFERROR(VLOOKUP($C10&amp;" "&amp;Y$1,Results!$F:$H,3,FALSE),-VLOOKUP($C10&amp;" "&amp;Y$1,Results!$G:$H,2,FALSE)),"")</f>
        <v/>
      </c>
      <c r="Z10" s="2" t="str">
        <f>IFERROR(IFERROR(VLOOKUP($C10&amp;" "&amp;Z$1,Results!$F:$H,3,FALSE),-VLOOKUP($C10&amp;" "&amp;Z$1,Results!$G:$H,2,FALSE)),"")</f>
        <v/>
      </c>
      <c r="AA10" s="2">
        <f>IFERROR(IFERROR(VLOOKUP($C10&amp;" "&amp;AA$1,Results!$F:$H,3,FALSE),-VLOOKUP($C10&amp;" "&amp;AA$1,Results!$G:$H,2,FALSE)),"")</f>
        <v>66</v>
      </c>
      <c r="AB10" s="44">
        <f>IFERROR(IFERROR(VLOOKUP($C10&amp;" "&amp;AB$1,Results!$F:$H,3,FALSE),-VLOOKUP($C10&amp;" "&amp;AB$1,Results!$G:$H,2,FALSE)),"")</f>
        <v>-20</v>
      </c>
      <c r="AC10" s="19">
        <f>IFERROR(IFERROR(VLOOKUP($C10&amp;" "&amp;AC$1,Results!$F:$H,3,FALSE),-VLOOKUP($C10&amp;" "&amp;AC$1,Results!$G:$H,2,FALSE)),"")</f>
        <v>0</v>
      </c>
      <c r="AD10" s="19" t="str">
        <f>IFERROR(IFERROR(VLOOKUP($C10&amp;" "&amp;AD$1,Results!$F:$H,3,FALSE),-VLOOKUP($C10&amp;" "&amp;AD$1,Results!$G:$H,2,FALSE)),"")</f>
        <v/>
      </c>
      <c r="AE10" s="45">
        <f>IFERROR(IFERROR(VLOOKUP($C10&amp;" "&amp;AE$1,Results!$F:$H,3,FALSE),-VLOOKUP($C10&amp;" "&amp;AE$1,Results!$G:$H,2,FALSE)),"")</f>
        <v>95</v>
      </c>
      <c r="AF10" s="2">
        <f>IFERROR(IFERROR(VLOOKUP($C10&amp;" "&amp;AF$1,Results!$F:$H,3,FALSE),-VLOOKUP($C10&amp;" "&amp;AF$1,Results!$G:$H,2,FALSE)),"")</f>
        <v>-32</v>
      </c>
      <c r="AG10" s="2">
        <f>IFERROR(IFERROR(VLOOKUP($C10&amp;" "&amp;AG$1,Results!$F:$H,3,FALSE),-VLOOKUP($C10&amp;" "&amp;AG$1,Results!$G:$H,2,FALSE)),"")</f>
        <v>61</v>
      </c>
      <c r="AH10" s="2" t="str">
        <f>IFERROR(IFERROR(VLOOKUP($C10&amp;" "&amp;AH$1,Results!$F:$H,3,FALSE),-VLOOKUP($C10&amp;" "&amp;AH$1,Results!$G:$H,2,FALSE)),"")</f>
        <v/>
      </c>
      <c r="AI10" s="2" t="str">
        <f>IFERROR(IFERROR(VLOOKUP($C10&amp;" "&amp;AI$1,Results!$F:$H,3,FALSE),-VLOOKUP($C10&amp;" "&amp;AI$1,Results!$G:$H,2,FALSE)),"")</f>
        <v/>
      </c>
      <c r="AX10" s="2"/>
      <c r="AY10" s="2"/>
      <c r="BB10" s="2"/>
      <c r="BC10" s="2"/>
      <c r="BG10" s="2"/>
      <c r="BH10" s="2"/>
      <c r="BI10" s="15"/>
      <c r="BJ10" s="15"/>
      <c r="BK10" s="15"/>
      <c r="BL10" s="15"/>
      <c r="BM10" s="15"/>
      <c r="BN10" s="15"/>
      <c r="BO10" s="15"/>
      <c r="BW10" s="82">
        <f t="shared" si="5"/>
        <v>170</v>
      </c>
      <c r="BX10" s="5">
        <f t="shared" si="11"/>
        <v>0</v>
      </c>
      <c r="BY10" s="5">
        <f t="shared" si="6"/>
        <v>6</v>
      </c>
      <c r="BZ10" s="5">
        <f t="shared" si="12"/>
        <v>6</v>
      </c>
      <c r="CA10" s="65">
        <f t="shared" si="7"/>
        <v>0</v>
      </c>
      <c r="CC10" s="8">
        <f t="shared" si="8"/>
        <v>170</v>
      </c>
      <c r="CE10" s="5">
        <v>3</v>
      </c>
      <c r="CF10" s="5">
        <f t="shared" si="9"/>
        <v>9</v>
      </c>
      <c r="CG10" s="5">
        <f t="shared" si="10"/>
        <v>-6</v>
      </c>
    </row>
    <row r="11" spans="1:85" ht="13.5" thickBot="1">
      <c r="A11" s="5">
        <v>13</v>
      </c>
      <c r="B11" s="5">
        <v>8</v>
      </c>
      <c r="C11" s="161" t="s">
        <v>10</v>
      </c>
      <c r="D11" s="125"/>
      <c r="E11" s="5"/>
      <c r="F11" s="5"/>
      <c r="G11" s="5"/>
      <c r="H11" s="5">
        <f>IF(AND(Y11&gt;0,$A11&lt;VLOOKUP(Y$1,$C:$L,10,FALSE)),1,IF(AND(Y11&lt;0,$A11&gt;VLOOKUP(Y$1,$C:$L,10,FALSE)),1,0))</f>
        <v>0</v>
      </c>
      <c r="I11" s="5">
        <f>IF(AND(Z11&gt;0,$A11&lt;VLOOKUP(Z$1,$C:$L,10,FALSE)),1,IF(AND(Z11&lt;0,$A11&gt;VLOOKUP(Z$1,$C:$L,10,FALSE)),1,0))</f>
        <v>0</v>
      </c>
      <c r="J11" s="5">
        <f>IF(AND(AA11&gt;0,$A11&lt;VLOOKUP(AA$1,$C:$L,10,FALSE)),1,IF(AND(AA11&lt;0,$A11&gt;VLOOKUP(AA$1,$C:$L,10,FALSE)),1,0))</f>
        <v>0</v>
      </c>
      <c r="K11" s="79" t="s">
        <v>134</v>
      </c>
      <c r="L11" s="125">
        <f t="shared" si="0"/>
        <v>8</v>
      </c>
      <c r="M11" s="76">
        <v>2</v>
      </c>
      <c r="N11" s="11">
        <f t="shared" si="1"/>
        <v>0</v>
      </c>
      <c r="O11" s="2">
        <f t="shared" si="2"/>
        <v>6</v>
      </c>
      <c r="P11" s="2">
        <f t="shared" si="3"/>
        <v>0</v>
      </c>
      <c r="Q11" s="12">
        <f t="shared" si="13"/>
        <v>0</v>
      </c>
      <c r="R11" s="13">
        <f t="shared" si="14"/>
        <v>3</v>
      </c>
      <c r="S11" s="14">
        <f t="shared" si="15"/>
        <v>0</v>
      </c>
      <c r="T11" s="2">
        <f t="shared" si="4"/>
        <v>0</v>
      </c>
      <c r="U11" s="2" t="str">
        <f>IFERROR(IFERROR(VLOOKUP($C11&amp;" "&amp;U$1,Results!$F:$H,3,FALSE),-VLOOKUP($C11&amp;" "&amp;U$1,Results!$G:$H,2,FALSE)),"")</f>
        <v/>
      </c>
      <c r="V11" s="2" t="str">
        <f>IFERROR(IFERROR(VLOOKUP($C11&amp;" "&amp;V$1,Results!$F:$H,3,FALSE),-VLOOKUP($C11&amp;" "&amp;V$1,Results!$G:$H,2,FALSE)),"")</f>
        <v/>
      </c>
      <c r="W11" s="2" t="str">
        <f>IFERROR(IFERROR(VLOOKUP($C11&amp;" "&amp;W$1,Results!$F:$H,3,FALSE),-VLOOKUP($C11&amp;" "&amp;W$1,Results!$G:$H,2,FALSE)),"")</f>
        <v/>
      </c>
      <c r="X11" s="19" t="str">
        <f>IFERROR(IFERROR(VLOOKUP($C11&amp;" "&amp;X$1,Results!$F:$H,3,FALSE),-VLOOKUP($C11&amp;" "&amp;X$1,Results!$G:$H,2,FALSE)),"")</f>
        <v/>
      </c>
      <c r="Y11" s="2" t="str">
        <f>IFERROR(IFERROR(VLOOKUP($C11&amp;" "&amp;Y$1,Results!$F:$H,3,FALSE),-VLOOKUP($C11&amp;" "&amp;Y$1,Results!$G:$H,2,FALSE)),"")</f>
        <v/>
      </c>
      <c r="Z11" s="2" t="str">
        <f>IFERROR(IFERROR(VLOOKUP($C11&amp;" "&amp;Z$1,Results!$F:$H,3,FALSE),-VLOOKUP($C11&amp;" "&amp;Z$1,Results!$G:$H,2,FALSE)),"")</f>
        <v/>
      </c>
      <c r="AA11" s="2" t="str">
        <f>IFERROR(IFERROR(VLOOKUP($C11&amp;" "&amp;AA$1,Results!$F:$H,3,FALSE),-VLOOKUP($C11&amp;" "&amp;AA$1,Results!$G:$H,2,FALSE)),"")</f>
        <v/>
      </c>
      <c r="AB11" s="52">
        <f>IFERROR(IFERROR(VLOOKUP($C11&amp;" "&amp;AB$1,Results!$F:$H,3,FALSE),-VLOOKUP($C11&amp;" "&amp;AB$1,Results!$G:$H,2,FALSE)),"")</f>
        <v>-59</v>
      </c>
      <c r="AC11" s="57">
        <f>IFERROR(IFERROR(VLOOKUP($C11&amp;" "&amp;AC$1,Results!$F:$H,3,FALSE),-VLOOKUP($C11&amp;" "&amp;AC$1,Results!$G:$H,2,FALSE)),"")</f>
        <v>-58</v>
      </c>
      <c r="AD11" s="57">
        <f>IFERROR(IFERROR(VLOOKUP($C11&amp;" "&amp;AD$1,Results!$F:$H,3,FALSE),-VLOOKUP($C11&amp;" "&amp;AD$1,Results!$G:$H,2,FALSE)),"")</f>
        <v>-95</v>
      </c>
      <c r="AE11" s="58" t="str">
        <f>IFERROR(IFERROR(VLOOKUP($C11&amp;" "&amp;AE$1,Results!$F:$H,3,FALSE),-VLOOKUP($C11&amp;" "&amp;AE$1,Results!$G:$H,2,FALSE)),"")</f>
        <v/>
      </c>
      <c r="AF11" s="2">
        <f>IFERROR(IFERROR(VLOOKUP($C11&amp;" "&amp;AF$1,Results!$F:$H,3,FALSE),-VLOOKUP($C11&amp;" "&amp;AF$1,Results!$G:$H,2,FALSE)),"")</f>
        <v>-61</v>
      </c>
      <c r="AG11" s="2">
        <f>IFERROR(IFERROR(VLOOKUP($C11&amp;" "&amp;AG$1,Results!$F:$H,3,FALSE),-VLOOKUP($C11&amp;" "&amp;AG$1,Results!$G:$H,2,FALSE)),"")</f>
        <v>-14</v>
      </c>
      <c r="AH11" s="2">
        <f>IFERROR(IFERROR(VLOOKUP($C11&amp;" "&amp;AH$1,Results!$F:$H,3,FALSE),-VLOOKUP($C11&amp;" "&amp;AH$1,Results!$G:$H,2,FALSE)),"")</f>
        <v>-94</v>
      </c>
      <c r="AX11" s="2"/>
      <c r="AY11" s="2"/>
      <c r="BB11" s="2"/>
      <c r="BC11" s="2"/>
      <c r="BG11" s="2"/>
      <c r="BH11" s="2"/>
      <c r="BI11" s="15"/>
      <c r="BJ11" s="15"/>
      <c r="BK11" s="15"/>
      <c r="BL11" s="15"/>
      <c r="BM11" s="15"/>
      <c r="BN11" s="15"/>
      <c r="BO11" s="15"/>
      <c r="BW11" s="82">
        <f t="shared" si="5"/>
        <v>-381</v>
      </c>
      <c r="BX11" s="5">
        <f t="shared" si="11"/>
        <v>0</v>
      </c>
      <c r="BY11" s="5">
        <f t="shared" si="6"/>
        <v>3</v>
      </c>
      <c r="BZ11" s="5">
        <f t="shared" si="12"/>
        <v>3</v>
      </c>
      <c r="CA11" s="65">
        <f t="shared" si="7"/>
        <v>0</v>
      </c>
      <c r="CC11" s="8">
        <f t="shared" si="8"/>
        <v>-381</v>
      </c>
      <c r="CE11" s="5">
        <v>2</v>
      </c>
      <c r="CF11" s="5">
        <f t="shared" si="9"/>
        <v>13</v>
      </c>
      <c r="CG11" s="5">
        <f t="shared" si="10"/>
        <v>-11</v>
      </c>
    </row>
    <row r="12" spans="1:85">
      <c r="A12" s="5">
        <v>8</v>
      </c>
      <c r="B12" s="5">
        <v>9</v>
      </c>
      <c r="C12" s="10" t="s">
        <v>16</v>
      </c>
      <c r="D12" s="5"/>
      <c r="E12" s="5">
        <f>IF(AND(AF12&gt;0,$A12&lt;VLOOKUP(AF$1,$C:$L,10,FALSE)),1,IF(AND(AF12&lt;0,$A12&gt;VLOOKUP(AF$1,$C:$L,10,FALSE)),1,0))</f>
        <v>1</v>
      </c>
      <c r="F12" s="5">
        <f>IF(AND(AG12&gt;0,$A12&lt;VLOOKUP(AG$1,$C:$L,10,FALSE)),1,IF(AND(AG12&lt;0,$A12&gt;VLOOKUP(AG$1,$C:$L,10,FALSE)),1,0))</f>
        <v>1</v>
      </c>
      <c r="G12" s="5">
        <f>IF(AND(AH12&gt;0,$A12&lt;VLOOKUP(AH$1,$C:$L,10,FALSE)),1,IF(AND(AH12&lt;0,$A12&gt;VLOOKUP(AH$1,$C:$L,10,FALSE)),1,0))</f>
        <v>0</v>
      </c>
      <c r="H12" s="5">
        <f>IF(AND(AJ12&gt;0,$A12&lt;VLOOKUP(AJ$1,$C:$L,10,FALSE)),1,IF(AND(AJ12&lt;0,$A12&gt;VLOOKUP(AJ$1,$C:$L,10,FALSE)),1,0))</f>
        <v>1</v>
      </c>
      <c r="I12" s="5">
        <f>IF(AND(AK12&gt;0,$A12&lt;VLOOKUP(AK$1,$C:$L,10,FALSE)),1,IF(AND(AK12&lt;0,$A12&gt;VLOOKUP(AK$1,$C:$L,10,FALSE)),1,0))</f>
        <v>1</v>
      </c>
      <c r="J12" s="5">
        <f>IF(AND(AL12&gt;0,$A12&lt;VLOOKUP(AL$1,$C:$L,10,FALSE)),1,IF(AND(AL12&lt;0,$A12&gt;VLOOKUP(AL$1,$C:$L,10,FALSE)),1,0))</f>
        <v>1</v>
      </c>
      <c r="K12" s="79" t="s">
        <v>134</v>
      </c>
      <c r="L12" s="125">
        <f t="shared" si="0"/>
        <v>9</v>
      </c>
      <c r="M12" s="2">
        <v>3</v>
      </c>
      <c r="N12" s="11">
        <f t="shared" si="1"/>
        <v>4</v>
      </c>
      <c r="O12" s="2">
        <f t="shared" si="2"/>
        <v>1</v>
      </c>
      <c r="P12" s="2">
        <f t="shared" si="3"/>
        <v>1</v>
      </c>
      <c r="Q12" s="12">
        <f>COUNTIF($AF12:$AI12,"&gt;0")</f>
        <v>2</v>
      </c>
      <c r="R12" s="13">
        <f>COUNTIF($AF12:$AI12,"&lt;0")</f>
        <v>1</v>
      </c>
      <c r="S12" s="14">
        <f>COUNTIF($AF12:$AI12,"=0")</f>
        <v>0</v>
      </c>
      <c r="T12" s="2">
        <f t="shared" si="4"/>
        <v>0</v>
      </c>
      <c r="U12" s="2"/>
      <c r="V12" s="2"/>
      <c r="W12" s="2"/>
      <c r="AB12" s="2" t="str">
        <f>IFERROR(IFERROR(VLOOKUP($C12&amp;" "&amp;AB$1,Results!$F:$H,3,FALSE),-VLOOKUP($C12&amp;" "&amp;AB$1,Results!$G:$H,2,FALSE)),"")</f>
        <v/>
      </c>
      <c r="AC12" s="2">
        <f>IFERROR(IFERROR(VLOOKUP($C12&amp;" "&amp;AC$1,Results!$F:$H,3,FALSE),-VLOOKUP($C12&amp;" "&amp;AC$1,Results!$G:$H,2,FALSE)),"")</f>
        <v>0</v>
      </c>
      <c r="AD12" s="2">
        <f>IFERROR(IFERROR(VLOOKUP($C12&amp;" "&amp;AD$1,Results!$F:$H,3,FALSE),-VLOOKUP($C12&amp;" "&amp;AD$1,Results!$G:$H,2,FALSE)),"")</f>
        <v>32</v>
      </c>
      <c r="AE12" s="2">
        <f>IFERROR(IFERROR(VLOOKUP($C12&amp;" "&amp;AE$1,Results!$F:$H,3,FALSE),-VLOOKUP($C12&amp;" "&amp;AE$1,Results!$G:$H,2,FALSE)),"")</f>
        <v>61</v>
      </c>
      <c r="AF12" s="18" t="str">
        <f>IFERROR(IFERROR(VLOOKUP($C12&amp;" "&amp;AF$1,Results!$F:$H,3,FALSE),-VLOOKUP($C12&amp;" "&amp;AF$1,Results!$G:$H,2,FALSE)),"")</f>
        <v/>
      </c>
      <c r="AG12" s="42">
        <f>IFERROR(IFERROR(VLOOKUP($C12&amp;" "&amp;AG$1,Results!$F:$H,3,FALSE),-VLOOKUP($C12&amp;" "&amp;AG$1,Results!$G:$H,2,FALSE)),"")</f>
        <v>31</v>
      </c>
      <c r="AH12" s="42">
        <f>IFERROR(IFERROR(VLOOKUP($C12&amp;" "&amp;AH$1,Results!$F:$H,3,FALSE),-VLOOKUP($C12&amp;" "&amp;AH$1,Results!$G:$H,2,FALSE)),"")</f>
        <v>-34</v>
      </c>
      <c r="AI12" s="43">
        <f>IFERROR(IFERROR(VLOOKUP($C12&amp;" "&amp;AI$1,Results!$F:$H,3,FALSE),-VLOOKUP($C12&amp;" "&amp;AI$1,Results!$G:$H,2,FALSE)),"")</f>
        <v>30</v>
      </c>
      <c r="AJ12" s="2" t="str">
        <f>IFERROR(IFERROR(VLOOKUP($C12&amp;" "&amp;AJ$1,Results!$F:$H,3,FALSE),-VLOOKUP($C12&amp;" "&amp;AJ$1,Results!$G:$H,2,FALSE)),"")</f>
        <v/>
      </c>
      <c r="AK12" s="2" t="str">
        <f>IFERROR(IFERROR(VLOOKUP($C12&amp;" "&amp;AK$1,Results!$F:$H,3,FALSE),-VLOOKUP($C12&amp;" "&amp;AK$1,Results!$G:$H,2,FALSE)),"")</f>
        <v/>
      </c>
      <c r="AL12" s="2" t="str">
        <f>IFERROR(IFERROR(VLOOKUP($C12&amp;" "&amp;AL$1,Results!$F:$H,3,FALSE),-VLOOKUP($C12&amp;" "&amp;AL$1,Results!$G:$H,2,FALSE)),"")</f>
        <v/>
      </c>
      <c r="AM12" s="2" t="str">
        <f>IFERROR(IFERROR(VLOOKUP($C12&amp;" "&amp;AM$1,Results!$F:$H,3,FALSE),-VLOOKUP($C12&amp;" "&amp;AM$1,Results!$G:$H,2,FALSE)),"")</f>
        <v/>
      </c>
      <c r="AX12" s="2"/>
      <c r="AY12" s="2"/>
      <c r="BB12" s="2"/>
      <c r="BC12" s="2"/>
      <c r="BG12" s="2"/>
      <c r="BH12" s="2"/>
      <c r="BI12" s="15"/>
      <c r="BJ12" s="15"/>
      <c r="BK12" s="15"/>
      <c r="BL12" s="15"/>
      <c r="BM12" s="15"/>
      <c r="BN12" s="15"/>
      <c r="BO12" s="15"/>
      <c r="BW12" s="82">
        <f t="shared" si="5"/>
        <v>120</v>
      </c>
      <c r="BX12" s="5">
        <f t="shared" si="11"/>
        <v>5</v>
      </c>
      <c r="BY12" s="5">
        <f t="shared" si="6"/>
        <v>1</v>
      </c>
      <c r="BZ12" s="5">
        <f t="shared" si="12"/>
        <v>6</v>
      </c>
      <c r="CA12" s="65">
        <f t="shared" si="7"/>
        <v>0.83333333333333337</v>
      </c>
      <c r="CC12" s="8">
        <f t="shared" si="8"/>
        <v>120</v>
      </c>
      <c r="CE12" s="5">
        <v>14</v>
      </c>
      <c r="CF12" s="5">
        <f t="shared" si="9"/>
        <v>8</v>
      </c>
      <c r="CG12" s="5">
        <f t="shared" si="10"/>
        <v>6</v>
      </c>
    </row>
    <row r="13" spans="1:85">
      <c r="A13" s="5">
        <v>12</v>
      </c>
      <c r="B13" s="5">
        <v>10</v>
      </c>
      <c r="C13" s="10" t="s">
        <v>11</v>
      </c>
      <c r="D13" s="5"/>
      <c r="E13" s="5">
        <f>IF(AND(AG13&gt;0,$A13&lt;VLOOKUP(AG$1,$C:$L,10,FALSE)),1,IF(AND(AG13&lt;0,$A13&gt;VLOOKUP(AG$1,$C:$L,10,FALSE)),1,0))</f>
        <v>0</v>
      </c>
      <c r="F13" s="5">
        <f>IF(AND(AH13&gt;0,$A13&lt;VLOOKUP(AH$1,$C:$L,10,FALSE)),1,IF(AND(AH13&lt;0,$A13&gt;VLOOKUP(AH$1,$C:$L,10,FALSE)),1,0))</f>
        <v>0</v>
      </c>
      <c r="G13" s="5">
        <f>IF(AND(AI13&gt;0,$A13&lt;VLOOKUP(AI$1,$C:$L,10,FALSE)),1,IF(AND(AI13&lt;0,$A13&gt;VLOOKUP(AI$1,$C:$L,10,FALSE)),1,0))</f>
        <v>0</v>
      </c>
      <c r="H13" s="5">
        <f>IF(AND(AK13&gt;0,$A13&lt;VLOOKUP(AK$1,$C:$L,10,FALSE)),1,IF(AND(AK13&lt;0,$A13&gt;VLOOKUP(AK$1,$C:$L,10,FALSE)),1,0))</f>
        <v>1</v>
      </c>
      <c r="I13" s="5">
        <f>IF(AND(AL13&gt;0,$A13&lt;VLOOKUP(AL$1,$C:$L,10,FALSE)),1,IF(AND(AL13&lt;0,$A13&gt;VLOOKUP(AL$1,$C:$L,10,FALSE)),1,0))</f>
        <v>1</v>
      </c>
      <c r="J13" s="5">
        <f>IF(AND(AM13&gt;0,$A13&lt;VLOOKUP(AM$1,$C:$L,10,FALSE)),1,IF(AND(AM13&lt;0,$A13&gt;VLOOKUP(AM$1,$C:$L,10,FALSE)),1,0))</f>
        <v>1</v>
      </c>
      <c r="K13" s="79" t="s">
        <v>134</v>
      </c>
      <c r="L13" s="125">
        <f t="shared" si="0"/>
        <v>10</v>
      </c>
      <c r="M13" s="2">
        <v>3</v>
      </c>
      <c r="N13" s="11">
        <f t="shared" si="1"/>
        <v>3</v>
      </c>
      <c r="O13" s="2">
        <f t="shared" si="2"/>
        <v>3</v>
      </c>
      <c r="P13" s="2">
        <f t="shared" si="3"/>
        <v>0</v>
      </c>
      <c r="Q13" s="12">
        <f>COUNTIF($AF13:$AI13,"&gt;0")</f>
        <v>2</v>
      </c>
      <c r="R13" s="13">
        <f>COUNTIF($AF13:$AI13,"&lt;0")</f>
        <v>1</v>
      </c>
      <c r="S13" s="14">
        <f>COUNTIF($AF13:$AI13,"=0")</f>
        <v>0</v>
      </c>
      <c r="T13" s="2">
        <f t="shared" si="4"/>
        <v>0</v>
      </c>
      <c r="U13" s="2"/>
      <c r="V13" s="2"/>
      <c r="W13" s="2"/>
      <c r="AD13" s="19">
        <f>IFERROR(IFERROR(VLOOKUP($C13&amp;" "&amp;AD$1,Results!$F:$H,3,FALSE),-VLOOKUP($C13&amp;" "&amp;AD$1,Results!$G:$H,2,FALSE)),"")</f>
        <v>-61</v>
      </c>
      <c r="AE13" s="19">
        <f>IFERROR(IFERROR(VLOOKUP($C13&amp;" "&amp;AE$1,Results!$F:$H,3,FALSE),-VLOOKUP($C13&amp;" "&amp;AE$1,Results!$G:$H,2,FALSE)),"")</f>
        <v>14</v>
      </c>
      <c r="AF13" s="51">
        <f>IFERROR(IFERROR(VLOOKUP($C13&amp;" "&amp;AF$1,Results!$F:$H,3,FALSE),-VLOOKUP($C13&amp;" "&amp;AF$1,Results!$G:$H,2,FALSE)),"")</f>
        <v>-31</v>
      </c>
      <c r="AG13" s="2" t="str">
        <f>IFERROR(IFERROR(VLOOKUP($C13&amp;" "&amp;AG$1,Results!$F:$H,3,FALSE),-VLOOKUP($C13&amp;" "&amp;AG$1,Results!$G:$H,2,FALSE)),"")</f>
        <v/>
      </c>
      <c r="AH13" s="2">
        <f>IFERROR(IFERROR(VLOOKUP($C13&amp;" "&amp;AH$1,Results!$F:$H,3,FALSE),-VLOOKUP($C13&amp;" "&amp;AH$1,Results!$G:$H,2,FALSE)),"")</f>
        <v>49</v>
      </c>
      <c r="AI13" s="56">
        <f>IFERROR(IFERROR(VLOOKUP($C13&amp;" "&amp;AI$1,Results!$F:$H,3,FALSE),-VLOOKUP($C13&amp;" "&amp;AI$1,Results!$G:$H,2,FALSE)),"")</f>
        <v>24</v>
      </c>
      <c r="AJ13" s="2">
        <f>IFERROR(IFERROR(VLOOKUP($C13&amp;" "&amp;AJ$1,Results!$F:$H,3,FALSE),-VLOOKUP($C13&amp;" "&amp;AJ$1,Results!$G:$H,2,FALSE)),"")</f>
        <v>-91</v>
      </c>
      <c r="AK13" s="19" t="str">
        <f>IFERROR(IFERROR(VLOOKUP($C13&amp;" "&amp;AK$1,Results!$F:$H,3,FALSE),-VLOOKUP($C13&amp;" "&amp;AK$1,Results!$G:$H,2,FALSE)),"")</f>
        <v/>
      </c>
      <c r="AL13" s="19" t="str">
        <f>IFERROR(IFERROR(VLOOKUP($C13&amp;" "&amp;AL$1,Results!$F:$H,3,FALSE),-VLOOKUP($C13&amp;" "&amp;AL$1,Results!$G:$H,2,FALSE)),"")</f>
        <v/>
      </c>
      <c r="AM13" s="19" t="str">
        <f>IFERROR(IFERROR(VLOOKUP($C13&amp;" "&amp;AM$1,Results!$F:$H,3,FALSE),-VLOOKUP($C13&amp;" "&amp;AM$1,Results!$G:$H,2,FALSE)),"")</f>
        <v/>
      </c>
      <c r="AN13" s="2" t="str">
        <f>IFERROR(IFERROR(VLOOKUP($C13&amp;" "&amp;AN$1,Results!$F:$H,3,FALSE),-VLOOKUP($C13&amp;" "&amp;AN$1,Results!$G:$H,2,FALSE)),"")</f>
        <v/>
      </c>
      <c r="AO13" s="2" t="str">
        <f>IFERROR(IFERROR(VLOOKUP($C13&amp;" "&amp;AO$1,Results!$F:$H,3,FALSE),-VLOOKUP($C13&amp;" "&amp;AO$1,Results!$G:$H,2,FALSE)),"")</f>
        <v/>
      </c>
      <c r="AP13" s="2" t="str">
        <f>IFERROR(IFERROR(VLOOKUP($C13&amp;" "&amp;AP$1,Results!$F:$H,3,FALSE),-VLOOKUP($C13&amp;" "&amp;AP$1,Results!$G:$H,2,FALSE)),"")</f>
        <v/>
      </c>
      <c r="AQ13" s="2" t="str">
        <f>IFERROR(IFERROR(VLOOKUP($C13&amp;" "&amp;AQ$1,Results!$F:$H,3,FALSE),-VLOOKUP($C13&amp;" "&amp;AQ$1,Results!$G:$H,2,FALSE)),"")</f>
        <v/>
      </c>
      <c r="AR13" s="2" t="str">
        <f>IFERROR(IFERROR(VLOOKUP($C13&amp;" "&amp;AR$1,Results!$F:$H,3,FALSE),-VLOOKUP($C13&amp;" "&amp;AR$1,Results!$G:$H,2,FALSE)),"")</f>
        <v/>
      </c>
      <c r="AS13" s="2" t="str">
        <f>IFERROR(IFERROR(VLOOKUP($C13&amp;" "&amp;AS$1,Results!$F:$H,3,FALSE),-VLOOKUP($C13&amp;" "&amp;AS$1,Results!$G:$H,2,FALSE)),"")</f>
        <v/>
      </c>
      <c r="AT13" s="2" t="str">
        <f>IFERROR(IFERROR(VLOOKUP($C13&amp;" "&amp;AT$1,Results!$F:$H,3,FALSE),-VLOOKUP($C13&amp;" "&amp;AT$1,Results!$G:$H,2,FALSE)),"")</f>
        <v/>
      </c>
      <c r="AU13" s="2" t="str">
        <f>IFERROR(IFERROR(VLOOKUP($C13&amp;" "&amp;AU$1,Results!$F:$H,3,FALSE),-VLOOKUP($C13&amp;" "&amp;AU$1,Results!$G:$H,2,FALSE)),"")</f>
        <v/>
      </c>
      <c r="AV13" s="2" t="str">
        <f>IFERROR(IFERROR(VLOOKUP($C13&amp;" "&amp;AV$1,Results!$F:$H,3,FALSE),-VLOOKUP($C13&amp;" "&amp;AV$1,Results!$G:$H,2,FALSE)),"")</f>
        <v/>
      </c>
      <c r="AW13" s="2" t="str">
        <f>IFERROR(IFERROR(VLOOKUP($C13&amp;" "&amp;AW$1,Results!$F:$H,3,FALSE),-VLOOKUP($C13&amp;" "&amp;AW$1,Results!$G:$H,2,FALSE)),"")</f>
        <v/>
      </c>
      <c r="AX13" s="2" t="str">
        <f>IFERROR(IFERROR(VLOOKUP($C13&amp;" "&amp;AX$1,Results!$F:$H,3,FALSE),-VLOOKUP($C13&amp;" "&amp;AX$1,Results!$G:$H,2,FALSE)),"")</f>
        <v/>
      </c>
      <c r="AY13" s="2" t="str">
        <f>IFERROR(IFERROR(VLOOKUP($C13&amp;" "&amp;AY$1,Results!$F:$H,3,FALSE),-VLOOKUP($C13&amp;" "&amp;AY$1,Results!$G:$H,2,FALSE)),"")</f>
        <v/>
      </c>
      <c r="AZ13" s="2" t="str">
        <f>IFERROR(IFERROR(VLOOKUP($C13&amp;" "&amp;AZ$1,Results!$F:$H,3,FALSE),-VLOOKUP($C13&amp;" "&amp;AZ$1,Results!$G:$H,2,FALSE)),"")</f>
        <v/>
      </c>
      <c r="BA13" s="2" t="str">
        <f>IFERROR(IFERROR(VLOOKUP($C13&amp;" "&amp;BA$1,Results!$F:$H,3,FALSE),-VLOOKUP($C13&amp;" "&amp;BA$1,Results!$G:$H,2,FALSE)),"")</f>
        <v/>
      </c>
      <c r="BB13" s="2" t="str">
        <f>IFERROR(IFERROR(VLOOKUP($C13&amp;" "&amp;BB$1,Results!$F:$H,3,FALSE),-VLOOKUP($C13&amp;" "&amp;BB$1,Results!$G:$H,2,FALSE)),"")</f>
        <v/>
      </c>
      <c r="BC13" s="2" t="str">
        <f>IFERROR(IFERROR(VLOOKUP($C13&amp;" "&amp;BC$1,Results!$F:$H,3,FALSE),-VLOOKUP($C13&amp;" "&amp;BC$1,Results!$G:$H,2,FALSE)),"")</f>
        <v/>
      </c>
      <c r="BG13" s="2"/>
      <c r="BH13" s="2"/>
      <c r="BI13" s="15"/>
      <c r="BJ13" s="15"/>
      <c r="BK13" s="15"/>
      <c r="BL13" s="15"/>
      <c r="BM13" s="15"/>
      <c r="BN13" s="15"/>
      <c r="BO13" s="15"/>
      <c r="BW13" s="82">
        <f t="shared" si="5"/>
        <v>-96</v>
      </c>
      <c r="BX13" s="5">
        <f t="shared" si="11"/>
        <v>3</v>
      </c>
      <c r="BY13" s="5">
        <f t="shared" si="6"/>
        <v>3</v>
      </c>
      <c r="BZ13" s="5">
        <f t="shared" si="12"/>
        <v>6</v>
      </c>
      <c r="CA13" s="65">
        <f t="shared" si="7"/>
        <v>0.5</v>
      </c>
      <c r="CC13" s="8">
        <f t="shared" si="8"/>
        <v>-96</v>
      </c>
      <c r="CE13" s="5">
        <v>8</v>
      </c>
      <c r="CF13" s="5">
        <f t="shared" si="9"/>
        <v>12</v>
      </c>
      <c r="CG13" s="5">
        <f t="shared" si="10"/>
        <v>-4</v>
      </c>
    </row>
    <row r="14" spans="1:85">
      <c r="A14" s="5">
        <v>6</v>
      </c>
      <c r="B14" s="5">
        <v>11</v>
      </c>
      <c r="C14" s="154" t="s">
        <v>96</v>
      </c>
      <c r="D14" s="5"/>
      <c r="E14" s="5">
        <f>IF(AND(AD14&gt;0,$A14&lt;VLOOKUP(AD$1,$C:$L,10,FALSE)),1,IF(AND(AD14&lt;0,$A14&gt;VLOOKUP(AD$1,$C:$L,10,FALSE)),1,0))</f>
        <v>1</v>
      </c>
      <c r="F14" s="5">
        <f>IF(AND(AE14&gt;0,$A14&lt;VLOOKUP(AE$1,$C:$L,10,FALSE)),1,IF(AND(AE14&lt;0,$A14&gt;VLOOKUP(AE$1,$C:$L,10,FALSE)),1,0))</f>
        <v>1</v>
      </c>
      <c r="G14" s="5">
        <f>IF(AND(AF14&gt;0,$A14&lt;VLOOKUP(AF$1,$C:$L,10,FALSE)),1,IF(AND(AF14&lt;0,$A14&gt;VLOOKUP(AF$1,$C:$L,10,FALSE)),1,0))</f>
        <v>1</v>
      </c>
      <c r="H14" s="5">
        <f>IF(AND(AH14&gt;0,$A14&lt;VLOOKUP(AH$1,$C:$L,10,FALSE)),1,IF(AND(AH14&lt;0,$A14&gt;VLOOKUP(AH$1,$C:$L,10,FALSE)),1,0))</f>
        <v>1</v>
      </c>
      <c r="I14" s="5">
        <f>IF(AND(AI14&gt;0,$A14&lt;VLOOKUP(AI$1,$C:$L,10,FALSE)),1,IF(AND(AI14&lt;0,$A14&gt;VLOOKUP(AI$1,$C:$L,10,FALSE)),1,0))</f>
        <v>1</v>
      </c>
      <c r="J14" s="5">
        <f>IF(AND(AJ14&gt;0,$A14&lt;VLOOKUP(AJ$1,$C:$L,10,FALSE)),1,IF(AND(AJ14&lt;0,$A14&gt;VLOOKUP(AJ$1,$C:$L,10,FALSE)),1,0))</f>
        <v>1</v>
      </c>
      <c r="K14" s="79" t="s">
        <v>134</v>
      </c>
      <c r="L14" s="125">
        <f t="shared" si="0"/>
        <v>11</v>
      </c>
      <c r="M14" s="2">
        <v>3</v>
      </c>
      <c r="N14" s="11">
        <f t="shared" si="1"/>
        <v>5</v>
      </c>
      <c r="O14" s="2">
        <f t="shared" si="2"/>
        <v>1</v>
      </c>
      <c r="P14" s="2">
        <f t="shared" si="3"/>
        <v>0</v>
      </c>
      <c r="Q14" s="12">
        <f>COUNTIF($AF14:$AI14,"&gt;0")</f>
        <v>2</v>
      </c>
      <c r="R14" s="13">
        <f>COUNTIF($AF14:$AI14,"&lt;0")</f>
        <v>1</v>
      </c>
      <c r="S14" s="14">
        <f>COUNTIF($AB14:$AF14,"=0")</f>
        <v>0</v>
      </c>
      <c r="T14" s="2">
        <f t="shared" si="4"/>
        <v>0</v>
      </c>
      <c r="U14" s="2"/>
      <c r="V14" s="2"/>
      <c r="W14" s="2"/>
      <c r="AB14" s="2" t="str">
        <f>IFERROR(IFERROR(VLOOKUP($C14&amp;" "&amp;AB$1,Results!$F:$H,3,FALSE),-VLOOKUP($C14&amp;" "&amp;AB$1,Results!$G:$H,2,FALSE)),"")</f>
        <v/>
      </c>
      <c r="AC14" s="2" t="str">
        <f>IFERROR(IFERROR(VLOOKUP($C14&amp;" "&amp;AC$1,Results!$F:$H,3,FALSE),-VLOOKUP($C14&amp;" "&amp;AC$1,Results!$G:$H,2,FALSE)),"")</f>
        <v/>
      </c>
      <c r="AD14" s="2" t="str">
        <f>IFERROR(IFERROR(VLOOKUP($C14&amp;" "&amp;AD$1,Results!$F:$H,3,FALSE),-VLOOKUP($C14&amp;" "&amp;AD$1,Results!$G:$H,2,FALSE)),"")</f>
        <v/>
      </c>
      <c r="AE14" s="2">
        <f>IFERROR(IFERROR(VLOOKUP($C14&amp;" "&amp;AE$1,Results!$F:$H,3,FALSE),-VLOOKUP($C14&amp;" "&amp;AE$1,Results!$G:$H,2,FALSE)),"")</f>
        <v>94</v>
      </c>
      <c r="AF14" s="44">
        <f>IFERROR(IFERROR(VLOOKUP($C14&amp;" "&amp;AF$1,Results!$F:$H,3,FALSE),-VLOOKUP($C14&amp;" "&amp;AF$1,Results!$G:$H,2,FALSE)),"")</f>
        <v>34</v>
      </c>
      <c r="AG14" s="19">
        <f>IFERROR(IFERROR(VLOOKUP($C14&amp;" "&amp;AG$1,Results!$F:$H,3,FALSE),-VLOOKUP($C14&amp;" "&amp;AG$1,Results!$G:$H,2,FALSE)),"")</f>
        <v>-49</v>
      </c>
      <c r="AH14" s="19" t="str">
        <f>IFERROR(IFERROR(VLOOKUP($C14&amp;" "&amp;AH$1,Results!$F:$H,3,FALSE),-VLOOKUP($C14&amp;" "&amp;AH$1,Results!$G:$H,2,FALSE)),"")</f>
        <v/>
      </c>
      <c r="AI14" s="45">
        <f>IFERROR(IFERROR(VLOOKUP($C14&amp;" "&amp;AI$1,Results!$F:$H,3,FALSE),-VLOOKUP($C14&amp;" "&amp;AI$1,Results!$G:$H,2,FALSE)),"")</f>
        <v>72</v>
      </c>
      <c r="AJ14" s="2">
        <f>IFERROR(IFERROR(VLOOKUP($C14&amp;" "&amp;AJ$1,Results!$F:$H,3,FALSE),-VLOOKUP($C14&amp;" "&amp;AJ$1,Results!$G:$H,2,FALSE)),"")</f>
        <v>92</v>
      </c>
      <c r="AK14" s="2">
        <f>IFERROR(IFERROR(VLOOKUP($C14&amp;" "&amp;AK$1,Results!$F:$H,3,FALSE),-VLOOKUP($C14&amp;" "&amp;AK$1,Results!$G:$H,2,FALSE)),"")</f>
        <v>250</v>
      </c>
      <c r="AL14" s="2" t="str">
        <f>IFERROR(IFERROR(VLOOKUP($C14&amp;" "&amp;AL$1,Results!$F:$H,3,FALSE),-VLOOKUP($C14&amp;" "&amp;AL$1,Results!$G:$H,2,FALSE)),"")</f>
        <v/>
      </c>
      <c r="AM14" s="2" t="str">
        <f>IFERROR(IFERROR(VLOOKUP($C14&amp;" "&amp;AM$1,Results!$F:$H,3,FALSE),-VLOOKUP($C14&amp;" "&amp;AM$1,Results!$G:$H,2,FALSE)),"")</f>
        <v/>
      </c>
      <c r="AX14" s="2"/>
      <c r="AY14" s="2"/>
      <c r="BB14" s="2"/>
      <c r="BC14" s="2"/>
      <c r="BG14" s="2"/>
      <c r="BH14" s="2"/>
      <c r="BI14" s="15"/>
      <c r="BJ14" s="15"/>
      <c r="BK14" s="15"/>
      <c r="BL14" s="15"/>
      <c r="BM14" s="15"/>
      <c r="BN14" s="15"/>
      <c r="BO14" s="15"/>
      <c r="BW14" s="82">
        <f t="shared" si="5"/>
        <v>493</v>
      </c>
      <c r="BX14" s="5">
        <f t="shared" si="11"/>
        <v>6</v>
      </c>
      <c r="BY14" s="5">
        <f t="shared" si="6"/>
        <v>0</v>
      </c>
      <c r="BZ14" s="5">
        <f t="shared" si="12"/>
        <v>6</v>
      </c>
      <c r="CA14" s="65">
        <f t="shared" si="7"/>
        <v>1</v>
      </c>
      <c r="CC14" s="8">
        <f t="shared" si="8"/>
        <v>493</v>
      </c>
      <c r="CE14" s="5">
        <v>10</v>
      </c>
      <c r="CF14" s="5">
        <f t="shared" si="9"/>
        <v>6</v>
      </c>
      <c r="CG14" s="5">
        <f t="shared" si="10"/>
        <v>4</v>
      </c>
    </row>
    <row r="15" spans="1:85" ht="13.5" thickBot="1">
      <c r="A15" s="125">
        <v>15</v>
      </c>
      <c r="B15" s="125">
        <v>12</v>
      </c>
      <c r="C15" s="161" t="s">
        <v>20</v>
      </c>
      <c r="D15" s="125"/>
      <c r="E15" s="5">
        <f>IF(AND(AB15&gt;0,$A15&lt;VLOOKUP(AB$1,$C:$L,10,FALSE)),1,IF(AND(AB15&lt;0,$A15&gt;VLOOKUP(AB$1,$C:$L,10,FALSE)),1,0))</f>
        <v>0</v>
      </c>
      <c r="F15" s="5">
        <f>IF(AND(AC15&gt;0,$A15&lt;VLOOKUP(AC$1,$C:$L,10,FALSE)),1,IF(AND(AC15&lt;0,$A15&gt;VLOOKUP(AC$1,$C:$L,10,FALSE)),1,0))</f>
        <v>0</v>
      </c>
      <c r="G15" s="5">
        <f>IF(AND(AD15&gt;0,$A15&lt;VLOOKUP(AD$1,$C:$L,10,FALSE)),1,IF(AND(AD15&lt;0,$A15&gt;VLOOKUP(AD$1,$C:$L,10,FALSE)),1,0))</f>
        <v>0</v>
      </c>
      <c r="H15" s="5">
        <f>IF(AND(AF15&gt;0,$A15&lt;VLOOKUP(AF$1,$C:$L,10,FALSE)),1,IF(AND(AF15&lt;0,$A15&gt;VLOOKUP(AF$1,$C:$L,10,FALSE)),1,0))</f>
        <v>1</v>
      </c>
      <c r="I15" s="5">
        <f>IF(AND(AG15&gt;0,$A15&lt;VLOOKUP(AG$1,$C:$L,10,FALSE)),1,IF(AND(AG15&lt;0,$A15&gt;VLOOKUP(AG$1,$C:$L,10,FALSE)),1,0))</f>
        <v>1</v>
      </c>
      <c r="J15" s="5">
        <f>IF(AND(AH15&gt;0,$A15&lt;VLOOKUP(AH$1,$C:$L,10,FALSE)),1,IF(AND(AH15&lt;0,$A15&gt;VLOOKUP(AH$1,$C:$L,10,FALSE)),1,0))</f>
        <v>1</v>
      </c>
      <c r="K15" s="79" t="s">
        <v>134</v>
      </c>
      <c r="L15" s="125">
        <f t="shared" si="0"/>
        <v>12</v>
      </c>
      <c r="M15" s="126">
        <v>3</v>
      </c>
      <c r="N15" s="11">
        <f t="shared" si="1"/>
        <v>1</v>
      </c>
      <c r="O15" s="2">
        <f t="shared" si="2"/>
        <v>5</v>
      </c>
      <c r="P15" s="2">
        <f t="shared" si="3"/>
        <v>0</v>
      </c>
      <c r="Q15" s="12">
        <f>COUNTIF($AF15:$AI15,"&gt;0")</f>
        <v>0</v>
      </c>
      <c r="R15" s="13">
        <f>COUNTIF($AF15:$AI15,"&lt;0")</f>
        <v>3</v>
      </c>
      <c r="S15" s="14">
        <f>COUNTIF($AF15:$AI15,"=0")</f>
        <v>0</v>
      </c>
      <c r="T15" s="2">
        <f t="shared" si="4"/>
        <v>0</v>
      </c>
      <c r="U15" s="2"/>
      <c r="V15" s="2"/>
      <c r="W15" s="2"/>
      <c r="X15" s="2" t="str">
        <f>IFERROR(IFERROR(VLOOKUP($C15&amp;" "&amp;X$1,Results!$F:$H,3,FALSE),-VLOOKUP($C15&amp;" "&amp;X$1,Results!$G:$H,2,FALSE)),"")</f>
        <v/>
      </c>
      <c r="Y15" s="2" t="str">
        <f>IFERROR(IFERROR(VLOOKUP($C15&amp;" "&amp;Y$1,Results!$F:$H,3,FALSE),-VLOOKUP($C15&amp;" "&amp;Y$1,Results!$G:$H,2,FALSE)),"")</f>
        <v/>
      </c>
      <c r="Z15" s="2" t="str">
        <f>IFERROR(IFERROR(VLOOKUP($C15&amp;" "&amp;Z$1,Results!$F:$H,3,FALSE),-VLOOKUP($C15&amp;" "&amp;Z$1,Results!$G:$H,2,FALSE)),"")</f>
        <v/>
      </c>
      <c r="AA15" s="2" t="str">
        <f>IFERROR(IFERROR(VLOOKUP($C15&amp;" "&amp;AA$1,Results!$F:$H,3,FALSE),-VLOOKUP($C15&amp;" "&amp;AA$1,Results!$G:$H,2,FALSE)),"")</f>
        <v/>
      </c>
      <c r="AB15" s="19" t="str">
        <f>IFERROR(IFERROR(VLOOKUP($C15&amp;" "&amp;AB$1,Results!$F:$H,3,FALSE),-VLOOKUP($C15&amp;" "&amp;AB$1,Results!$G:$H,2,FALSE)),"")</f>
        <v/>
      </c>
      <c r="AC15" s="19" t="str">
        <f>IFERROR(IFERROR(VLOOKUP($C15&amp;" "&amp;AC$1,Results!$F:$H,3,FALSE),-VLOOKUP($C15&amp;" "&amp;AC$1,Results!$G:$H,2,FALSE)),"")</f>
        <v/>
      </c>
      <c r="AD15" s="19" t="str">
        <f>IFERROR(IFERROR(VLOOKUP($C15&amp;" "&amp;AD$1,Results!$F:$H,3,FALSE),-VLOOKUP($C15&amp;" "&amp;AD$1,Results!$G:$H,2,FALSE)),"")</f>
        <v/>
      </c>
      <c r="AE15" s="19" t="str">
        <f>IFERROR(IFERROR(VLOOKUP($C15&amp;" "&amp;AE$1,Results!$F:$H,3,FALSE),-VLOOKUP($C15&amp;" "&amp;AE$1,Results!$G:$H,2,FALSE)),"")</f>
        <v/>
      </c>
      <c r="AF15" s="46">
        <f>IFERROR(IFERROR(VLOOKUP($C15&amp;" "&amp;AF$1,Results!$F:$H,3,FALSE),-VLOOKUP($C15&amp;" "&amp;AF$1,Results!$G:$H,2,FALSE)),"")</f>
        <v>-30</v>
      </c>
      <c r="AG15" s="47">
        <f>IFERROR(IFERROR(VLOOKUP($C15&amp;" "&amp;AG$1,Results!$F:$H,3,FALSE),-VLOOKUP($C15&amp;" "&amp;AG$1,Results!$G:$H,2,FALSE)),"")</f>
        <v>-24</v>
      </c>
      <c r="AH15" s="47">
        <f>IFERROR(IFERROR(VLOOKUP($C15&amp;" "&amp;AH$1,Results!$F:$H,3,FALSE),-VLOOKUP($C15&amp;" "&amp;AH$1,Results!$G:$H,2,FALSE)),"")</f>
        <v>-72</v>
      </c>
      <c r="AI15" s="20" t="str">
        <f>IFERROR(IFERROR(VLOOKUP($C15&amp;" "&amp;AI$1,Results!$F:$H,3,FALSE),-VLOOKUP($C15&amp;" "&amp;AI$1,Results!$G:$H,2,FALSE)),"")</f>
        <v/>
      </c>
      <c r="AJ15" s="2">
        <f>IFERROR(IFERROR(VLOOKUP($C15&amp;" "&amp;AJ$1,Results!$F:$H,3,FALSE),-VLOOKUP($C15&amp;" "&amp;AJ$1,Results!$G:$H,2,FALSE)),"")</f>
        <v>-11</v>
      </c>
      <c r="AK15" s="2">
        <f>IFERROR(IFERROR(VLOOKUP($C15&amp;" "&amp;AK$1,Results!$F:$H,3,FALSE),-VLOOKUP($C15&amp;" "&amp;AK$1,Results!$G:$H,2,FALSE)),"")</f>
        <v>123</v>
      </c>
      <c r="AL15" s="2">
        <f>IFERROR(IFERROR(VLOOKUP($C15&amp;" "&amp;AL$1,Results!$F:$H,3,FALSE),-VLOOKUP($C15&amp;" "&amp;AL$1,Results!$G:$H,2,FALSE)),"")</f>
        <v>-32</v>
      </c>
      <c r="AM15" s="2" t="str">
        <f>IFERROR(IFERROR(VLOOKUP($C15&amp;" "&amp;AM$1,Results!$F:$H,3,FALSE),-VLOOKUP($C15&amp;" "&amp;AM$1,Results!$G:$H,2,FALSE)),"")</f>
        <v/>
      </c>
      <c r="AX15" s="2"/>
      <c r="AY15" s="2"/>
      <c r="BB15" s="2"/>
      <c r="BC15" s="2"/>
      <c r="BG15" s="2"/>
      <c r="BH15" s="2"/>
      <c r="BI15" s="15"/>
      <c r="BJ15" s="15"/>
      <c r="BK15" s="15"/>
      <c r="BL15" s="15"/>
      <c r="BM15" s="15"/>
      <c r="BN15" s="15"/>
      <c r="BO15" s="15"/>
      <c r="BW15" s="82">
        <f t="shared" si="5"/>
        <v>-46</v>
      </c>
      <c r="BX15" s="5">
        <f t="shared" si="11"/>
        <v>3</v>
      </c>
      <c r="BY15" s="5">
        <f t="shared" si="6"/>
        <v>3</v>
      </c>
      <c r="BZ15" s="5">
        <f t="shared" si="12"/>
        <v>6</v>
      </c>
      <c r="CA15" s="65">
        <f t="shared" si="7"/>
        <v>0.5</v>
      </c>
      <c r="CC15" s="8">
        <f t="shared" si="8"/>
        <v>-46</v>
      </c>
      <c r="CE15" s="125">
        <v>5</v>
      </c>
      <c r="CF15" s="5">
        <f t="shared" si="9"/>
        <v>15</v>
      </c>
      <c r="CG15" s="5">
        <f t="shared" si="10"/>
        <v>-10</v>
      </c>
    </row>
    <row r="16" spans="1:85">
      <c r="A16" s="5">
        <v>11</v>
      </c>
      <c r="B16" s="5">
        <v>13</v>
      </c>
      <c r="C16" s="10" t="s">
        <v>81</v>
      </c>
      <c r="D16" s="5"/>
      <c r="E16" s="5">
        <f>IF(AND(AL16&gt;0,$A16&lt;VLOOKUP(AL$1,$C:$L,10,FALSE)),1,IF(AND(AL16&lt;0,$A16&gt;VLOOKUP(AL$1,$C:$L,10,FALSE)),1,0))</f>
        <v>0</v>
      </c>
      <c r="F16" s="5">
        <f>IF(AND(AM16&gt;0,$A16&lt;VLOOKUP(AM$1,$C:$L,10,FALSE)),1,IF(AND(AM16&lt;0,$A16&gt;VLOOKUP(AM$1,$C:$L,10,FALSE)),1,0))</f>
        <v>1</v>
      </c>
      <c r="G16" s="5">
        <f>IF(AND(AN16&gt;0,$A16&lt;VLOOKUP(AN$1,$C:$L,10,FALSE)),1,IF(AND(AN16&lt;0,$A16&gt;VLOOKUP(AN$1,$C:$L,10,FALSE)),1,0))</f>
        <v>1</v>
      </c>
      <c r="H16" s="5">
        <f>IF(AND(AP16&gt;0,$A16&lt;VLOOKUP(AP$1,$C:$L,10,FALSE)),1,IF(AND(AP16&lt;0,$A16&gt;VLOOKUP(AP$1,$C:$L,10,FALSE)),1,0))</f>
        <v>1</v>
      </c>
      <c r="I16" s="5">
        <f>IF(AND(AQ16&gt;0,$A16&lt;VLOOKUP(AQ$1,$C:$L,10,FALSE)),1,IF(AND(AQ16&lt;0,$A16&gt;VLOOKUP(AQ$1,$C:$L,10,FALSE)),1,0))</f>
        <v>1</v>
      </c>
      <c r="J16" s="5">
        <f>IF(AND(AR16&gt;0,$A16&lt;VLOOKUP(AR$1,$C:$L,10,FALSE)),1,IF(AND(AR16&lt;0,$A16&gt;VLOOKUP(AR$1,$C:$L,10,FALSE)),1,0))</f>
        <v>1</v>
      </c>
      <c r="K16" s="79" t="s">
        <v>134</v>
      </c>
      <c r="L16" s="125">
        <f t="shared" si="0"/>
        <v>13</v>
      </c>
      <c r="M16" s="2">
        <v>4</v>
      </c>
      <c r="N16" s="11">
        <f t="shared" si="1"/>
        <v>4</v>
      </c>
      <c r="O16" s="2">
        <f t="shared" si="2"/>
        <v>2</v>
      </c>
      <c r="P16" s="2">
        <f t="shared" si="3"/>
        <v>0</v>
      </c>
      <c r="Q16" s="12">
        <f>COUNTIF($AJ16:$AM16,"&gt;0")</f>
        <v>2</v>
      </c>
      <c r="R16" s="13">
        <f>COUNTIF($AJ16:$AM16,"&lt;0")</f>
        <v>1</v>
      </c>
      <c r="S16" s="14">
        <f>COUNTIF($AJ16:$AM16,"=0")</f>
        <v>0</v>
      </c>
      <c r="T16" s="2">
        <f t="shared" si="4"/>
        <v>0</v>
      </c>
      <c r="U16" s="2"/>
      <c r="V16" s="2"/>
      <c r="W16" s="2"/>
      <c r="AF16" s="2" t="str">
        <f>IFERROR(IFERROR(VLOOKUP($C16&amp;" "&amp;AF$1,Results!$F:$H,3,FALSE),-VLOOKUP($C16&amp;" "&amp;AF$1,Results!$G:$H,2,FALSE)),"")</f>
        <v/>
      </c>
      <c r="AG16" s="2">
        <f>IFERROR(IFERROR(VLOOKUP($C16&amp;" "&amp;AG$1,Results!$F:$H,3,FALSE),-VLOOKUP($C16&amp;" "&amp;AG$1,Results!$G:$H,2,FALSE)),"")</f>
        <v>91</v>
      </c>
      <c r="AH16" s="2">
        <f>IFERROR(IFERROR(VLOOKUP($C16&amp;" "&amp;AH$1,Results!$F:$H,3,FALSE),-VLOOKUP($C16&amp;" "&amp;AH$1,Results!$G:$H,2,FALSE)),"")</f>
        <v>-92</v>
      </c>
      <c r="AI16" s="2">
        <f>IFERROR(IFERROR(VLOOKUP($C16&amp;" "&amp;AI$1,Results!$F:$H,3,FALSE),-VLOOKUP($C16&amp;" "&amp;AI$1,Results!$G:$H,2,FALSE)),"")</f>
        <v>11</v>
      </c>
      <c r="AJ16" s="35" t="str">
        <f>IFERROR(IFERROR(VLOOKUP($C16&amp;" "&amp;AJ$1,Results!$F:$H,3,FALSE),-VLOOKUP($C16&amp;" "&amp;AJ$1,Results!$G:$H,2,FALSE)),"")</f>
        <v/>
      </c>
      <c r="AK16" s="49">
        <f>IFERROR(IFERROR(VLOOKUP($C16&amp;" "&amp;AK$1,Results!$F:$H,3,FALSE),-VLOOKUP($C16&amp;" "&amp;AK$1,Results!$G:$H,2,FALSE)),"")</f>
        <v>7</v>
      </c>
      <c r="AL16" s="49">
        <f>IFERROR(IFERROR(VLOOKUP($C16&amp;" "&amp;AL$1,Results!$F:$H,3,FALSE),-VLOOKUP($C16&amp;" "&amp;AL$1,Results!$G:$H,2,FALSE)),"")</f>
        <v>-84</v>
      </c>
      <c r="AM16" s="55">
        <f>IFERROR(IFERROR(VLOOKUP($C16&amp;" "&amp;AM$1,Results!$F:$H,3,FALSE),-VLOOKUP($C16&amp;" "&amp;AM$1,Results!$G:$H,2,FALSE)),"")</f>
        <v>107</v>
      </c>
      <c r="AN16" s="19" t="str">
        <f>IFERROR(IFERROR(VLOOKUP($C16&amp;" "&amp;AN$1,Results!$F:$H,3,FALSE),-VLOOKUP($C16&amp;" "&amp;AN$1,Results!$G:$H,2,FALSE)),"")</f>
        <v/>
      </c>
      <c r="AO16" s="19" t="str">
        <f>IFERROR(IFERROR(VLOOKUP($C16&amp;" "&amp;AO$1,Results!$F:$H,3,FALSE),-VLOOKUP($C16&amp;" "&amp;AO$1,Results!$G:$H,2,FALSE)),"")</f>
        <v/>
      </c>
      <c r="AP16" s="19" t="str">
        <f>IFERROR(IFERROR(VLOOKUP($C16&amp;" "&amp;AP$1,Results!$F:$H,3,FALSE),-VLOOKUP($C16&amp;" "&amp;AP$1,Results!$G:$H,2,FALSE)),"")</f>
        <v/>
      </c>
      <c r="AQ16" s="19" t="str">
        <f>IFERROR(IFERROR(VLOOKUP($C16&amp;" "&amp;AQ$1,Results!$F:$H,3,FALSE),-VLOOKUP($C16&amp;" "&amp;AQ$1,Results!$G:$H,2,FALSE)),"")</f>
        <v/>
      </c>
      <c r="AR16" s="2" t="str">
        <f>IFERROR(IFERROR(VLOOKUP($C16&amp;" "&amp;AR$1,Results!$F:$H,3,FALSE),-VLOOKUP($C16&amp;" "&amp;AR$1,Results!$G:$H,2,FALSE)),"")</f>
        <v/>
      </c>
      <c r="AS16" s="2" t="str">
        <f>IFERROR(IFERROR(VLOOKUP($C16&amp;" "&amp;AS$1,Results!$F:$H,3,FALSE),-VLOOKUP($C16&amp;" "&amp;AS$1,Results!$G:$H,2,FALSE)),"")</f>
        <v/>
      </c>
      <c r="AT16" s="2" t="str">
        <f>IFERROR(IFERROR(VLOOKUP($C16&amp;" "&amp;AT$1,Results!$F:$H,3,FALSE),-VLOOKUP($C16&amp;" "&amp;AT$1,Results!$G:$H,2,FALSE)),"")</f>
        <v/>
      </c>
      <c r="AU16" s="2" t="str">
        <f>IFERROR(IFERROR(VLOOKUP($C16&amp;" "&amp;AU$1,Results!$F:$H,3,FALSE),-VLOOKUP($C16&amp;" "&amp;AU$1,Results!$G:$H,2,FALSE)),"")</f>
        <v/>
      </c>
      <c r="AV16" s="2" t="str">
        <f>IFERROR(IFERROR(VLOOKUP($C16&amp;" "&amp;AV$1,Results!$F:$H,3,FALSE),-VLOOKUP($C16&amp;" "&amp;AV$1,Results!$G:$H,2,FALSE)),"")</f>
        <v/>
      </c>
      <c r="AW16" s="2" t="str">
        <f>IFERROR(IFERROR(VLOOKUP($C16&amp;" "&amp;AW$1,Results!$F:$H,3,FALSE),-VLOOKUP($C16&amp;" "&amp;AW$1,Results!$G:$H,2,FALSE)),"")</f>
        <v/>
      </c>
      <c r="AX16" s="2" t="str">
        <f>IFERROR(IFERROR(VLOOKUP($C16&amp;" "&amp;AX$1,Results!$F:$H,3,FALSE),-VLOOKUP($C16&amp;" "&amp;AX$1,Results!$G:$H,2,FALSE)),"")</f>
        <v/>
      </c>
      <c r="AY16" s="2" t="str">
        <f>IFERROR(IFERROR(VLOOKUP($C16&amp;" "&amp;AY$1,Results!$F:$H,3,FALSE),-VLOOKUP($C16&amp;" "&amp;AY$1,Results!$G:$H,2,FALSE)),"")</f>
        <v/>
      </c>
      <c r="AZ16" s="2" t="str">
        <f>IFERROR(IFERROR(VLOOKUP($C16&amp;" "&amp;AZ$1,Results!$F:$H,3,FALSE),-VLOOKUP($C16&amp;" "&amp;AZ$1,Results!$G:$H,2,FALSE)),"")</f>
        <v/>
      </c>
      <c r="BA16" s="2" t="str">
        <f>IFERROR(IFERROR(VLOOKUP($C16&amp;" "&amp;BA$1,Results!$F:$H,3,FALSE),-VLOOKUP($C16&amp;" "&amp;BA$1,Results!$G:$H,2,FALSE)),"")</f>
        <v/>
      </c>
      <c r="BB16" s="2" t="str">
        <f>IFERROR(IFERROR(VLOOKUP($C16&amp;" "&amp;BB$1,Results!$F:$H,3,FALSE),-VLOOKUP($C16&amp;" "&amp;BB$1,Results!$G:$H,2,FALSE)),"")</f>
        <v/>
      </c>
      <c r="BC16" s="2" t="str">
        <f>IFERROR(IFERROR(VLOOKUP($C16&amp;" "&amp;BC$1,Results!$F:$H,3,FALSE),-VLOOKUP($C16&amp;" "&amp;BC$1,Results!$G:$H,2,FALSE)),"")</f>
        <v/>
      </c>
      <c r="BG16" s="2"/>
      <c r="BH16" s="2"/>
      <c r="BI16" s="15"/>
      <c r="BJ16" s="15"/>
      <c r="BK16" s="15"/>
      <c r="BL16" s="15"/>
      <c r="BM16" s="15"/>
      <c r="BN16" s="15"/>
      <c r="BO16" s="15"/>
      <c r="BW16" s="82">
        <f t="shared" si="5"/>
        <v>40</v>
      </c>
      <c r="BX16" s="5">
        <f t="shared" si="11"/>
        <v>5</v>
      </c>
      <c r="BY16" s="5">
        <f t="shared" si="6"/>
        <v>1</v>
      </c>
      <c r="BZ16" s="5">
        <f t="shared" si="12"/>
        <v>6</v>
      </c>
      <c r="CA16" s="65">
        <f t="shared" si="7"/>
        <v>0.83333333333333337</v>
      </c>
      <c r="CC16" s="8">
        <f t="shared" si="8"/>
        <v>40</v>
      </c>
      <c r="CE16" s="5">
        <v>18</v>
      </c>
      <c r="CF16" s="5">
        <f t="shared" si="9"/>
        <v>11</v>
      </c>
      <c r="CG16" s="5">
        <f t="shared" si="10"/>
        <v>7</v>
      </c>
    </row>
    <row r="17" spans="1:85">
      <c r="A17" s="5">
        <v>20</v>
      </c>
      <c r="B17" s="5">
        <v>14</v>
      </c>
      <c r="C17" s="158" t="s">
        <v>19</v>
      </c>
      <c r="D17" s="5"/>
      <c r="E17" s="5">
        <f>IF(AND(AE17&gt;0,$A17&lt;VLOOKUP(AE$1,$C:$L,10,FALSE)),1,IF(AND(AE17&lt;0,$A17&gt;VLOOKUP(AE$1,$C:$L,10,FALSE)),1,0))</f>
        <v>0</v>
      </c>
      <c r="F17" s="5">
        <f>IF(AND(AF17&gt;0,$A17&lt;VLOOKUP(AF$1,$C:$L,10,FALSE)),1,IF(AND(AF17&lt;0,$A17&gt;VLOOKUP(AF$1,$C:$L,10,FALSE)),1,0))</f>
        <v>0</v>
      </c>
      <c r="G17" s="5">
        <f>IF(AND(AG17&gt;0,$A17&lt;VLOOKUP(AG$1,$C:$L,10,FALSE)),1,IF(AND(AG17&lt;0,$A17&gt;VLOOKUP(AG$1,$C:$L,10,FALSE)),1,0))</f>
        <v>0</v>
      </c>
      <c r="H17" s="5">
        <f>IF(AND(AI17&gt;0,$A17&lt;VLOOKUP(AI$1,$C:$L,10,FALSE)),1,IF(AND(AI17&lt;0,$A17&gt;VLOOKUP(AI$1,$C:$L,10,FALSE)),1,0))</f>
        <v>1</v>
      </c>
      <c r="I17" s="5">
        <f>IF(AND(AJ17&gt;0,$A17&lt;VLOOKUP(AJ$1,$C:$L,10,FALSE)),1,IF(AND(AJ17&lt;0,$A17&gt;VLOOKUP(AJ$1,$C:$L,10,FALSE)),1,0))</f>
        <v>1</v>
      </c>
      <c r="J17" s="5">
        <f>IF(AND(AK17&gt;0,$A17&lt;VLOOKUP(AK$1,$C:$L,10,FALSE)),1,IF(AND(AK17&lt;0,$A17&gt;VLOOKUP(AK$1,$C:$L,10,FALSE)),1,0))</f>
        <v>0</v>
      </c>
      <c r="K17" s="79" t="s">
        <v>134</v>
      </c>
      <c r="L17" s="125">
        <f t="shared" si="0"/>
        <v>14</v>
      </c>
      <c r="M17" s="2">
        <v>4</v>
      </c>
      <c r="N17" s="11">
        <f t="shared" si="1"/>
        <v>0</v>
      </c>
      <c r="O17" s="2">
        <f t="shared" si="2"/>
        <v>6</v>
      </c>
      <c r="P17" s="2">
        <f t="shared" si="3"/>
        <v>0</v>
      </c>
      <c r="Q17" s="12">
        <f>COUNTIF($AJ17:$AM17,"&gt;0")</f>
        <v>0</v>
      </c>
      <c r="R17" s="13">
        <f>COUNTIF($AJ17:$AM17,"&lt;0")</f>
        <v>3</v>
      </c>
      <c r="S17" s="14">
        <f>COUNTIF($AJ17:$AM17,"=0")</f>
        <v>0</v>
      </c>
      <c r="T17" s="2">
        <f t="shared" si="4"/>
        <v>0</v>
      </c>
      <c r="U17" s="2"/>
      <c r="V17" s="2"/>
      <c r="W17" s="2"/>
      <c r="AB17" s="48" t="str">
        <f>IFERROR(IFERROR(VLOOKUP($C17&amp;" "&amp;AB$1,Results!$F:$H,3,FALSE),-VLOOKUP($C17&amp;" "&amp;AB$1,Results!$G:$H,2,FALSE)),"")</f>
        <v/>
      </c>
      <c r="AC17" s="2" t="str">
        <f>IFERROR(IFERROR(VLOOKUP($C17&amp;" "&amp;AC$1,Results!$F:$H,3,FALSE),-VLOOKUP($C17&amp;" "&amp;AC$1,Results!$G:$H,2,FALSE)),"")</f>
        <v/>
      </c>
      <c r="AD17" s="2" t="str">
        <f>IFERROR(IFERROR(VLOOKUP($C17&amp;" "&amp;AD$1,Results!$F:$H,3,FALSE),-VLOOKUP($C17&amp;" "&amp;AD$1,Results!$G:$H,2,FALSE)),"")</f>
        <v/>
      </c>
      <c r="AE17" s="2" t="str">
        <f>IFERROR(IFERROR(VLOOKUP($C17&amp;" "&amp;AE$1,Results!$F:$H,3,FALSE),-VLOOKUP($C17&amp;" "&amp;AE$1,Results!$G:$H,2,FALSE)),"")</f>
        <v/>
      </c>
      <c r="AF17" s="19" t="str">
        <f>IFERROR(IFERROR(VLOOKUP($C17&amp;" "&amp;AF$1,Results!$F:$H,3,FALSE),-VLOOKUP($C17&amp;" "&amp;AF$1,Results!$G:$H,2,FALSE)),"")</f>
        <v/>
      </c>
      <c r="AG17" s="19" t="str">
        <f>IFERROR(IFERROR(VLOOKUP($C17&amp;" "&amp;AG$1,Results!$F:$H,3,FALSE),-VLOOKUP($C17&amp;" "&amp;AG$1,Results!$G:$H,2,FALSE)),"")</f>
        <v/>
      </c>
      <c r="AH17" s="19">
        <f>IFERROR(IFERROR(VLOOKUP($C17&amp;" "&amp;AH$1,Results!$F:$H,3,FALSE),-VLOOKUP($C17&amp;" "&amp;AH$1,Results!$G:$H,2,FALSE)),"")</f>
        <v>-250</v>
      </c>
      <c r="AI17" s="19">
        <f>IFERROR(IFERROR(VLOOKUP($C17&amp;" "&amp;AI$1,Results!$F:$H,3,FALSE),-VLOOKUP($C17&amp;" "&amp;AI$1,Results!$G:$H,2,FALSE)),"")</f>
        <v>-123</v>
      </c>
      <c r="AJ17" s="51">
        <f>IFERROR(IFERROR(VLOOKUP($C17&amp;" "&amp;AJ$1,Results!$F:$H,3,FALSE),-VLOOKUP($C17&amp;" "&amp;AJ$1,Results!$G:$H,2,FALSE)),"")</f>
        <v>-7</v>
      </c>
      <c r="AK17" s="2" t="str">
        <f>IFERROR(IFERROR(VLOOKUP($C17&amp;" "&amp;AK$1,Results!$F:$H,3,FALSE),-VLOOKUP($C17&amp;" "&amp;AK$1,Results!$G:$H,2,FALSE)),"")</f>
        <v/>
      </c>
      <c r="AL17" s="2">
        <f>IFERROR(IFERROR(VLOOKUP($C17&amp;" "&amp;AL$1,Results!$F:$H,3,FALSE),-VLOOKUP($C17&amp;" "&amp;AL$1,Results!$G:$H,2,FALSE)),"")</f>
        <v>-212</v>
      </c>
      <c r="AM17" s="56">
        <f>IFERROR(IFERROR(VLOOKUP($C17&amp;" "&amp;AM$1,Results!$F:$H,3,FALSE),-VLOOKUP($C17&amp;" "&amp;AM$1,Results!$G:$H,2,FALSE)),"")</f>
        <v>-76</v>
      </c>
      <c r="AN17" s="2">
        <f>IFERROR(IFERROR(VLOOKUP($C17&amp;" "&amp;AN$1,Results!$F:$H,3,FALSE),-VLOOKUP($C17&amp;" "&amp;AN$1,Results!$G:$H,2,FALSE)),"")</f>
        <v>-175</v>
      </c>
      <c r="AX17" s="2"/>
      <c r="AY17" s="2"/>
      <c r="BB17" s="2"/>
      <c r="BC17" s="2"/>
      <c r="BG17" s="2"/>
      <c r="BH17" s="2"/>
      <c r="BI17" s="15"/>
      <c r="BJ17" s="15"/>
      <c r="BK17" s="15"/>
      <c r="BL17" s="15"/>
      <c r="BM17" s="15"/>
      <c r="BN17" s="15"/>
      <c r="BO17" s="15"/>
      <c r="BW17" s="82">
        <f t="shared" si="5"/>
        <v>-843</v>
      </c>
      <c r="BX17" s="5">
        <f t="shared" si="11"/>
        <v>2</v>
      </c>
      <c r="BY17" s="5">
        <f t="shared" si="6"/>
        <v>4</v>
      </c>
      <c r="BZ17" s="5">
        <f t="shared" si="12"/>
        <v>6</v>
      </c>
      <c r="CA17" s="65">
        <f t="shared" si="7"/>
        <v>0.33333333333333331</v>
      </c>
      <c r="CC17" s="8">
        <f t="shared" si="8"/>
        <v>-843</v>
      </c>
      <c r="CE17" s="5">
        <v>6</v>
      </c>
      <c r="CF17" s="5">
        <f t="shared" si="9"/>
        <v>20</v>
      </c>
      <c r="CG17" s="5">
        <f t="shared" si="10"/>
        <v>-14</v>
      </c>
    </row>
    <row r="18" spans="1:85">
      <c r="A18" s="5">
        <v>10</v>
      </c>
      <c r="B18" s="5">
        <v>15</v>
      </c>
      <c r="C18" s="154" t="s">
        <v>105</v>
      </c>
      <c r="D18" s="5"/>
      <c r="E18" s="5">
        <f>IF(AND(AI18&gt;0,$A18&lt;VLOOKUP(AI$1,$C:$L,10,FALSE)),1,IF(AND(AI18&lt;0,$A18&gt;VLOOKUP(AI$1,$C:$L,10,FALSE)),1,0))</f>
        <v>1</v>
      </c>
      <c r="F18" s="5">
        <f>IF(AND(AJ18&gt;0,$A18&lt;VLOOKUP(AJ$1,$C:$L,10,FALSE)),1,IF(AND(AJ18&lt;0,$A18&gt;VLOOKUP(AJ$1,$C:$L,10,FALSE)),1,0))</f>
        <v>1</v>
      </c>
      <c r="G18" s="5">
        <f>IF(AND(AK18&gt;0,$A18&lt;VLOOKUP(AK$1,$C:$L,10,FALSE)),1,IF(AND(AK18&lt;0,$A18&gt;VLOOKUP(AK$1,$C:$L,10,FALSE)),1,0))</f>
        <v>1</v>
      </c>
      <c r="H18" s="5">
        <f>IF(AND(AM18&gt;0,$A18&lt;VLOOKUP(AM$1,$C:$L,10,FALSE)),1,IF(AND(AM18&lt;0,$A18&gt;VLOOKUP(AM$1,$C:$L,10,FALSE)),1,0))</f>
        <v>1</v>
      </c>
      <c r="I18" s="5">
        <f>IF(AND(AN18&gt;0,$A18&lt;VLOOKUP(AN$1,$C:$L,10,FALSE)),1,IF(AND(AN18&lt;0,$A18&gt;VLOOKUP(AN$1,$C:$L,10,FALSE)),1,0))</f>
        <v>1</v>
      </c>
      <c r="J18" s="5">
        <f>IF(AND(AO18&gt;0,$A18&lt;VLOOKUP(AO$1,$C:$L,10,FALSE)),1,IF(AND(AO18&lt;0,$A18&gt;VLOOKUP(AO$1,$C:$L,10,FALSE)),1,0))</f>
        <v>1</v>
      </c>
      <c r="K18" s="79" t="s">
        <v>134</v>
      </c>
      <c r="L18" s="125">
        <f t="shared" si="0"/>
        <v>15</v>
      </c>
      <c r="M18" s="2">
        <v>4</v>
      </c>
      <c r="N18" s="11">
        <f t="shared" si="1"/>
        <v>6</v>
      </c>
      <c r="O18" s="2">
        <f t="shared" si="2"/>
        <v>0</v>
      </c>
      <c r="P18" s="2">
        <f t="shared" si="3"/>
        <v>0</v>
      </c>
      <c r="Q18" s="12">
        <f>COUNTIF($AJ18:$AM18,"&gt;0")</f>
        <v>3</v>
      </c>
      <c r="R18" s="13">
        <f>COUNTIF($AJ18:$AM18,"&lt;0")</f>
        <v>0</v>
      </c>
      <c r="S18" s="14">
        <f>COUNTIF($AJ18:$AM18,"=0")</f>
        <v>0</v>
      </c>
      <c r="T18" s="2">
        <f t="shared" si="4"/>
        <v>0</v>
      </c>
      <c r="U18" s="2"/>
      <c r="V18" s="2"/>
      <c r="W18" s="2"/>
      <c r="X18" s="54"/>
      <c r="AF18" s="2" t="str">
        <f>IFERROR(IFERROR(VLOOKUP($C18&amp;" "&amp;AF$1,Results!$F:$H,3,FALSE),-VLOOKUP($C18&amp;" "&amp;AF$1,Results!$G:$H,2,FALSE)),"")</f>
        <v/>
      </c>
      <c r="AG18" s="2" t="str">
        <f>IFERROR(IFERROR(VLOOKUP($C18&amp;" "&amp;AG$1,Results!$F:$H,3,FALSE),-VLOOKUP($C18&amp;" "&amp;AG$1,Results!$G:$H,2,FALSE)),"")</f>
        <v/>
      </c>
      <c r="AH18" s="2" t="str">
        <f>IFERROR(IFERROR(VLOOKUP($C18&amp;" "&amp;AH$1,Results!$F:$H,3,FALSE),-VLOOKUP($C18&amp;" "&amp;AH$1,Results!$G:$H,2,FALSE)),"")</f>
        <v/>
      </c>
      <c r="AI18" s="2">
        <f>IFERROR(IFERROR(VLOOKUP($C18&amp;" "&amp;AI$1,Results!$F:$H,3,FALSE),-VLOOKUP($C18&amp;" "&amp;AI$1,Results!$G:$H,2,FALSE)),"")</f>
        <v>32</v>
      </c>
      <c r="AJ18" s="44">
        <f>IFERROR(IFERROR(VLOOKUP($C18&amp;" "&amp;AJ$1,Results!$F:$H,3,FALSE),-VLOOKUP($C18&amp;" "&amp;AJ$1,Results!$G:$H,2,FALSE)),"")</f>
        <v>84</v>
      </c>
      <c r="AK18" s="19">
        <f>IFERROR(IFERROR(VLOOKUP($C18&amp;" "&amp;AK$1,Results!$F:$H,3,FALSE),-VLOOKUP($C18&amp;" "&amp;AK$1,Results!$G:$H,2,FALSE)),"")</f>
        <v>212</v>
      </c>
      <c r="AL18" s="19" t="str">
        <f>IFERROR(IFERROR(VLOOKUP($C18&amp;" "&amp;AL$1,Results!$F:$H,3,FALSE),-VLOOKUP($C18&amp;" "&amp;AL$1,Results!$G:$H,2,FALSE)),"")</f>
        <v/>
      </c>
      <c r="AM18" s="45">
        <f>IFERROR(IFERROR(VLOOKUP($C18&amp;" "&amp;AM$1,Results!$F:$H,3,FALSE),-VLOOKUP($C18&amp;" "&amp;AM$1,Results!$G:$H,2,FALSE)),"")</f>
        <v>84</v>
      </c>
      <c r="AN18" s="2">
        <f>IFERROR(IFERROR(VLOOKUP($C18&amp;" "&amp;AN$1,Results!$F:$H,3,FALSE),-VLOOKUP($C18&amp;" "&amp;AN$1,Results!$G:$H,2,FALSE)),"")</f>
        <v>103</v>
      </c>
      <c r="AO18" s="2">
        <f>IFERROR(IFERROR(VLOOKUP($C18&amp;" "&amp;AO$1,Results!$F:$H,3,FALSE),-VLOOKUP($C18&amp;" "&amp;AO$1,Results!$G:$H,2,FALSE)),"")</f>
        <v>97</v>
      </c>
      <c r="AP18" s="2" t="str">
        <f>IFERROR(IFERROR(VLOOKUP($C18&amp;" "&amp;AP$1,Results!$F:$H,3,FALSE),-VLOOKUP($C18&amp;" "&amp;AP$1,Results!$G:$H,2,FALSE)),"")</f>
        <v/>
      </c>
      <c r="AQ18" s="2" t="str">
        <f>IFERROR(IFERROR(VLOOKUP($C18&amp;" "&amp;AQ$1,Results!$F:$H,3,FALSE),-VLOOKUP($C18&amp;" "&amp;AQ$1,Results!$G:$H,2,FALSE)),"")</f>
        <v/>
      </c>
      <c r="AR18" s="2" t="str">
        <f>IFERROR(IFERROR(VLOOKUP($C18&amp;" "&amp;AR$1,Results!$F:$H,3,FALSE),-VLOOKUP($C18&amp;" "&amp;AR$1,Results!$G:$H,2,FALSE)),"")</f>
        <v/>
      </c>
      <c r="AS18" s="2" t="str">
        <f>IFERROR(IFERROR(VLOOKUP($C18&amp;" "&amp;AS$1,Results!$F:$H,3,FALSE),-VLOOKUP($C18&amp;" "&amp;AS$1,Results!$G:$H,2,FALSE)),"")</f>
        <v/>
      </c>
      <c r="AT18" s="2" t="str">
        <f>IFERROR(IFERROR(VLOOKUP($C18&amp;" "&amp;AT$1,Results!$F:$H,3,FALSE),-VLOOKUP($C18&amp;" "&amp;AT$1,Results!$G:$H,2,FALSE)),"")</f>
        <v/>
      </c>
      <c r="AU18" s="2" t="str">
        <f>IFERROR(IFERROR(VLOOKUP($C18&amp;" "&amp;AU$1,Results!$F:$H,3,FALSE),-VLOOKUP($C18&amp;" "&amp;AU$1,Results!$G:$H,2,FALSE)),"")</f>
        <v/>
      </c>
      <c r="AV18" s="2" t="str">
        <f>IFERROR(IFERROR(VLOOKUP($C18&amp;" "&amp;AV$1,Results!$F:$H,3,FALSE),-VLOOKUP($C18&amp;" "&amp;AV$1,Results!$G:$H,2,FALSE)),"")</f>
        <v/>
      </c>
      <c r="AW18" s="2" t="str">
        <f>IFERROR(IFERROR(VLOOKUP($C18&amp;" "&amp;AW$1,Results!$F:$H,3,FALSE),-VLOOKUP($C18&amp;" "&amp;AW$1,Results!$G:$H,2,FALSE)),"")</f>
        <v/>
      </c>
      <c r="AX18" s="2" t="str">
        <f>IFERROR(IFERROR(VLOOKUP($C18&amp;" "&amp;AX$1,Results!$F:$H,3,FALSE),-VLOOKUP($C18&amp;" "&amp;AX$1,Results!$G:$H,2,FALSE)),"")</f>
        <v/>
      </c>
      <c r="AY18" s="2" t="str">
        <f>IFERROR(IFERROR(VLOOKUP($C18&amp;" "&amp;AY$1,Results!$F:$H,3,FALSE),-VLOOKUP($C18&amp;" "&amp;AY$1,Results!$G:$H,2,FALSE)),"")</f>
        <v/>
      </c>
      <c r="AZ18" s="2" t="str">
        <f>IFERROR(IFERROR(VLOOKUP($C18&amp;" "&amp;AZ$1,Results!$F:$H,3,FALSE),-VLOOKUP($C18&amp;" "&amp;AZ$1,Results!$G:$H,2,FALSE)),"")</f>
        <v/>
      </c>
      <c r="BA18" s="2" t="str">
        <f>IFERROR(IFERROR(VLOOKUP($C18&amp;" "&amp;BA$1,Results!$F:$H,3,FALSE),-VLOOKUP($C18&amp;" "&amp;BA$1,Results!$G:$H,2,FALSE)),"")</f>
        <v/>
      </c>
      <c r="BB18" s="2" t="str">
        <f>IFERROR(IFERROR(VLOOKUP($C18&amp;" "&amp;BB$1,Results!$F:$H,3,FALSE),-VLOOKUP($C18&amp;" "&amp;BB$1,Results!$G:$H,2,FALSE)),"")</f>
        <v/>
      </c>
      <c r="BC18" s="2" t="str">
        <f>IFERROR(IFERROR(VLOOKUP($C18&amp;" "&amp;BC$1,Results!$F:$H,3,FALSE),-VLOOKUP($C18&amp;" "&amp;BC$1,Results!$G:$H,2,FALSE)),"")</f>
        <v/>
      </c>
      <c r="BG18" s="2"/>
      <c r="BH18" s="2"/>
      <c r="BI18" s="15"/>
      <c r="BJ18" s="15"/>
      <c r="BK18" s="15"/>
      <c r="BL18" s="15"/>
      <c r="BM18" s="15"/>
      <c r="BN18" s="15"/>
      <c r="BO18" s="15"/>
      <c r="BW18" s="82">
        <f t="shared" si="5"/>
        <v>612</v>
      </c>
      <c r="BX18" s="5">
        <f t="shared" si="11"/>
        <v>6</v>
      </c>
      <c r="BY18" s="5">
        <f t="shared" si="6"/>
        <v>0</v>
      </c>
      <c r="BZ18" s="5">
        <f t="shared" si="12"/>
        <v>6</v>
      </c>
      <c r="CA18" s="65">
        <f t="shared" si="7"/>
        <v>1</v>
      </c>
      <c r="CC18" s="8">
        <f t="shared" si="8"/>
        <v>612</v>
      </c>
      <c r="CE18" s="5">
        <v>21</v>
      </c>
      <c r="CF18" s="5">
        <f t="shared" si="9"/>
        <v>10</v>
      </c>
      <c r="CG18" s="5">
        <f t="shared" si="10"/>
        <v>11</v>
      </c>
    </row>
    <row r="19" spans="1:85" ht="13.5" thickBot="1">
      <c r="A19" s="5">
        <v>18</v>
      </c>
      <c r="B19" s="5">
        <v>16</v>
      </c>
      <c r="C19" s="10" t="s">
        <v>14</v>
      </c>
      <c r="D19" s="5"/>
      <c r="E19" s="5">
        <f>IF(AND(AJ19&gt;0,$A19&lt;VLOOKUP(AJ$1,$C:$L,10,FALSE)),1,IF(AND(AJ19&lt;0,$A19&gt;VLOOKUP(AJ$1,$C:$L,10,FALSE)),1,0))</f>
        <v>1</v>
      </c>
      <c r="F19" s="5">
        <f>IF(AND(AK19&gt;0,$A19&lt;VLOOKUP(AK$1,$C:$L,10,FALSE)),1,IF(AND(AK19&lt;0,$A19&gt;VLOOKUP(AK$1,$C:$L,10,FALSE)),1,0))</f>
        <v>0</v>
      </c>
      <c r="G19" s="5">
        <f>IF(AND(AL19&gt;0,$A19&lt;VLOOKUP(AL$1,$C:$L,10,FALSE)),1,IF(AND(AL19&lt;0,$A19&gt;VLOOKUP(AL$1,$C:$L,10,FALSE)),1,0))</f>
        <v>1</v>
      </c>
      <c r="H19" s="5">
        <f>IF(AND(AN19&gt;0,$A19&lt;VLOOKUP(AN$1,$C:$L,10,FALSE)),1,IF(AND(AN19&lt;0,$A19&gt;VLOOKUP(AN$1,$C:$L,10,FALSE)),1,0))</f>
        <v>1</v>
      </c>
      <c r="I19" s="5">
        <f>IF(AND(AO19&gt;0,$A19&lt;VLOOKUP(AO$1,$C:$L,10,FALSE)),1,IF(AND(AO19&lt;0,$A19&gt;VLOOKUP(AO$1,$C:$L,10,FALSE)),1,0))</f>
        <v>0</v>
      </c>
      <c r="J19" s="5">
        <f>IF(AND(AP19&gt;0,$A19&lt;VLOOKUP(AP$1,$C:$L,10,FALSE)),1,IF(AND(AP19&lt;0,$A19&gt;VLOOKUP(AP$1,$C:$L,10,FALSE)),1,0))</f>
        <v>1</v>
      </c>
      <c r="K19" s="79" t="s">
        <v>134</v>
      </c>
      <c r="L19" s="125">
        <f t="shared" si="0"/>
        <v>16</v>
      </c>
      <c r="M19" s="2">
        <v>4</v>
      </c>
      <c r="N19" s="11">
        <f t="shared" si="1"/>
        <v>3</v>
      </c>
      <c r="O19" s="2">
        <f t="shared" si="2"/>
        <v>3</v>
      </c>
      <c r="P19" s="2">
        <f t="shared" si="3"/>
        <v>0</v>
      </c>
      <c r="Q19" s="12">
        <f>COUNTIF($AJ19:$AM19,"&gt;0")</f>
        <v>1</v>
      </c>
      <c r="R19" s="13">
        <f>COUNTIF($AJ19:$AM19,"&lt;0")</f>
        <v>2</v>
      </c>
      <c r="S19" s="14">
        <f>COUNTIF($AJ19:$AM19,"=0")</f>
        <v>0</v>
      </c>
      <c r="T19" s="2">
        <f t="shared" si="4"/>
        <v>0</v>
      </c>
      <c r="U19" s="2"/>
      <c r="V19" s="2"/>
      <c r="W19" s="2"/>
      <c r="AF19" s="2" t="str">
        <f>IFERROR(IFERROR(VLOOKUP($C19&amp;" "&amp;AF$1,Results!$F:$H,3,FALSE),-VLOOKUP($C19&amp;" "&amp;AF$1,Results!$G:$H,2,FALSE)),"")</f>
        <v/>
      </c>
      <c r="AG19" s="2" t="str">
        <f>IFERROR(IFERROR(VLOOKUP($C19&amp;" "&amp;AG$1,Results!$F:$H,3,FALSE),-VLOOKUP($C19&amp;" "&amp;AG$1,Results!$G:$H,2,FALSE)),"")</f>
        <v/>
      </c>
      <c r="AH19" s="2" t="str">
        <f>IFERROR(IFERROR(VLOOKUP($C19&amp;" "&amp;AH$1,Results!$F:$H,3,FALSE),-VLOOKUP($C19&amp;" "&amp;AH$1,Results!$G:$H,2,FALSE)),"")</f>
        <v/>
      </c>
      <c r="AI19" s="2" t="str">
        <f>IFERROR(IFERROR(VLOOKUP($C19&amp;" "&amp;AI$1,Results!$F:$H,3,FALSE),-VLOOKUP($C19&amp;" "&amp;AI$1,Results!$G:$H,2,FALSE)),"")</f>
        <v/>
      </c>
      <c r="AJ19" s="46">
        <f>IFERROR(IFERROR(VLOOKUP($C19&amp;" "&amp;AJ$1,Results!$F:$H,3,FALSE),-VLOOKUP($C19&amp;" "&amp;AJ$1,Results!$G:$H,2,FALSE)),"")</f>
        <v>-107</v>
      </c>
      <c r="AK19" s="47">
        <f>IFERROR(IFERROR(VLOOKUP($C19&amp;" "&amp;AK$1,Results!$F:$H,3,FALSE),-VLOOKUP($C19&amp;" "&amp;AK$1,Results!$G:$H,2,FALSE)),"")</f>
        <v>76</v>
      </c>
      <c r="AL19" s="47">
        <f>IFERROR(IFERROR(VLOOKUP($C19&amp;" "&amp;AL$1,Results!$F:$H,3,FALSE),-VLOOKUP($C19&amp;" "&amp;AL$1,Results!$G:$H,2,FALSE)),"")</f>
        <v>-84</v>
      </c>
      <c r="AM19" s="20" t="str">
        <f>IFERROR(IFERROR(VLOOKUP($C19&amp;" "&amp;AM$1,Results!$F:$H,3,FALSE),-VLOOKUP($C19&amp;" "&amp;AM$1,Results!$G:$H,2,FALSE)),"")</f>
        <v/>
      </c>
      <c r="AN19" s="2">
        <f>IFERROR(IFERROR(VLOOKUP($C19&amp;" "&amp;AN$1,Results!$F:$H,3,FALSE),-VLOOKUP($C19&amp;" "&amp;AN$1,Results!$G:$H,2,FALSE)),"")</f>
        <v>-129</v>
      </c>
      <c r="AO19" s="2">
        <f>IFERROR(IFERROR(VLOOKUP($C19&amp;" "&amp;AO$1,Results!$F:$H,3,FALSE),-VLOOKUP($C19&amp;" "&amp;AO$1,Results!$G:$H,2,FALSE)),"")</f>
        <v>39</v>
      </c>
      <c r="AP19" s="2">
        <f>IFERROR(IFERROR(VLOOKUP($C19&amp;" "&amp;AP$1,Results!$F:$H,3,FALSE),-VLOOKUP($C19&amp;" "&amp;AP$1,Results!$G:$H,2,FALSE)),"")</f>
        <v>18</v>
      </c>
      <c r="AQ19" s="2" t="str">
        <f>IFERROR(IFERROR(VLOOKUP($C19&amp;" "&amp;AQ$1,Results!$F:$H,3,FALSE),-VLOOKUP($C19&amp;" "&amp;AQ$1,Results!$G:$H,2,FALSE)),"")</f>
        <v/>
      </c>
      <c r="AR19" s="2" t="str">
        <f>IFERROR(IFERROR(VLOOKUP($C19&amp;" "&amp;AR$1,Results!$F:$H,3,FALSE),-VLOOKUP($C19&amp;" "&amp;AR$1,Results!$G:$H,2,FALSE)),"")</f>
        <v/>
      </c>
      <c r="AS19" s="2" t="str">
        <f>IFERROR(IFERROR(VLOOKUP($C19&amp;" "&amp;AS$1,Results!$F:$H,3,FALSE),-VLOOKUP($C19&amp;" "&amp;AS$1,Results!$G:$H,2,FALSE)),"")</f>
        <v/>
      </c>
      <c r="AT19" s="2" t="str">
        <f>IFERROR(IFERROR(VLOOKUP($C19&amp;" "&amp;AT$1,Results!$F:$H,3,FALSE),-VLOOKUP($C19&amp;" "&amp;AT$1,Results!$G:$H,2,FALSE)),"")</f>
        <v/>
      </c>
      <c r="AU19" s="2" t="str">
        <f>IFERROR(IFERROR(VLOOKUP($C19&amp;" "&amp;AU$1,Results!$F:$H,3,FALSE),-VLOOKUP($C19&amp;" "&amp;AU$1,Results!$G:$H,2,FALSE)),"")</f>
        <v/>
      </c>
      <c r="AV19" s="2" t="str">
        <f>IFERROR(IFERROR(VLOOKUP($C19&amp;" "&amp;AV$1,Results!$F:$H,3,FALSE),-VLOOKUP($C19&amp;" "&amp;AV$1,Results!$G:$H,2,FALSE)),"")</f>
        <v/>
      </c>
      <c r="AW19" s="2" t="str">
        <f>IFERROR(IFERROR(VLOOKUP($C19&amp;" "&amp;AW$1,Results!$F:$H,3,FALSE),-VLOOKUP($C19&amp;" "&amp;AW$1,Results!$G:$H,2,FALSE)),"")</f>
        <v/>
      </c>
      <c r="AX19" s="2" t="str">
        <f>IFERROR(IFERROR(VLOOKUP($C19&amp;" "&amp;AX$1,Results!$F:$H,3,FALSE),-VLOOKUP($C19&amp;" "&amp;AX$1,Results!$G:$H,2,FALSE)),"")</f>
        <v/>
      </c>
      <c r="AY19" s="2" t="str">
        <f>IFERROR(IFERROR(VLOOKUP($C19&amp;" "&amp;AY$1,Results!$F:$H,3,FALSE),-VLOOKUP($C19&amp;" "&amp;AY$1,Results!$G:$H,2,FALSE)),"")</f>
        <v/>
      </c>
      <c r="AZ19" s="2" t="str">
        <f>IFERROR(IFERROR(VLOOKUP($C19&amp;" "&amp;AZ$1,Results!$F:$H,3,FALSE),-VLOOKUP($C19&amp;" "&amp;AZ$1,Results!$G:$H,2,FALSE)),"")</f>
        <v/>
      </c>
      <c r="BA19" s="2" t="str">
        <f>IFERROR(IFERROR(VLOOKUP($C19&amp;" "&amp;BA$1,Results!$F:$H,3,FALSE),-VLOOKUP($C19&amp;" "&amp;BA$1,Results!$G:$H,2,FALSE)),"")</f>
        <v/>
      </c>
      <c r="BB19" s="2" t="str">
        <f>IFERROR(IFERROR(VLOOKUP($C19&amp;" "&amp;BB$1,Results!$F:$H,3,FALSE),-VLOOKUP($C19&amp;" "&amp;BB$1,Results!$G:$H,2,FALSE)),"")</f>
        <v/>
      </c>
      <c r="BC19" s="2" t="str">
        <f>IFERROR(IFERROR(VLOOKUP($C19&amp;" "&amp;BC$1,Results!$F:$H,3,FALSE),-VLOOKUP($C19&amp;" "&amp;BC$1,Results!$G:$H,2,FALSE)),"")</f>
        <v/>
      </c>
      <c r="BG19" s="2"/>
      <c r="BH19" s="2"/>
      <c r="BI19" s="15"/>
      <c r="BJ19" s="15"/>
      <c r="BK19" s="15"/>
      <c r="BL19" s="15"/>
      <c r="BM19" s="15"/>
      <c r="BN19" s="15"/>
      <c r="BO19" s="15"/>
      <c r="BW19" s="82">
        <f t="shared" si="5"/>
        <v>-187</v>
      </c>
      <c r="BX19" s="5">
        <f t="shared" si="11"/>
        <v>4</v>
      </c>
      <c r="BY19" s="5">
        <f t="shared" si="6"/>
        <v>2</v>
      </c>
      <c r="BZ19" s="5">
        <f t="shared" si="12"/>
        <v>6</v>
      </c>
      <c r="CA19" s="65">
        <f t="shared" si="7"/>
        <v>0.66666666666666663</v>
      </c>
      <c r="CC19" s="8">
        <f t="shared" si="8"/>
        <v>-187</v>
      </c>
      <c r="CE19" s="5">
        <v>12</v>
      </c>
      <c r="CF19" s="5">
        <f t="shared" si="9"/>
        <v>18</v>
      </c>
      <c r="CG19" s="5">
        <f t="shared" si="10"/>
        <v>-6</v>
      </c>
    </row>
    <row r="20" spans="1:85">
      <c r="A20" s="5">
        <v>14</v>
      </c>
      <c r="B20" s="5">
        <v>17</v>
      </c>
      <c r="C20" s="154" t="s">
        <v>73</v>
      </c>
      <c r="D20" s="5"/>
      <c r="E20" s="5">
        <f>IF(AND(AO20&gt;0,$A20&lt;VLOOKUP(AO$1,$C:$L,10,FALSE)),1,IF(AND(AO20&lt;0,$A20&gt;VLOOKUP(AO$1,$C:$L,10,FALSE)),1,0))</f>
        <v>1</v>
      </c>
      <c r="F20" s="5">
        <f>IF(AND(AP20&gt;0,$A20&lt;VLOOKUP(AP$1,$C:$L,10,FALSE)),1,IF(AND(AP20&lt;0,$A20&gt;VLOOKUP(AP$1,$C:$L,10,FALSE)),1,0))</f>
        <v>1</v>
      </c>
      <c r="G20" s="5">
        <f>IF(AND(AQ20&gt;0,$A20&lt;VLOOKUP(AQ$1,$C:$L,10,FALSE)),1,IF(AND(AQ20&lt;0,$A20&gt;VLOOKUP(AQ$1,$C:$L,10,FALSE)),1,0))</f>
        <v>1</v>
      </c>
      <c r="H20" s="5">
        <f>IF(AND(AS20&gt;0,$A20&lt;VLOOKUP(AS$1,$C:$L,10,FALSE)),1,IF(AND(AS20&lt;0,$A20&gt;VLOOKUP(AS$1,$C:$L,10,FALSE)),1,0))</f>
        <v>1</v>
      </c>
      <c r="I20" s="5">
        <f>IF(AND(AT20&gt;0,$A20&lt;VLOOKUP(AT$1,$C:$L,10,FALSE)),1,IF(AND(AT20&lt;0,$A20&gt;VLOOKUP(AT$1,$C:$L,10,FALSE)),1,0))</f>
        <v>1</v>
      </c>
      <c r="J20" s="5">
        <f>IF(AND(AU20&gt;0,$A20&lt;VLOOKUP(AU$1,$C:$L,10,FALSE)),1,IF(AND(AU20&lt;0,$A20&gt;VLOOKUP(AU$1,$C:$L,10,FALSE)),1,0))</f>
        <v>1</v>
      </c>
      <c r="K20" s="79" t="s">
        <v>134</v>
      </c>
      <c r="L20" s="125">
        <f t="shared" si="0"/>
        <v>17</v>
      </c>
      <c r="M20" s="2">
        <v>5</v>
      </c>
      <c r="N20" s="11">
        <f t="shared" si="1"/>
        <v>5</v>
      </c>
      <c r="O20" s="2">
        <f t="shared" si="2"/>
        <v>1</v>
      </c>
      <c r="P20" s="2">
        <f t="shared" si="3"/>
        <v>0</v>
      </c>
      <c r="Q20" s="12">
        <f>COUNTIF($AN20:$AQ20,"&gt;0")</f>
        <v>3</v>
      </c>
      <c r="R20" s="13">
        <f>COUNTIF($AN20:$AQ20,"&lt;0")</f>
        <v>0</v>
      </c>
      <c r="S20" s="14">
        <f>COUNTIF($AR20:$AU20,"=0")</f>
        <v>0</v>
      </c>
      <c r="T20" s="2">
        <f t="shared" si="4"/>
        <v>0</v>
      </c>
      <c r="U20" s="2"/>
      <c r="V20" s="2"/>
      <c r="W20" s="2"/>
      <c r="AF20" s="2" t="str">
        <f>IFERROR(IFERROR(VLOOKUP($C20&amp;" "&amp;AF$1,Results!$F:$H,3,FALSE),-VLOOKUP($C20&amp;" "&amp;AF$1,Results!$G:$H,2,FALSE)),"")</f>
        <v/>
      </c>
      <c r="AG20" s="2" t="str">
        <f>IFERROR(IFERROR(VLOOKUP($C20&amp;" "&amp;AG$1,Results!$F:$H,3,FALSE),-VLOOKUP($C20&amp;" "&amp;AG$1,Results!$G:$H,2,FALSE)),"")</f>
        <v/>
      </c>
      <c r="AH20" s="2" t="str">
        <f>IFERROR(IFERROR(VLOOKUP($C20&amp;" "&amp;AH$1,Results!$F:$H,3,FALSE),-VLOOKUP($C20&amp;" "&amp;AH$1,Results!$G:$H,2,FALSE)),"")</f>
        <v/>
      </c>
      <c r="AI20" s="2" t="str">
        <f>IFERROR(IFERROR(VLOOKUP($C20&amp;" "&amp;AI$1,Results!$F:$H,3,FALSE),-VLOOKUP($C20&amp;" "&amp;AI$1,Results!$G:$H,2,FALSE)),"")</f>
        <v/>
      </c>
      <c r="AJ20" s="2" t="str">
        <f>IFERROR(IFERROR(VLOOKUP($C20&amp;" "&amp;AJ$1,Results!$F:$H,3,FALSE),-VLOOKUP($C20&amp;" "&amp;AJ$1,Results!$G:$H,2,FALSE)),"")</f>
        <v/>
      </c>
      <c r="AK20" s="2">
        <f>IFERROR(IFERROR(VLOOKUP($C20&amp;" "&amp;AK$1,Results!$F:$H,3,FALSE),-VLOOKUP($C20&amp;" "&amp;AK$1,Results!$G:$H,2,FALSE)),"")</f>
        <v>175</v>
      </c>
      <c r="AL20" s="2">
        <f>IFERROR(IFERROR(VLOOKUP($C20&amp;" "&amp;AL$1,Results!$F:$H,3,FALSE),-VLOOKUP($C20&amp;" "&amp;AL$1,Results!$G:$H,2,FALSE)),"")</f>
        <v>-103</v>
      </c>
      <c r="AM20" s="2">
        <f>IFERROR(IFERROR(VLOOKUP($C20&amp;" "&amp;AM$1,Results!$F:$H,3,FALSE),-VLOOKUP($C20&amp;" "&amp;AM$1,Results!$G:$H,2,FALSE)),"")</f>
        <v>129</v>
      </c>
      <c r="AN20" s="35" t="str">
        <f>IFERROR(IFERROR(VLOOKUP($C20&amp;" "&amp;AN$1,Results!$F:$H,3,FALSE),-VLOOKUP($C20&amp;" "&amp;AN$1,Results!$G:$H,2,FALSE)),"")</f>
        <v/>
      </c>
      <c r="AO20" s="49">
        <f>IFERROR(IFERROR(VLOOKUP($C20&amp;" "&amp;AO$1,Results!$F:$H,3,FALSE),-VLOOKUP($C20&amp;" "&amp;AO$1,Results!$G:$H,2,FALSE)),"")</f>
        <v>133</v>
      </c>
      <c r="AP20" s="49">
        <f>IFERROR(IFERROR(VLOOKUP($C20&amp;" "&amp;AP$1,Results!$F:$H,3,FALSE),-VLOOKUP($C20&amp;" "&amp;AP$1,Results!$G:$H,2,FALSE)),"")</f>
        <v>99</v>
      </c>
      <c r="AQ20" s="55">
        <f>IFERROR(IFERROR(VLOOKUP($C20&amp;" "&amp;AQ$1,Results!$F:$H,3,FALSE),-VLOOKUP($C20&amp;" "&amp;AQ$1,Results!$G:$H,2,FALSE)),"")</f>
        <v>66</v>
      </c>
      <c r="AR20" s="19" t="str">
        <f>IFERROR(IFERROR(VLOOKUP($C20&amp;" "&amp;AR$1,Results!$F:$H,3,FALSE),-VLOOKUP($C20&amp;" "&amp;AR$1,Results!$G:$H,2,FALSE)),"")</f>
        <v/>
      </c>
      <c r="AS20" s="19" t="str">
        <f>IFERROR(IFERROR(VLOOKUP($C20&amp;" "&amp;AS$1,Results!$F:$H,3,FALSE),-VLOOKUP($C20&amp;" "&amp;AS$1,Results!$G:$H,2,FALSE)),"")</f>
        <v/>
      </c>
      <c r="AT20" s="19" t="str">
        <f>IFERROR(IFERROR(VLOOKUP($C20&amp;" "&amp;AT$1,Results!$F:$H,3,FALSE),-VLOOKUP($C20&amp;" "&amp;AT$1,Results!$G:$H,2,FALSE)),"")</f>
        <v/>
      </c>
      <c r="AU20" s="19" t="str">
        <f>IFERROR(IFERROR(VLOOKUP($C20&amp;" "&amp;AU$1,Results!$F:$H,3,FALSE),-VLOOKUP($C20&amp;" "&amp;AU$1,Results!$G:$H,2,FALSE)),"")</f>
        <v/>
      </c>
      <c r="AV20" s="2" t="str">
        <f>IFERROR(IFERROR(VLOOKUP($C20&amp;" "&amp;AV$1,Results!$F:$H,3,FALSE),-VLOOKUP($C20&amp;" "&amp;AV$1,Results!$G:$H,2,FALSE)),"")</f>
        <v/>
      </c>
      <c r="AW20" s="2" t="str">
        <f>IFERROR(IFERROR(VLOOKUP($C20&amp;" "&amp;AW$1,Results!$F:$H,3,FALSE),-VLOOKUP($C20&amp;" "&amp;AW$1,Results!$G:$H,2,FALSE)),"")</f>
        <v/>
      </c>
      <c r="AX20" s="2" t="str">
        <f>IFERROR(IFERROR(VLOOKUP($C20&amp;" "&amp;AX$1,Results!$F:$H,3,FALSE),-VLOOKUP($C20&amp;" "&amp;AX$1,Results!$G:$H,2,FALSE)),"")</f>
        <v/>
      </c>
      <c r="AY20" s="2" t="str">
        <f>IFERROR(IFERROR(VLOOKUP($C20&amp;" "&amp;AY$1,Results!$F:$H,3,FALSE),-VLOOKUP($C20&amp;" "&amp;AY$1,Results!$G:$H,2,FALSE)),"")</f>
        <v/>
      </c>
      <c r="AZ20" s="2" t="str">
        <f>IFERROR(IFERROR(VLOOKUP($C20&amp;" "&amp;AZ$1,Results!$F:$H,3,FALSE),-VLOOKUP($C20&amp;" "&amp;AZ$1,Results!$G:$H,2,FALSE)),"")</f>
        <v/>
      </c>
      <c r="BA20" s="2" t="str">
        <f>IFERROR(IFERROR(VLOOKUP($C20&amp;" "&amp;BA$1,Results!$F:$H,3,FALSE),-VLOOKUP($C20&amp;" "&amp;BA$1,Results!$G:$H,2,FALSE)),"")</f>
        <v/>
      </c>
      <c r="BB20" s="2" t="str">
        <f>IFERROR(IFERROR(VLOOKUP($C20&amp;" "&amp;BB$1,Results!$F:$H,3,FALSE),-VLOOKUP($C20&amp;" "&amp;BB$1,Results!$G:$H,2,FALSE)),"")</f>
        <v/>
      </c>
      <c r="BC20" s="2" t="str">
        <f>IFERROR(IFERROR(VLOOKUP($C20&amp;" "&amp;BC$1,Results!$F:$H,3,FALSE),-VLOOKUP($C20&amp;" "&amp;BC$1,Results!$G:$H,2,FALSE)),"")</f>
        <v/>
      </c>
      <c r="BG20" s="2"/>
      <c r="BH20" s="2"/>
      <c r="BI20" s="15"/>
      <c r="BJ20" s="15"/>
      <c r="BK20" s="15"/>
      <c r="BL20" s="15"/>
      <c r="BM20" s="15"/>
      <c r="BN20" s="15"/>
      <c r="BO20" s="15"/>
      <c r="BW20" s="82">
        <f t="shared" si="5"/>
        <v>499</v>
      </c>
      <c r="BX20" s="5">
        <f t="shared" si="11"/>
        <v>6</v>
      </c>
      <c r="BY20" s="5">
        <f t="shared" si="6"/>
        <v>0</v>
      </c>
      <c r="BZ20" s="5">
        <f t="shared" si="12"/>
        <v>6</v>
      </c>
      <c r="CA20" s="65">
        <f t="shared" si="7"/>
        <v>1</v>
      </c>
      <c r="CC20" s="8">
        <f t="shared" si="8"/>
        <v>499</v>
      </c>
      <c r="CE20" s="5">
        <v>23</v>
      </c>
      <c r="CF20" s="5">
        <f t="shared" si="9"/>
        <v>14</v>
      </c>
      <c r="CG20" s="5">
        <f t="shared" si="10"/>
        <v>9</v>
      </c>
    </row>
    <row r="21" spans="1:85">
      <c r="A21" s="5">
        <v>19</v>
      </c>
      <c r="B21" s="5">
        <v>18</v>
      </c>
      <c r="C21" s="10" t="s">
        <v>30</v>
      </c>
      <c r="D21" s="5"/>
      <c r="E21" s="5">
        <f>IF(AND(AH21&gt;0,$A21&lt;VLOOKUP(AH$1,$C:$L,10,FALSE)),1,IF(AND(AH21&lt;0,$A21&gt;VLOOKUP(AH$1,$C:$L,10,FALSE)),1,0))</f>
        <v>0</v>
      </c>
      <c r="F21" s="5">
        <f>IF(AND(AI21&gt;0,$A21&lt;VLOOKUP(AI$1,$C:$L,10,FALSE)),1,IF(AND(AI21&lt;0,$A21&gt;VLOOKUP(AI$1,$C:$L,10,FALSE)),1,0))</f>
        <v>0</v>
      </c>
      <c r="G21" s="5">
        <f>IF(AND(AJ21&gt;0,$A21&lt;VLOOKUP(AJ$1,$C:$L,10,FALSE)),1,IF(AND(AJ21&lt;0,$A21&gt;VLOOKUP(AJ$1,$C:$L,10,FALSE)),1,0))</f>
        <v>0</v>
      </c>
      <c r="H21" s="5">
        <f>IF(AND(AL21&gt;0,$A21&lt;VLOOKUP(AL$1,$C:$L,10,FALSE)),1,IF(AND(AL21&lt;0,$A21&gt;VLOOKUP(AL$1,$C:$L,10,FALSE)),1,0))</f>
        <v>1</v>
      </c>
      <c r="I21" s="5">
        <f>IF(AND(AM21&gt;0,$A21&lt;VLOOKUP(AM$1,$C:$L,10,FALSE)),1,IF(AND(AM21&lt;0,$A21&gt;VLOOKUP(AM$1,$C:$L,10,FALSE)),1,0))</f>
        <v>1</v>
      </c>
      <c r="J21" s="5">
        <f>IF(AND(AN21&gt;0,$A21&lt;VLOOKUP(AN$1,$C:$L,10,FALSE)),1,IF(AND(AN21&lt;0,$A21&gt;VLOOKUP(AN$1,$C:$L,10,FALSE)),1,0))</f>
        <v>1</v>
      </c>
      <c r="K21" s="79" t="s">
        <v>134</v>
      </c>
      <c r="L21" s="125">
        <f t="shared" si="0"/>
        <v>18</v>
      </c>
      <c r="M21" s="2">
        <v>5</v>
      </c>
      <c r="N21" s="11">
        <f t="shared" si="1"/>
        <v>1</v>
      </c>
      <c r="O21" s="2">
        <f t="shared" si="2"/>
        <v>5</v>
      </c>
      <c r="P21" s="2">
        <f t="shared" si="3"/>
        <v>0</v>
      </c>
      <c r="Q21" s="12">
        <f>COUNTIF($AN21:$AQ21,"&gt;0")</f>
        <v>1</v>
      </c>
      <c r="R21" s="13">
        <f>COUNTIF($AN21:$AQ21,"&lt;0")</f>
        <v>2</v>
      </c>
      <c r="S21" s="14">
        <f>COUNTIF($AN21:$AQ21,"=0")</f>
        <v>0</v>
      </c>
      <c r="T21" s="2">
        <f t="shared" si="4"/>
        <v>0</v>
      </c>
      <c r="U21" s="2"/>
      <c r="V21" s="2"/>
      <c r="W21" s="2"/>
      <c r="AF21" s="2" t="str">
        <f>IFERROR(IFERROR(VLOOKUP($C21&amp;" "&amp;AF$1,Results!$F:$H,3,FALSE),-VLOOKUP($C21&amp;" "&amp;AF$1,Results!$G:$H,2,FALSE)),"")</f>
        <v/>
      </c>
      <c r="AG21" s="2" t="str">
        <f>IFERROR(IFERROR(VLOOKUP($C21&amp;" "&amp;AG$1,Results!$F:$H,3,FALSE),-VLOOKUP($C21&amp;" "&amp;AG$1,Results!$G:$H,2,FALSE)),"")</f>
        <v/>
      </c>
      <c r="AH21" s="2" t="str">
        <f>IFERROR(IFERROR(VLOOKUP($C21&amp;" "&amp;AH$1,Results!$F:$H,3,FALSE),-VLOOKUP($C21&amp;" "&amp;AH$1,Results!$G:$H,2,FALSE)),"")</f>
        <v/>
      </c>
      <c r="AI21" s="2" t="str">
        <f>IFERROR(IFERROR(VLOOKUP($C21&amp;" "&amp;AI$1,Results!$F:$H,3,FALSE),-VLOOKUP($C21&amp;" "&amp;AI$1,Results!$G:$H,2,FALSE)),"")</f>
        <v/>
      </c>
      <c r="AJ21" s="19" t="str">
        <f>IFERROR(IFERROR(VLOOKUP($C21&amp;" "&amp;AJ$1,Results!$F:$H,3,FALSE),-VLOOKUP($C21&amp;" "&amp;AJ$1,Results!$G:$H,2,FALSE)),"")</f>
        <v/>
      </c>
      <c r="AK21" s="19" t="str">
        <f>IFERROR(IFERROR(VLOOKUP($C21&amp;" "&amp;AK$1,Results!$F:$H,3,FALSE),-VLOOKUP($C21&amp;" "&amp;AK$1,Results!$G:$H,2,FALSE)),"")</f>
        <v/>
      </c>
      <c r="AL21" s="19">
        <f>IFERROR(IFERROR(VLOOKUP($C21&amp;" "&amp;AL$1,Results!$F:$H,3,FALSE),-VLOOKUP($C21&amp;" "&amp;AL$1,Results!$G:$H,2,FALSE)),"")</f>
        <v>-97</v>
      </c>
      <c r="AM21" s="19">
        <f>IFERROR(IFERROR(VLOOKUP($C21&amp;" "&amp;AM$1,Results!$F:$H,3,FALSE),-VLOOKUP($C21&amp;" "&amp;AM$1,Results!$G:$H,2,FALSE)),"")</f>
        <v>-39</v>
      </c>
      <c r="AN21" s="51">
        <f>IFERROR(IFERROR(VLOOKUP($C21&amp;" "&amp;AN$1,Results!$F:$H,3,FALSE),-VLOOKUP($C21&amp;" "&amp;AN$1,Results!$G:$H,2,FALSE)),"")</f>
        <v>-133</v>
      </c>
      <c r="AO21" s="2" t="str">
        <f>IFERROR(IFERROR(VLOOKUP($C21&amp;" "&amp;AO$1,Results!$F:$H,3,FALSE),-VLOOKUP($C21&amp;" "&amp;AO$1,Results!$G:$H,2,FALSE)),"")</f>
        <v/>
      </c>
      <c r="AP21" s="2">
        <f>IFERROR(IFERROR(VLOOKUP($C21&amp;" "&amp;AP$1,Results!$F:$H,3,FALSE),-VLOOKUP($C21&amp;" "&amp;AP$1,Results!$G:$H,2,FALSE)),"")</f>
        <v>53</v>
      </c>
      <c r="AQ21" s="56">
        <f>IFERROR(IFERROR(VLOOKUP($C21&amp;" "&amp;AQ$1,Results!$F:$H,3,FALSE),-VLOOKUP($C21&amp;" "&amp;AQ$1,Results!$G:$H,2,FALSE)),"")</f>
        <v>-50</v>
      </c>
      <c r="AR21" s="2">
        <f>IFERROR(IFERROR(VLOOKUP($C21&amp;" "&amp;AR$1,Results!$F:$H,3,FALSE),-VLOOKUP($C21&amp;" "&amp;AR$1,Results!$G:$H,2,FALSE)),"")</f>
        <v>-105</v>
      </c>
      <c r="AS21" s="2" t="str">
        <f>IFERROR(IFERROR(VLOOKUP($C21&amp;" "&amp;AS$1,Results!$F:$H,3,FALSE),-VLOOKUP($C21&amp;" "&amp;AS$1,Results!$G:$H,2,FALSE)),"")</f>
        <v/>
      </c>
      <c r="AT21" s="2" t="str">
        <f>IFERROR(IFERROR(VLOOKUP($C21&amp;" "&amp;AT$1,Results!$F:$H,3,FALSE),-VLOOKUP($C21&amp;" "&amp;AT$1,Results!$G:$H,2,FALSE)),"")</f>
        <v/>
      </c>
      <c r="AU21" s="2" t="str">
        <f>IFERROR(IFERROR(VLOOKUP($C21&amp;" "&amp;AU$1,Results!$F:$H,3,FALSE),-VLOOKUP($C21&amp;" "&amp;AU$1,Results!$G:$H,2,FALSE)),"")</f>
        <v/>
      </c>
      <c r="AV21" s="2" t="str">
        <f>IFERROR(IFERROR(VLOOKUP($C21&amp;" "&amp;AV$1,Results!$F:$H,3,FALSE),-VLOOKUP($C21&amp;" "&amp;AV$1,Results!$G:$H,2,FALSE)),"")</f>
        <v/>
      </c>
      <c r="AW21" s="2" t="str">
        <f>IFERROR(IFERROR(VLOOKUP($C21&amp;" "&amp;AW$1,Results!$F:$H,3,FALSE),-VLOOKUP($C21&amp;" "&amp;AW$1,Results!$G:$H,2,FALSE)),"")</f>
        <v/>
      </c>
      <c r="AX21" s="2" t="str">
        <f>IFERROR(IFERROR(VLOOKUP($C21&amp;" "&amp;AX$1,Results!$F:$H,3,FALSE),-VLOOKUP($C21&amp;" "&amp;AX$1,Results!$G:$H,2,FALSE)),"")</f>
        <v/>
      </c>
      <c r="AY21" s="2" t="str">
        <f>IFERROR(IFERROR(VLOOKUP($C21&amp;" "&amp;AY$1,Results!$F:$H,3,FALSE),-VLOOKUP($C21&amp;" "&amp;AY$1,Results!$G:$H,2,FALSE)),"")</f>
        <v/>
      </c>
      <c r="AZ21" s="2" t="str">
        <f>IFERROR(IFERROR(VLOOKUP($C21&amp;" "&amp;AZ$1,Results!$F:$H,3,FALSE),-VLOOKUP($C21&amp;" "&amp;AZ$1,Results!$G:$H,2,FALSE)),"")</f>
        <v/>
      </c>
      <c r="BA21" s="2" t="str">
        <f>IFERROR(IFERROR(VLOOKUP($C21&amp;" "&amp;BA$1,Results!$F:$H,3,FALSE),-VLOOKUP($C21&amp;" "&amp;BA$1,Results!$G:$H,2,FALSE)),"")</f>
        <v/>
      </c>
      <c r="BB21" s="2" t="str">
        <f>IFERROR(IFERROR(VLOOKUP($C21&amp;" "&amp;BB$1,Results!$F:$H,3,FALSE),-VLOOKUP($C21&amp;" "&amp;BB$1,Results!$G:$H,2,FALSE)),"")</f>
        <v/>
      </c>
      <c r="BC21" s="2" t="str">
        <f>IFERROR(IFERROR(VLOOKUP($C21&amp;" "&amp;BC$1,Results!$F:$H,3,FALSE),-VLOOKUP($C21&amp;" "&amp;BC$1,Results!$G:$H,2,FALSE)),"")</f>
        <v/>
      </c>
      <c r="BG21" s="2"/>
      <c r="BH21" s="2"/>
      <c r="BI21" s="15"/>
      <c r="BJ21" s="15"/>
      <c r="BK21" s="15"/>
      <c r="BL21" s="15"/>
      <c r="BM21" s="15"/>
      <c r="BN21" s="15"/>
      <c r="BO21" s="15"/>
      <c r="BW21" s="82">
        <f t="shared" si="5"/>
        <v>-371</v>
      </c>
      <c r="BX21" s="5">
        <f t="shared" si="11"/>
        <v>3</v>
      </c>
      <c r="BY21" s="5">
        <f t="shared" si="6"/>
        <v>3</v>
      </c>
      <c r="BZ21" s="5">
        <f t="shared" si="12"/>
        <v>6</v>
      </c>
      <c r="CA21" s="65">
        <f t="shared" si="7"/>
        <v>0.5</v>
      </c>
      <c r="CC21" s="8">
        <f t="shared" si="8"/>
        <v>-371</v>
      </c>
      <c r="CE21" s="5">
        <v>13</v>
      </c>
      <c r="CF21" s="5">
        <f t="shared" si="9"/>
        <v>19</v>
      </c>
      <c r="CG21" s="5">
        <f t="shared" si="10"/>
        <v>-6</v>
      </c>
    </row>
    <row r="22" spans="1:85">
      <c r="A22" s="125">
        <v>21</v>
      </c>
      <c r="B22" s="125">
        <v>19</v>
      </c>
      <c r="C22" s="158" t="s">
        <v>97</v>
      </c>
      <c r="D22" s="5"/>
      <c r="E22" s="5">
        <f>IF(AND(AM22&gt;0,$A22&lt;VLOOKUP(AM$1,$C:$L,10,FALSE)),1,IF(AND(AM22&lt;0,$A22&gt;VLOOKUP(AM$1,$C:$L,10,FALSE)),1,0))</f>
        <v>1</v>
      </c>
      <c r="F22" s="5">
        <f>IF(AND(AN22&gt;0,$A22&lt;VLOOKUP(AN$1,$C:$L,10,FALSE)),1,IF(AND(AN22&lt;0,$A22&gt;VLOOKUP(AN$1,$C:$L,10,FALSE)),1,0))</f>
        <v>1</v>
      </c>
      <c r="G22" s="5">
        <f>IF(AND(AO22&gt;0,$A22&lt;VLOOKUP(AO$1,$C:$L,10,FALSE)),1,IF(AND(AO22&lt;0,$A22&gt;VLOOKUP(AO$1,$C:$L,10,FALSE)),1,0))</f>
        <v>1</v>
      </c>
      <c r="H22" s="5">
        <f>IF(AND(AQ22&gt;0,$A22&lt;VLOOKUP(AQ$1,$C:$L,10,FALSE)),1,IF(AND(AQ22&lt;0,$A22&gt;VLOOKUP(AQ$1,$C:$L,10,FALSE)),1,0))</f>
        <v>1</v>
      </c>
      <c r="I22" s="5">
        <f>IF(AND(AR22&gt;0,$A22&lt;VLOOKUP(AR$1,$C:$L,10,FALSE)),1,IF(AND(AR22&lt;0,$A22&gt;VLOOKUP(AR$1,$C:$L,10,FALSE)),1,0))</f>
        <v>0</v>
      </c>
      <c r="J22" s="5">
        <f>IF(AND(AS22&gt;0,$A22&lt;VLOOKUP(AS$1,$C:$L,10,FALSE)),1,IF(AND(AS22&lt;0,$A22&gt;VLOOKUP(AS$1,$C:$L,10,FALSE)),1,0))</f>
        <v>1</v>
      </c>
      <c r="K22" s="79" t="s">
        <v>134</v>
      </c>
      <c r="L22" s="125">
        <f t="shared" si="0"/>
        <v>19</v>
      </c>
      <c r="M22" s="2">
        <v>5</v>
      </c>
      <c r="N22" s="11">
        <f t="shared" si="1"/>
        <v>1</v>
      </c>
      <c r="O22" s="2">
        <f t="shared" si="2"/>
        <v>5</v>
      </c>
      <c r="P22" s="2">
        <f t="shared" si="3"/>
        <v>0</v>
      </c>
      <c r="Q22" s="12">
        <f>COUNTIF($AN22:$AQ22,"&gt;0")</f>
        <v>0</v>
      </c>
      <c r="R22" s="13">
        <f>COUNTIF($AN22:$AQ22,"&lt;0")</f>
        <v>3</v>
      </c>
      <c r="S22" s="14">
        <f>COUNTIF($AN22:$AQ22,"=0")</f>
        <v>0</v>
      </c>
      <c r="T22" s="2">
        <f t="shared" si="4"/>
        <v>0</v>
      </c>
      <c r="U22" s="2"/>
      <c r="V22" s="2"/>
      <c r="W22" s="2"/>
      <c r="AF22" s="2" t="str">
        <f>IFERROR(IFERROR(VLOOKUP($C22&amp;" "&amp;AF$1,Results!$F:$H,3,FALSE),-VLOOKUP($C22&amp;" "&amp;AF$1,Results!$G:$H,2,FALSE)),"")</f>
        <v/>
      </c>
      <c r="AG22" s="2" t="str">
        <f>IFERROR(IFERROR(VLOOKUP($C22&amp;" "&amp;AG$1,Results!$F:$H,3,FALSE),-VLOOKUP($C22&amp;" "&amp;AG$1,Results!$G:$H,2,FALSE)),"")</f>
        <v/>
      </c>
      <c r="AH22" s="2" t="str">
        <f>IFERROR(IFERROR(VLOOKUP($C22&amp;" "&amp;AH$1,Results!$F:$H,3,FALSE),-VLOOKUP($C22&amp;" "&amp;AH$1,Results!$G:$H,2,FALSE)),"")</f>
        <v/>
      </c>
      <c r="AI22" s="2" t="str">
        <f>IFERROR(IFERROR(VLOOKUP($C22&amp;" "&amp;AI$1,Results!$F:$H,3,FALSE),-VLOOKUP($C22&amp;" "&amp;AI$1,Results!$G:$H,2,FALSE)),"")</f>
        <v/>
      </c>
      <c r="AJ22" s="2" t="str">
        <f>IFERROR(IFERROR(VLOOKUP($C22&amp;" "&amp;AJ$1,Results!$F:$H,3,FALSE),-VLOOKUP($C22&amp;" "&amp;AJ$1,Results!$G:$H,2,FALSE)),"")</f>
        <v/>
      </c>
      <c r="AK22" s="2" t="str">
        <f>IFERROR(IFERROR(VLOOKUP($C22&amp;" "&amp;AK$1,Results!$F:$H,3,FALSE),-VLOOKUP($C22&amp;" "&amp;AK$1,Results!$G:$H,2,FALSE)),"")</f>
        <v/>
      </c>
      <c r="AL22" s="2" t="str">
        <f>IFERROR(IFERROR(VLOOKUP($C22&amp;" "&amp;AL$1,Results!$F:$H,3,FALSE),-VLOOKUP($C22&amp;" "&amp;AL$1,Results!$G:$H,2,FALSE)),"")</f>
        <v/>
      </c>
      <c r="AM22" s="2">
        <f>IFERROR(IFERROR(VLOOKUP($C22&amp;" "&amp;AM$1,Results!$F:$H,3,FALSE),-VLOOKUP($C22&amp;" "&amp;AM$1,Results!$G:$H,2,FALSE)),"")</f>
        <v>-18</v>
      </c>
      <c r="AN22" s="44">
        <f>IFERROR(IFERROR(VLOOKUP($C22&amp;" "&amp;AN$1,Results!$F:$H,3,FALSE),-VLOOKUP($C22&amp;" "&amp;AN$1,Results!$G:$H,2,FALSE)),"")</f>
        <v>-99</v>
      </c>
      <c r="AO22" s="19">
        <f>IFERROR(IFERROR(VLOOKUP($C22&amp;" "&amp;AO$1,Results!$F:$H,3,FALSE),-VLOOKUP($C22&amp;" "&amp;AO$1,Results!$G:$H,2,FALSE)),"")</f>
        <v>-53</v>
      </c>
      <c r="AP22" s="19" t="str">
        <f>IFERROR(IFERROR(VLOOKUP($C22&amp;" "&amp;AP$1,Results!$F:$H,3,FALSE),-VLOOKUP($C22&amp;" "&amp;AP$1,Results!$G:$H,2,FALSE)),"")</f>
        <v/>
      </c>
      <c r="AQ22" s="45">
        <f>IFERROR(IFERROR(VLOOKUP($C22&amp;" "&amp;AQ$1,Results!$F:$H,3,FALSE),-VLOOKUP($C22&amp;" "&amp;AQ$1,Results!$G:$H,2,FALSE)),"")</f>
        <v>-19</v>
      </c>
      <c r="AR22" s="2">
        <f>IFERROR(IFERROR(VLOOKUP($C22&amp;" "&amp;AR$1,Results!$F:$H,3,FALSE),-VLOOKUP($C22&amp;" "&amp;AR$1,Results!$G:$H,2,FALSE)),"")</f>
        <v>-67</v>
      </c>
      <c r="AS22" s="2">
        <f>IFERROR(IFERROR(VLOOKUP($C22&amp;" "&amp;AS$1,Results!$F:$H,3,FALSE),-VLOOKUP($C22&amp;" "&amp;AS$1,Results!$G:$H,2,FALSE)),"")</f>
        <v>88</v>
      </c>
      <c r="AT22" s="2" t="str">
        <f>IFERROR(IFERROR(VLOOKUP($C22&amp;" "&amp;AT$1,Results!$F:$H,3,FALSE),-VLOOKUP($C22&amp;" "&amp;AT$1,Results!$G:$H,2,FALSE)),"")</f>
        <v/>
      </c>
      <c r="AU22" s="2" t="str">
        <f>IFERROR(IFERROR(VLOOKUP($C22&amp;" "&amp;AU$1,Results!$F:$H,3,FALSE),-VLOOKUP($C22&amp;" "&amp;AU$1,Results!$G:$H,2,FALSE)),"")</f>
        <v/>
      </c>
      <c r="AV22" s="2" t="str">
        <f>IFERROR(IFERROR(VLOOKUP($C22&amp;" "&amp;AV$1,Results!$F:$H,3,FALSE),-VLOOKUP($C22&amp;" "&amp;AV$1,Results!$G:$H,2,FALSE)),"")</f>
        <v/>
      </c>
      <c r="AW22" s="2" t="str">
        <f>IFERROR(IFERROR(VLOOKUP($C22&amp;" "&amp;AW$1,Results!$F:$H,3,FALSE),-VLOOKUP($C22&amp;" "&amp;AW$1,Results!$G:$H,2,FALSE)),"")</f>
        <v/>
      </c>
      <c r="AX22" s="2" t="str">
        <f>IFERROR(IFERROR(VLOOKUP($C22&amp;" "&amp;AX$1,Results!$F:$H,3,FALSE),-VLOOKUP($C22&amp;" "&amp;AX$1,Results!$G:$H,2,FALSE)),"")</f>
        <v/>
      </c>
      <c r="AY22" s="2" t="str">
        <f>IFERROR(IFERROR(VLOOKUP($C22&amp;" "&amp;AY$1,Results!$F:$H,3,FALSE),-VLOOKUP($C22&amp;" "&amp;AY$1,Results!$G:$H,2,FALSE)),"")</f>
        <v/>
      </c>
      <c r="AZ22" s="2" t="str">
        <f>IFERROR(IFERROR(VLOOKUP($C22&amp;" "&amp;AZ$1,Results!$F:$H,3,FALSE),-VLOOKUP($C22&amp;" "&amp;AZ$1,Results!$G:$H,2,FALSE)),"")</f>
        <v/>
      </c>
      <c r="BA22" s="2" t="str">
        <f>IFERROR(IFERROR(VLOOKUP($C22&amp;" "&amp;BA$1,Results!$F:$H,3,FALSE),-VLOOKUP($C22&amp;" "&amp;BA$1,Results!$G:$H,2,FALSE)),"")</f>
        <v/>
      </c>
      <c r="BB22" s="2" t="str">
        <f>IFERROR(IFERROR(VLOOKUP($C22&amp;" "&amp;BB$1,Results!$F:$H,3,FALSE),-VLOOKUP($C22&amp;" "&amp;BB$1,Results!$G:$H,2,FALSE)),"")</f>
        <v/>
      </c>
      <c r="BC22" s="2" t="str">
        <f>IFERROR(IFERROR(VLOOKUP($C22&amp;" "&amp;BC$1,Results!$F:$H,3,FALSE),-VLOOKUP($C22&amp;" "&amp;BC$1,Results!$G:$H,2,FALSE)),"")</f>
        <v/>
      </c>
      <c r="BG22" s="2"/>
      <c r="BH22" s="2"/>
      <c r="BI22" s="15"/>
      <c r="BJ22" s="15"/>
      <c r="BK22" s="15"/>
      <c r="BL22" s="15"/>
      <c r="BM22" s="15"/>
      <c r="BN22" s="15"/>
      <c r="BO22" s="15"/>
      <c r="BW22" s="82">
        <f t="shared" si="5"/>
        <v>-168</v>
      </c>
      <c r="BX22" s="5">
        <f t="shared" si="11"/>
        <v>5</v>
      </c>
      <c r="BY22" s="5">
        <f t="shared" si="6"/>
        <v>1</v>
      </c>
      <c r="BZ22" s="5">
        <f t="shared" si="12"/>
        <v>6</v>
      </c>
      <c r="CA22" s="65">
        <f t="shared" si="7"/>
        <v>0.83333333333333337</v>
      </c>
      <c r="CC22" s="8">
        <f t="shared" si="8"/>
        <v>-168</v>
      </c>
      <c r="CE22" s="125">
        <v>17</v>
      </c>
      <c r="CF22" s="5">
        <f t="shared" si="9"/>
        <v>21</v>
      </c>
      <c r="CG22" s="5">
        <f t="shared" si="10"/>
        <v>-4</v>
      </c>
    </row>
    <row r="23" spans="1:85" ht="13.5" thickBot="1">
      <c r="A23" s="5">
        <v>16</v>
      </c>
      <c r="B23" s="5">
        <v>20</v>
      </c>
      <c r="C23" s="10" t="s">
        <v>2</v>
      </c>
      <c r="D23" s="5"/>
      <c r="E23" s="5">
        <f>IF(AND(AT23&gt;0,$A23&lt;VLOOKUP(AT$1,$C:$L,10,FALSE)),1,IF(AND(AT23&lt;0,$A23&gt;VLOOKUP(AT$1,$C:$L,10,FALSE)),1,0))</f>
        <v>1</v>
      </c>
      <c r="F23" s="5">
        <f>IF(AND(AU23&gt;0,$A23&lt;VLOOKUP(AU$1,$C:$L,10,FALSE)),1,IF(AND(AU23&lt;0,$A23&gt;VLOOKUP(AU$1,$C:$L,10,FALSE)),1,0))</f>
        <v>1</v>
      </c>
      <c r="G23" s="5">
        <f>IF(AND(AV23&gt;0,$A23&lt;VLOOKUP(AV$1,$C:$L,10,FALSE)),1,IF(AND(AV23&lt;0,$A23&gt;VLOOKUP(AV$1,$C:$L,10,FALSE)),1,0))</f>
        <v>1</v>
      </c>
      <c r="H23" s="5">
        <f>IF(AND(AX23&gt;0,$A23&lt;VLOOKUP(AX$1,$C:$L,10,FALSE)),1,IF(AND(AX23&lt;0,$A23&gt;VLOOKUP(AX$1,$C:$L,10,FALSE)),1,0))</f>
        <v>1</v>
      </c>
      <c r="I23" s="5">
        <f>IF(AND(AY23&gt;0,$A23&lt;VLOOKUP(AY$1,$C:$L,10,FALSE)),1,IF(AND(AY23&lt;0,$A23&gt;VLOOKUP(AY$1,$C:$L,10,FALSE)),1,0))</f>
        <v>1</v>
      </c>
      <c r="J23" s="5">
        <f>IF(AND(AZ23&gt;0,$A23&lt;VLOOKUP(AZ$1,$C:$L,10,FALSE)),1,IF(AND(AZ23&lt;0,$A23&gt;VLOOKUP(AZ$1,$C:$L,10,FALSE)),1,0))</f>
        <v>1</v>
      </c>
      <c r="K23" s="79" t="s">
        <v>134</v>
      </c>
      <c r="L23" s="125">
        <f t="shared" si="0"/>
        <v>20</v>
      </c>
      <c r="M23" s="76">
        <v>5</v>
      </c>
      <c r="N23" s="11">
        <f t="shared" si="1"/>
        <v>5</v>
      </c>
      <c r="O23" s="2">
        <f t="shared" si="2"/>
        <v>1</v>
      </c>
      <c r="P23" s="2">
        <f t="shared" si="3"/>
        <v>0</v>
      </c>
      <c r="Q23" s="12">
        <f>COUNTIF($AN23:$AQ23,"&gt;0")</f>
        <v>2</v>
      </c>
      <c r="R23" s="13">
        <f>COUNTIF($AN23:$AQ23,"&lt;0")</f>
        <v>1</v>
      </c>
      <c r="S23" s="14">
        <f>COUNTIF($AN23:$AQ23,"=0")</f>
        <v>0</v>
      </c>
      <c r="T23" s="2">
        <f t="shared" si="4"/>
        <v>0</v>
      </c>
      <c r="U23" s="2"/>
      <c r="V23" s="2"/>
      <c r="W23" s="2"/>
      <c r="AF23" s="2" t="str">
        <f>IFERROR(IFERROR(VLOOKUP($C23&amp;" "&amp;AF$1,Results!$F:$H,3,FALSE),-VLOOKUP($C23&amp;" "&amp;AF$1,Results!$G:$H,2,FALSE)),"")</f>
        <v/>
      </c>
      <c r="AG23" s="2" t="str">
        <f>IFERROR(IFERROR(VLOOKUP($C23&amp;" "&amp;AG$1,Results!$F:$H,3,FALSE),-VLOOKUP($C23&amp;" "&amp;AG$1,Results!$G:$H,2,FALSE)),"")</f>
        <v/>
      </c>
      <c r="AH23" s="2" t="str">
        <f>IFERROR(IFERROR(VLOOKUP($C23&amp;" "&amp;AH$1,Results!$F:$H,3,FALSE),-VLOOKUP($C23&amp;" "&amp;AH$1,Results!$G:$H,2,FALSE)),"")</f>
        <v/>
      </c>
      <c r="AI23" s="2" t="str">
        <f>IFERROR(IFERROR(VLOOKUP($C23&amp;" "&amp;AI$1,Results!$F:$H,3,FALSE),-VLOOKUP($C23&amp;" "&amp;AI$1,Results!$G:$H,2,FALSE)),"")</f>
        <v/>
      </c>
      <c r="AJ23" s="2" t="str">
        <f>IFERROR(IFERROR(VLOOKUP($C23&amp;" "&amp;AJ$1,Results!$F:$H,3,FALSE),-VLOOKUP($C23&amp;" "&amp;AJ$1,Results!$G:$H,2,FALSE)),"")</f>
        <v/>
      </c>
      <c r="AK23" s="2" t="str">
        <f>IFERROR(IFERROR(VLOOKUP($C23&amp;" "&amp;AK$1,Results!$F:$H,3,FALSE),-VLOOKUP($C23&amp;" "&amp;AK$1,Results!$G:$H,2,FALSE)),"")</f>
        <v/>
      </c>
      <c r="AL23" s="2" t="str">
        <f>IFERROR(IFERROR(VLOOKUP($C23&amp;" "&amp;AL$1,Results!$F:$H,3,FALSE),-VLOOKUP($C23&amp;" "&amp;AL$1,Results!$G:$H,2,FALSE)),"")</f>
        <v/>
      </c>
      <c r="AM23" s="2" t="str">
        <f>IFERROR(IFERROR(VLOOKUP($C23&amp;" "&amp;AM$1,Results!$F:$H,3,FALSE),-VLOOKUP($C23&amp;" "&amp;AM$1,Results!$G:$H,2,FALSE)),"")</f>
        <v/>
      </c>
      <c r="AN23" s="52">
        <f>IFERROR(IFERROR(VLOOKUP($C23&amp;" "&amp;AN$1,Results!$F:$H,3,FALSE),-VLOOKUP($C23&amp;" "&amp;AN$1,Results!$G:$H,2,FALSE)),"")</f>
        <v>-66</v>
      </c>
      <c r="AO23" s="57">
        <f>IFERROR(IFERROR(VLOOKUP($C23&amp;" "&amp;AO$1,Results!$F:$H,3,FALSE),-VLOOKUP($C23&amp;" "&amp;AO$1,Results!$G:$H,2,FALSE)),"")</f>
        <v>50</v>
      </c>
      <c r="AP23" s="57">
        <f>IFERROR(IFERROR(VLOOKUP($C23&amp;" "&amp;AP$1,Results!$F:$H,3,FALSE),-VLOOKUP($C23&amp;" "&amp;AP$1,Results!$G:$H,2,FALSE)),"")</f>
        <v>19</v>
      </c>
      <c r="AQ23" s="58" t="str">
        <f>IFERROR(IFERROR(VLOOKUP($C23&amp;" "&amp;AQ$1,Results!$F:$H,3,FALSE),-VLOOKUP($C23&amp;" "&amp;AQ$1,Results!$G:$H,2,FALSE)),"")</f>
        <v/>
      </c>
      <c r="AR23" s="2">
        <f>IFERROR(IFERROR(VLOOKUP($C23&amp;" "&amp;AR$1,Results!$F:$H,3,FALSE),-VLOOKUP($C23&amp;" "&amp;AR$1,Results!$G:$H,2,FALSE)),"")</f>
        <v>142</v>
      </c>
      <c r="AS23" s="2">
        <f>IFERROR(IFERROR(VLOOKUP($C23&amp;" "&amp;AS$1,Results!$F:$H,3,FALSE),-VLOOKUP($C23&amp;" "&amp;AS$1,Results!$G:$H,2,FALSE)),"")</f>
        <v>28</v>
      </c>
      <c r="AT23" s="2">
        <f>IFERROR(IFERROR(VLOOKUP($C23&amp;" "&amp;AT$1,Results!$F:$H,3,FALSE),-VLOOKUP($C23&amp;" "&amp;AT$1,Results!$G:$H,2,FALSE)),"")</f>
        <v>265</v>
      </c>
      <c r="AU23" s="2" t="str">
        <f>IFERROR(IFERROR(VLOOKUP($C23&amp;" "&amp;AU$1,Results!$F:$H,3,FALSE),-VLOOKUP($C23&amp;" "&amp;AU$1,Results!$G:$H,2,FALSE)),"")</f>
        <v/>
      </c>
      <c r="AV23" s="19" t="str">
        <f>IFERROR(IFERROR(VLOOKUP($C23&amp;" "&amp;AV$1,Results!$F:$H,3,FALSE),-VLOOKUP($C23&amp;" "&amp;AV$1,Results!$G:$H,2,FALSE)),"")</f>
        <v/>
      </c>
      <c r="AW23" s="19" t="str">
        <f>IFERROR(IFERROR(VLOOKUP($C23&amp;" "&amp;AW$1,Results!$F:$H,3,FALSE),-VLOOKUP($C23&amp;" "&amp;AW$1,Results!$G:$H,2,FALSE)),"")</f>
        <v/>
      </c>
      <c r="AX23" s="19" t="str">
        <f>IFERROR(IFERROR(VLOOKUP($C23&amp;" "&amp;AX$1,Results!$F:$H,3,FALSE),-VLOOKUP($C23&amp;" "&amp;AX$1,Results!$G:$H,2,FALSE)),"")</f>
        <v/>
      </c>
      <c r="AY23" s="19" t="str">
        <f>IFERROR(IFERROR(VLOOKUP($C23&amp;" "&amp;AY$1,Results!$F:$H,3,FALSE),-VLOOKUP($C23&amp;" "&amp;AY$1,Results!$G:$H,2,FALSE)),"")</f>
        <v/>
      </c>
      <c r="AZ23" s="2" t="str">
        <f>IFERROR(IFERROR(VLOOKUP($C23&amp;" "&amp;AZ$1,Results!$F:$H,3,FALSE),-VLOOKUP($C23&amp;" "&amp;AZ$1,Results!$G:$H,2,FALSE)),"")</f>
        <v/>
      </c>
      <c r="BA23" s="2" t="str">
        <f>IFERROR(IFERROR(VLOOKUP($C23&amp;" "&amp;BA$1,Results!$F:$H,3,FALSE),-VLOOKUP($C23&amp;" "&amp;BA$1,Results!$G:$H,2,FALSE)),"")</f>
        <v/>
      </c>
      <c r="BB23" s="2" t="str">
        <f>IFERROR(IFERROR(VLOOKUP($C23&amp;" "&amp;BB$1,Results!$F:$H,3,FALSE),-VLOOKUP($C23&amp;" "&amp;BB$1,Results!$G:$H,2,FALSE)),"")</f>
        <v/>
      </c>
      <c r="BC23" s="2" t="str">
        <f>IFERROR(IFERROR(VLOOKUP($C23&amp;" "&amp;BC$1,Results!$F:$H,3,FALSE),-VLOOKUP($C23&amp;" "&amp;BC$1,Results!$G:$H,2,FALSE)),"")</f>
        <v/>
      </c>
      <c r="BG23" s="2"/>
      <c r="BH23" s="2"/>
      <c r="BI23" s="15"/>
      <c r="BJ23" s="15"/>
      <c r="BK23" s="15"/>
      <c r="BL23" s="15"/>
      <c r="BM23" s="15"/>
      <c r="BN23" s="15"/>
      <c r="BO23" s="15"/>
      <c r="BW23" s="82">
        <f t="shared" si="5"/>
        <v>438</v>
      </c>
      <c r="BX23" s="5">
        <f t="shared" si="11"/>
        <v>6</v>
      </c>
      <c r="BY23" s="5">
        <f t="shared" si="6"/>
        <v>0</v>
      </c>
      <c r="BZ23" s="5">
        <f t="shared" si="12"/>
        <v>6</v>
      </c>
      <c r="CA23" s="65">
        <f t="shared" si="7"/>
        <v>1</v>
      </c>
      <c r="CC23" s="8">
        <f t="shared" si="8"/>
        <v>438</v>
      </c>
      <c r="CE23" s="5">
        <v>29</v>
      </c>
      <c r="CF23" s="5">
        <f t="shared" si="9"/>
        <v>16</v>
      </c>
      <c r="CG23" s="5">
        <f t="shared" si="10"/>
        <v>13</v>
      </c>
    </row>
    <row r="24" spans="1:85">
      <c r="A24" s="5">
        <v>17</v>
      </c>
      <c r="B24" s="5">
        <v>21</v>
      </c>
      <c r="C24" s="154" t="s">
        <v>82</v>
      </c>
      <c r="D24" s="5"/>
      <c r="E24" s="5">
        <f>IF(AND(AR24&gt;0,$A24&lt;VLOOKUP(AR$1,$C:$L,10,FALSE)),1,IF(AND(AR24&lt;0,$A24&gt;VLOOKUP(AR$1,$C:$L,10,FALSE)),1,0))</f>
        <v>1</v>
      </c>
      <c r="F24" s="5">
        <f>IF(AND(AS24&gt;0,$A24&lt;VLOOKUP(AS$1,$C:$L,10,FALSE)),1,IF(AND(AS24&lt;0,$A24&gt;VLOOKUP(AS$1,$C:$L,10,FALSE)),1,0))</f>
        <v>1</v>
      </c>
      <c r="G24" s="5">
        <f>IF(AND(AT24&gt;0,$A24&lt;VLOOKUP(AT$1,$C:$L,10,FALSE)),1,IF(AND(AT24&lt;0,$A24&gt;VLOOKUP(AT$1,$C:$L,10,FALSE)),1,0))</f>
        <v>1</v>
      </c>
      <c r="H24" s="5">
        <f>IF(AND(AV24&gt;0,$A24&lt;VLOOKUP(AV$1,$C:$L,10,FALSE)),1,IF(AND(AV24&lt;0,$A24&gt;VLOOKUP(AV$1,$C:$L,10,FALSE)),1,0))</f>
        <v>1</v>
      </c>
      <c r="I24" s="5">
        <f>IF(AND(AW24&gt;0,$A24&lt;VLOOKUP(AW$1,$C:$L,10,FALSE)),1,IF(AND(AW24&lt;0,$A24&gt;VLOOKUP(AW$1,$C:$L,10,FALSE)),1,0))</f>
        <v>1</v>
      </c>
      <c r="J24" s="5">
        <f>IF(AND(AX24&gt;0,$A24&lt;VLOOKUP(AX$1,$C:$L,10,FALSE)),1,IF(AND(AX24&lt;0,$A24&gt;VLOOKUP(AX$1,$C:$L,10,FALSE)),1,0))</f>
        <v>1</v>
      </c>
      <c r="K24" s="79" t="s">
        <v>134</v>
      </c>
      <c r="L24" s="125">
        <f t="shared" si="0"/>
        <v>21</v>
      </c>
      <c r="M24" s="2">
        <v>6</v>
      </c>
      <c r="N24" s="11">
        <f t="shared" si="1"/>
        <v>5</v>
      </c>
      <c r="O24" s="2">
        <f t="shared" si="2"/>
        <v>1</v>
      </c>
      <c r="P24" s="2">
        <f t="shared" si="3"/>
        <v>0</v>
      </c>
      <c r="Q24" s="12">
        <f>COUNTIF($AR24:$AU24,"&gt;0")</f>
        <v>3</v>
      </c>
      <c r="R24" s="13">
        <f>COUNTIF($AR24:$AU24,"&lt;0")</f>
        <v>0</v>
      </c>
      <c r="S24" s="14">
        <f>COUNTIF($AR24:$AU24,"=0")</f>
        <v>0</v>
      </c>
      <c r="T24" s="2">
        <f t="shared" si="4"/>
        <v>0</v>
      </c>
      <c r="U24" s="2"/>
      <c r="V24" s="2"/>
      <c r="W24" s="2"/>
      <c r="AF24" s="2" t="str">
        <f>IFERROR(IFERROR(VLOOKUP($C24&amp;" "&amp;AF$1,Results!$F:$H,3,FALSE),-VLOOKUP($C24&amp;" "&amp;AF$1,Results!$G:$H,2,FALSE)),"")</f>
        <v/>
      </c>
      <c r="AG24" s="2" t="str">
        <f>IFERROR(IFERROR(VLOOKUP($C24&amp;" "&amp;AG$1,Results!$F:$H,3,FALSE),-VLOOKUP($C24&amp;" "&amp;AG$1,Results!$G:$H,2,FALSE)),"")</f>
        <v/>
      </c>
      <c r="AH24" s="2" t="str">
        <f>IFERROR(IFERROR(VLOOKUP($C24&amp;" "&amp;AH$1,Results!$F:$H,3,FALSE),-VLOOKUP($C24&amp;" "&amp;AH$1,Results!$G:$H,2,FALSE)),"")</f>
        <v/>
      </c>
      <c r="AI24" s="2" t="str">
        <f>IFERROR(IFERROR(VLOOKUP($C24&amp;" "&amp;AI$1,Results!$F:$H,3,FALSE),-VLOOKUP($C24&amp;" "&amp;AI$1,Results!$G:$H,2,FALSE)),"")</f>
        <v/>
      </c>
      <c r="AJ24" s="2" t="str">
        <f>IFERROR(IFERROR(VLOOKUP($C24&amp;" "&amp;AJ$1,Results!$F:$H,3,FALSE),-VLOOKUP($C24&amp;" "&amp;AJ$1,Results!$G:$H,2,FALSE)),"")</f>
        <v/>
      </c>
      <c r="AK24" s="2" t="str">
        <f>IFERROR(IFERROR(VLOOKUP($C24&amp;" "&amp;AK$1,Results!$F:$H,3,FALSE),-VLOOKUP($C24&amp;" "&amp;AK$1,Results!$G:$H,2,FALSE)),"")</f>
        <v/>
      </c>
      <c r="AL24" s="2" t="str">
        <f>IFERROR(IFERROR(VLOOKUP($C24&amp;" "&amp;AL$1,Results!$F:$H,3,FALSE),-VLOOKUP($C24&amp;" "&amp;AL$1,Results!$G:$H,2,FALSE)),"")</f>
        <v/>
      </c>
      <c r="AM24" s="2" t="str">
        <f>IFERROR(IFERROR(VLOOKUP($C24&amp;" "&amp;AM$1,Results!$F:$H,3,FALSE),-VLOOKUP($C24&amp;" "&amp;AM$1,Results!$G:$H,2,FALSE)),"")</f>
        <v/>
      </c>
      <c r="AN24" s="2" t="str">
        <f>IFERROR(IFERROR(VLOOKUP($C24&amp;" "&amp;AN$1,Results!$F:$H,3,FALSE),-VLOOKUP($C24&amp;" "&amp;AN$1,Results!$G:$H,2,FALSE)),"")</f>
        <v/>
      </c>
      <c r="AO24" s="2">
        <f>IFERROR(IFERROR(VLOOKUP($C24&amp;" "&amp;AO$1,Results!$F:$H,3,FALSE),-VLOOKUP($C24&amp;" "&amp;AO$1,Results!$G:$H,2,FALSE)),"")</f>
        <v>105</v>
      </c>
      <c r="AP24" s="2">
        <f>IFERROR(IFERROR(VLOOKUP($C24&amp;" "&amp;AP$1,Results!$F:$H,3,FALSE),-VLOOKUP($C24&amp;" "&amp;AP$1,Results!$G:$H,2,FALSE)),"")</f>
        <v>67</v>
      </c>
      <c r="AQ24" s="2">
        <f>IFERROR(IFERROR(VLOOKUP($C24&amp;" "&amp;AQ$1,Results!$F:$H,3,FALSE),-VLOOKUP($C24&amp;" "&amp;AQ$1,Results!$G:$H,2,FALSE)),"")</f>
        <v>-142</v>
      </c>
      <c r="AR24" s="18" t="str">
        <f>IFERROR(IFERROR(VLOOKUP($C24&amp;" "&amp;AR$1,Results!$F:$H,3,FALSE),-VLOOKUP($C24&amp;" "&amp;AR$1,Results!$G:$H,2,FALSE)),"")</f>
        <v/>
      </c>
      <c r="AS24" s="42">
        <f>IFERROR(IFERROR(VLOOKUP($C24&amp;" "&amp;AS$1,Results!$F:$H,3,FALSE),-VLOOKUP($C24&amp;" "&amp;AS$1,Results!$G:$H,2,FALSE)),"")</f>
        <v>93</v>
      </c>
      <c r="AT24" s="42">
        <f>IFERROR(IFERROR(VLOOKUP($C24&amp;" "&amp;AT$1,Results!$F:$H,3,FALSE),-VLOOKUP($C24&amp;" "&amp;AT$1,Results!$G:$H,2,FALSE)),"")</f>
        <v>125</v>
      </c>
      <c r="AU24" s="43">
        <f>IFERROR(IFERROR(VLOOKUP($C24&amp;" "&amp;AU$1,Results!$F:$H,3,FALSE),-VLOOKUP($C24&amp;" "&amp;AU$1,Results!$G:$H,2,FALSE)),"")</f>
        <v>189</v>
      </c>
      <c r="AV24" s="2" t="str">
        <f>IFERROR(IFERROR(VLOOKUP($C24&amp;" "&amp;AV$1,Results!$F:$H,3,FALSE),-VLOOKUP($C24&amp;" "&amp;AV$1,Results!$G:$H,2,FALSE)),"")</f>
        <v/>
      </c>
      <c r="AW24" s="2" t="str">
        <f>IFERROR(IFERROR(VLOOKUP($C24&amp;" "&amp;AW$1,Results!$F:$H,3,FALSE),-VLOOKUP($C24&amp;" "&amp;AW$1,Results!$G:$H,2,FALSE)),"")</f>
        <v/>
      </c>
      <c r="AX24" s="2" t="str">
        <f>IFERROR(IFERROR(VLOOKUP($C24&amp;" "&amp;AX$1,Results!$F:$H,3,FALSE),-VLOOKUP($C24&amp;" "&amp;AX$1,Results!$G:$H,2,FALSE)),"")</f>
        <v/>
      </c>
      <c r="AY24" s="2" t="str">
        <f>IFERROR(IFERROR(VLOOKUP($C24&amp;" "&amp;AY$1,Results!$F:$H,3,FALSE),-VLOOKUP($C24&amp;" "&amp;AY$1,Results!$G:$H,2,FALSE)),"")</f>
        <v/>
      </c>
      <c r="AZ24" s="2" t="str">
        <f>IFERROR(IFERROR(VLOOKUP($C24&amp;" "&amp;AZ$1,Results!$F:$H,3,FALSE),-VLOOKUP($C24&amp;" "&amp;AZ$1,Results!$G:$H,2,FALSE)),"")</f>
        <v/>
      </c>
      <c r="BA24" s="2" t="str">
        <f>IFERROR(IFERROR(VLOOKUP($C24&amp;" "&amp;BA$1,Results!$F:$H,3,FALSE),-VLOOKUP($C24&amp;" "&amp;BA$1,Results!$G:$H,2,FALSE)),"")</f>
        <v/>
      </c>
      <c r="BB24" s="2" t="str">
        <f>IFERROR(IFERROR(VLOOKUP($C24&amp;" "&amp;BB$1,Results!$F:$H,3,FALSE),-VLOOKUP($C24&amp;" "&amp;BB$1,Results!$G:$H,2,FALSE)),"")</f>
        <v/>
      </c>
      <c r="BC24" s="2" t="str">
        <f>IFERROR(IFERROR(VLOOKUP($C24&amp;" "&amp;BC$1,Results!$F:$H,3,FALSE),-VLOOKUP($C24&amp;" "&amp;BC$1,Results!$G:$H,2,FALSE)),"")</f>
        <v/>
      </c>
      <c r="BG24" s="2"/>
      <c r="BH24" s="2"/>
      <c r="BI24" s="15"/>
      <c r="BJ24" s="15"/>
      <c r="BK24" s="15"/>
      <c r="BL24" s="15"/>
      <c r="BM24" s="15"/>
      <c r="BN24" s="15"/>
      <c r="BO24" s="15"/>
      <c r="BW24" s="82">
        <f t="shared" si="5"/>
        <v>437</v>
      </c>
      <c r="BX24" s="5">
        <f t="shared" si="11"/>
        <v>6</v>
      </c>
      <c r="BY24" s="5">
        <f t="shared" si="6"/>
        <v>0</v>
      </c>
      <c r="BZ24" s="5">
        <f t="shared" si="12"/>
        <v>6</v>
      </c>
      <c r="CA24" s="65">
        <f t="shared" si="7"/>
        <v>1</v>
      </c>
      <c r="CC24" s="8">
        <f t="shared" si="8"/>
        <v>437</v>
      </c>
      <c r="CE24" s="5">
        <v>20</v>
      </c>
      <c r="CF24" s="5">
        <f t="shared" si="9"/>
        <v>17</v>
      </c>
      <c r="CG24" s="5">
        <f t="shared" si="10"/>
        <v>3</v>
      </c>
    </row>
    <row r="25" spans="1:85">
      <c r="A25" s="5">
        <v>23</v>
      </c>
      <c r="B25" s="5">
        <v>22</v>
      </c>
      <c r="C25" s="10" t="s">
        <v>27</v>
      </c>
      <c r="D25" s="5"/>
      <c r="E25" s="5">
        <f>IF(AND(AP25&gt;0,$A25&lt;VLOOKUP(AP$1,$C:$L,10,FALSE)),1,IF(AND(AP25&lt;0,$A25&gt;VLOOKUP(AP$1,$C:$L,10,FALSE)),1,0))</f>
        <v>1</v>
      </c>
      <c r="F25" s="5">
        <f>IF(AND(AQ25&gt;0,$A25&lt;VLOOKUP(AQ$1,$C:$L,10,FALSE)),1,IF(AND(AQ25&lt;0,$A25&gt;VLOOKUP(AQ$1,$C:$L,10,FALSE)),1,0))</f>
        <v>1</v>
      </c>
      <c r="G25" s="5">
        <f>IF(AND(AR25&gt;0,$A25&lt;VLOOKUP(AR$1,$C:$L,10,FALSE)),1,IF(AND(AR25&lt;0,$A25&gt;VLOOKUP(AR$1,$C:$L,10,FALSE)),1,0))</f>
        <v>1</v>
      </c>
      <c r="H25" s="5">
        <f>IF(AND(AT25&gt;0,$A25&lt;VLOOKUP(AT$1,$C:$L,10,FALSE)),1,IF(AND(AT25&lt;0,$A25&gt;VLOOKUP(AT$1,$C:$L,10,FALSE)),1,0))</f>
        <v>0</v>
      </c>
      <c r="I25" s="5">
        <f>IF(AND(AU25&gt;0,$A25&lt;VLOOKUP(AU$1,$C:$L,10,FALSE)),1,IF(AND(AU25&lt;0,$A25&gt;VLOOKUP(AU$1,$C:$L,10,FALSE)),1,0))</f>
        <v>1</v>
      </c>
      <c r="J25" s="5">
        <f>IF(AND(AV25&gt;0,$A25&lt;VLOOKUP(AV$1,$C:$L,10,FALSE)),1,IF(AND(AV25&lt;0,$A25&gt;VLOOKUP(AV$1,$C:$L,10,FALSE)),1,0))</f>
        <v>0</v>
      </c>
      <c r="K25" s="79" t="s">
        <v>134</v>
      </c>
      <c r="L25" s="125">
        <f t="shared" si="0"/>
        <v>22</v>
      </c>
      <c r="M25" s="2">
        <v>6</v>
      </c>
      <c r="N25" s="11">
        <f t="shared" si="1"/>
        <v>2</v>
      </c>
      <c r="O25" s="2">
        <f t="shared" si="2"/>
        <v>4</v>
      </c>
      <c r="P25" s="2">
        <f t="shared" si="3"/>
        <v>0</v>
      </c>
      <c r="Q25" s="12">
        <f>COUNTIF($AR25:$AU25,"&gt;0")</f>
        <v>2</v>
      </c>
      <c r="R25" s="13">
        <f>COUNTIF($AR25:$AU25,"&lt;0")</f>
        <v>1</v>
      </c>
      <c r="S25" s="14">
        <f>COUNTIF($AR25:$AU25,"=0")</f>
        <v>0</v>
      </c>
      <c r="T25" s="2">
        <f t="shared" si="4"/>
        <v>0</v>
      </c>
      <c r="U25" s="2"/>
      <c r="V25" s="2"/>
      <c r="W25" s="2"/>
      <c r="AF25" s="2" t="str">
        <f>IFERROR(IFERROR(VLOOKUP($C25&amp;" "&amp;AF$1,Results!$F:$H,3,FALSE),-VLOOKUP($C25&amp;" "&amp;AF$1,Results!$G:$H,2,FALSE)),"")</f>
        <v/>
      </c>
      <c r="AG25" s="2" t="str">
        <f>IFERROR(IFERROR(VLOOKUP($C25&amp;" "&amp;AG$1,Results!$F:$H,3,FALSE),-VLOOKUP($C25&amp;" "&amp;AG$1,Results!$G:$H,2,FALSE)),"")</f>
        <v/>
      </c>
      <c r="AH25" s="2" t="str">
        <f>IFERROR(IFERROR(VLOOKUP($C25&amp;" "&amp;AH$1,Results!$F:$H,3,FALSE),-VLOOKUP($C25&amp;" "&amp;AH$1,Results!$G:$H,2,FALSE)),"")</f>
        <v/>
      </c>
      <c r="AI25" s="2" t="str">
        <f>IFERROR(IFERROR(VLOOKUP($C25&amp;" "&amp;AI$1,Results!$F:$H,3,FALSE),-VLOOKUP($C25&amp;" "&amp;AI$1,Results!$G:$H,2,FALSE)),"")</f>
        <v/>
      </c>
      <c r="AJ25" s="2" t="str">
        <f>IFERROR(IFERROR(VLOOKUP($C25&amp;" "&amp;AJ$1,Results!$F:$H,3,FALSE),-VLOOKUP($C25&amp;" "&amp;AJ$1,Results!$G:$H,2,FALSE)),"")</f>
        <v/>
      </c>
      <c r="AK25" s="2" t="str">
        <f>IFERROR(IFERROR(VLOOKUP($C25&amp;" "&amp;AK$1,Results!$F:$H,3,FALSE),-VLOOKUP($C25&amp;" "&amp;AK$1,Results!$G:$H,2,FALSE)),"")</f>
        <v/>
      </c>
      <c r="AL25" s="2" t="str">
        <f>IFERROR(IFERROR(VLOOKUP($C25&amp;" "&amp;AL$1,Results!$F:$H,3,FALSE),-VLOOKUP($C25&amp;" "&amp;AL$1,Results!$G:$H,2,FALSE)),"")</f>
        <v/>
      </c>
      <c r="AM25" s="2" t="str">
        <f>IFERROR(IFERROR(VLOOKUP($C25&amp;" "&amp;AM$1,Results!$F:$H,3,FALSE),-VLOOKUP($C25&amp;" "&amp;AM$1,Results!$G:$H,2,FALSE)),"")</f>
        <v/>
      </c>
      <c r="AN25" s="2" t="str">
        <f>IFERROR(IFERROR(VLOOKUP($C25&amp;" "&amp;AN$1,Results!$F:$H,3,FALSE),-VLOOKUP($C25&amp;" "&amp;AN$1,Results!$G:$H,2,FALSE)),"")</f>
        <v/>
      </c>
      <c r="AO25" s="2" t="str">
        <f>IFERROR(IFERROR(VLOOKUP($C25&amp;" "&amp;AO$1,Results!$F:$H,3,FALSE),-VLOOKUP($C25&amp;" "&amp;AO$1,Results!$G:$H,2,FALSE)),"")</f>
        <v/>
      </c>
      <c r="AP25" s="2">
        <f>IFERROR(IFERROR(VLOOKUP($C25&amp;" "&amp;AP$1,Results!$F:$H,3,FALSE),-VLOOKUP($C25&amp;" "&amp;AP$1,Results!$G:$H,2,FALSE)),"")</f>
        <v>-88</v>
      </c>
      <c r="AQ25" s="2">
        <f>IFERROR(IFERROR(VLOOKUP($C25&amp;" "&amp;AQ$1,Results!$F:$H,3,FALSE),-VLOOKUP($C25&amp;" "&amp;AQ$1,Results!$G:$H,2,FALSE)),"")</f>
        <v>-28</v>
      </c>
      <c r="AR25" s="44">
        <f>IFERROR(IFERROR(VLOOKUP($C25&amp;" "&amp;AR$1,Results!$F:$H,3,FALSE),-VLOOKUP($C25&amp;" "&amp;AR$1,Results!$G:$H,2,FALSE)),"")</f>
        <v>-93</v>
      </c>
      <c r="AS25" s="19" t="str">
        <f>IFERROR(IFERROR(VLOOKUP($C25&amp;" "&amp;AS$1,Results!$F:$H,3,FALSE),-VLOOKUP($C25&amp;" "&amp;AS$1,Results!$G:$H,2,FALSE)),"")</f>
        <v/>
      </c>
      <c r="AT25" s="19">
        <f>IFERROR(IFERROR(VLOOKUP($C25&amp;" "&amp;AT$1,Results!$F:$H,3,FALSE),-VLOOKUP($C25&amp;" "&amp;AT$1,Results!$G:$H,2,FALSE)),"")</f>
        <v>24</v>
      </c>
      <c r="AU25" s="45">
        <f>IFERROR(IFERROR(VLOOKUP($C25&amp;" "&amp;AU$1,Results!$F:$H,3,FALSE),-VLOOKUP($C25&amp;" "&amp;AU$1,Results!$G:$H,2,FALSE)),"")</f>
        <v>31</v>
      </c>
      <c r="AV25" s="2">
        <f>IFERROR(IFERROR(VLOOKUP($C25&amp;" "&amp;AV$1,Results!$F:$H,3,FALSE),-VLOOKUP($C25&amp;" "&amp;AV$1,Results!$G:$H,2,FALSE)),"")</f>
        <v>-47</v>
      </c>
      <c r="AW25" s="2" t="str">
        <f>IFERROR(IFERROR(VLOOKUP($C25&amp;" "&amp;AW$1,Results!$F:$H,3,FALSE),-VLOOKUP($C25&amp;" "&amp;AW$1,Results!$G:$H,2,FALSE)),"")</f>
        <v/>
      </c>
      <c r="AX25" s="2" t="str">
        <f>IFERROR(IFERROR(VLOOKUP($C25&amp;" "&amp;AX$1,Results!$F:$H,3,FALSE),-VLOOKUP($C25&amp;" "&amp;AX$1,Results!$G:$H,2,FALSE)),"")</f>
        <v/>
      </c>
      <c r="AY25" s="2" t="str">
        <f>IFERROR(IFERROR(VLOOKUP($C25&amp;" "&amp;AY$1,Results!$F:$H,3,FALSE),-VLOOKUP($C25&amp;" "&amp;AY$1,Results!$G:$H,2,FALSE)),"")</f>
        <v/>
      </c>
      <c r="AZ25" s="2" t="str">
        <f>IFERROR(IFERROR(VLOOKUP($C25&amp;" "&amp;AZ$1,Results!$F:$H,3,FALSE),-VLOOKUP($C25&amp;" "&amp;AZ$1,Results!$G:$H,2,FALSE)),"")</f>
        <v/>
      </c>
      <c r="BA25" s="2" t="str">
        <f>IFERROR(IFERROR(VLOOKUP($C25&amp;" "&amp;BA$1,Results!$F:$H,3,FALSE),-VLOOKUP($C25&amp;" "&amp;BA$1,Results!$G:$H,2,FALSE)),"")</f>
        <v/>
      </c>
      <c r="BB25" s="2" t="str">
        <f>IFERROR(IFERROR(VLOOKUP($C25&amp;" "&amp;BB$1,Results!$F:$H,3,FALSE),-VLOOKUP($C25&amp;" "&amp;BB$1,Results!$G:$H,2,FALSE)),"")</f>
        <v/>
      </c>
      <c r="BC25" s="2" t="str">
        <f>IFERROR(IFERROR(VLOOKUP($C25&amp;" "&amp;BC$1,Results!$F:$H,3,FALSE),-VLOOKUP($C25&amp;" "&amp;BC$1,Results!$G:$H,2,FALSE)),"")</f>
        <v/>
      </c>
      <c r="BG25" s="2"/>
      <c r="BH25" s="2"/>
      <c r="BI25" s="15"/>
      <c r="BJ25" s="15"/>
      <c r="BK25" s="15"/>
      <c r="BL25" s="15"/>
      <c r="BM25" s="15"/>
      <c r="BN25" s="15"/>
      <c r="BO25" s="15"/>
      <c r="BW25" s="82">
        <f t="shared" si="5"/>
        <v>-201</v>
      </c>
      <c r="BX25" s="5">
        <f t="shared" si="11"/>
        <v>4</v>
      </c>
      <c r="BY25" s="5">
        <f t="shared" si="6"/>
        <v>2</v>
      </c>
      <c r="BZ25" s="5">
        <f t="shared" si="12"/>
        <v>6</v>
      </c>
      <c r="CA25" s="65">
        <f t="shared" si="7"/>
        <v>0.66666666666666663</v>
      </c>
      <c r="CC25" s="8">
        <f t="shared" si="8"/>
        <v>-201</v>
      </c>
      <c r="CE25" s="5">
        <v>25</v>
      </c>
      <c r="CF25" s="5">
        <f t="shared" si="9"/>
        <v>23</v>
      </c>
      <c r="CG25" s="5">
        <f t="shared" si="10"/>
        <v>2</v>
      </c>
    </row>
    <row r="26" spans="1:85">
      <c r="A26" s="5">
        <v>27</v>
      </c>
      <c r="B26" s="5">
        <v>23</v>
      </c>
      <c r="C26" s="10" t="s">
        <v>26</v>
      </c>
      <c r="D26" s="5"/>
      <c r="E26" s="5">
        <f>IF(AND(AK26&gt;0,$A26&lt;VLOOKUP(AK$1,$C:$L,10,FALSE)),1,IF(AND(AK26&lt;0,$A26&gt;VLOOKUP(AK$1,$C:$L,10,FALSE)),1,0))</f>
        <v>0</v>
      </c>
      <c r="F26" s="5">
        <f>IF(AND(AL26&gt;0,$A26&lt;VLOOKUP(AL$1,$C:$L,10,FALSE)),1,IF(AND(AL26&lt;0,$A26&gt;VLOOKUP(AL$1,$C:$L,10,FALSE)),1,0))</f>
        <v>0</v>
      </c>
      <c r="G26" s="5">
        <f>IF(AND(AM26&gt;0,$A26&lt;VLOOKUP(AM$1,$C:$L,10,FALSE)),1,IF(AND(AM26&lt;0,$A26&gt;VLOOKUP(AM$1,$C:$L,10,FALSE)),1,0))</f>
        <v>0</v>
      </c>
      <c r="H26" s="5">
        <f>IF(AND(AO26&gt;0,$A26&lt;VLOOKUP(AO$1,$C:$L,10,FALSE)),1,IF(AND(AO26&lt;0,$A26&gt;VLOOKUP(AO$1,$C:$L,10,FALSE)),1,0))</f>
        <v>0</v>
      </c>
      <c r="I26" s="5">
        <f>IF(AND(AP26&gt;0,$A26&lt;VLOOKUP(AP$1,$C:$L,10,FALSE)),1,IF(AND(AP26&lt;0,$A26&gt;VLOOKUP(AP$1,$C:$L,10,FALSE)),1,0))</f>
        <v>0</v>
      </c>
      <c r="J26" s="5">
        <f>IF(AND(AQ26&gt;0,$A26&lt;VLOOKUP(AQ$1,$C:$L,10,FALSE)),1,IF(AND(AQ26&lt;0,$A26&gt;VLOOKUP(AQ$1,$C:$L,10,FALSE)),1,0))</f>
        <v>1</v>
      </c>
      <c r="K26" s="79" t="s">
        <v>134</v>
      </c>
      <c r="L26" s="125">
        <f t="shared" si="0"/>
        <v>23</v>
      </c>
      <c r="M26" s="2">
        <v>6</v>
      </c>
      <c r="N26" s="11">
        <f t="shared" si="1"/>
        <v>1</v>
      </c>
      <c r="O26" s="2">
        <f t="shared" si="2"/>
        <v>5</v>
      </c>
      <c r="P26" s="2">
        <f t="shared" si="3"/>
        <v>0</v>
      </c>
      <c r="Q26" s="12">
        <f>COUNTIF($AR26:$AU26,"&gt;0")</f>
        <v>1</v>
      </c>
      <c r="R26" s="13">
        <f>COUNTIF($AR26:$AU26,"&lt;0")</f>
        <v>2</v>
      </c>
      <c r="S26" s="14">
        <f>COUNTIF($AR26:$AU26,"=0")</f>
        <v>0</v>
      </c>
      <c r="T26" s="2">
        <f t="shared" si="4"/>
        <v>0</v>
      </c>
      <c r="U26" s="2"/>
      <c r="V26" s="2"/>
      <c r="W26" s="2"/>
      <c r="AF26" s="2" t="str">
        <f>IFERROR(IFERROR(VLOOKUP($C26&amp;" "&amp;AF$1,Results!$F:$H,3,FALSE),-VLOOKUP($C26&amp;" "&amp;AF$1,Results!$G:$H,2,FALSE)),"")</f>
        <v/>
      </c>
      <c r="AG26" s="2" t="str">
        <f>IFERROR(IFERROR(VLOOKUP($C26&amp;" "&amp;AG$1,Results!$F:$H,3,FALSE),-VLOOKUP($C26&amp;" "&amp;AG$1,Results!$G:$H,2,FALSE)),"")</f>
        <v/>
      </c>
      <c r="AH26" s="2" t="str">
        <f>IFERROR(IFERROR(VLOOKUP($C26&amp;" "&amp;AH$1,Results!$F:$H,3,FALSE),-VLOOKUP($C26&amp;" "&amp;AH$1,Results!$G:$H,2,FALSE)),"")</f>
        <v/>
      </c>
      <c r="AI26" s="2" t="str">
        <f>IFERROR(IFERROR(VLOOKUP($C26&amp;" "&amp;AI$1,Results!$F:$H,3,FALSE),-VLOOKUP($C26&amp;" "&amp;AI$1,Results!$G:$H,2,FALSE)),"")</f>
        <v/>
      </c>
      <c r="AJ26" s="2" t="str">
        <f>IFERROR(IFERROR(VLOOKUP($C26&amp;" "&amp;AJ$1,Results!$F:$H,3,FALSE),-VLOOKUP($C26&amp;" "&amp;AJ$1,Results!$G:$H,2,FALSE)),"")</f>
        <v/>
      </c>
      <c r="AK26" s="2" t="str">
        <f>IFERROR(IFERROR(VLOOKUP($C26&amp;" "&amp;AK$1,Results!$F:$H,3,FALSE),-VLOOKUP($C26&amp;" "&amp;AK$1,Results!$G:$H,2,FALSE)),"")</f>
        <v/>
      </c>
      <c r="AL26" s="2" t="str">
        <f>IFERROR(IFERROR(VLOOKUP($C26&amp;" "&amp;AL$1,Results!$F:$H,3,FALSE),-VLOOKUP($C26&amp;" "&amp;AL$1,Results!$G:$H,2,FALSE)),"")</f>
        <v/>
      </c>
      <c r="AM26" s="2" t="str">
        <f>IFERROR(IFERROR(VLOOKUP($C26&amp;" "&amp;AM$1,Results!$F:$H,3,FALSE),-VLOOKUP($C26&amp;" "&amp;AM$1,Results!$G:$H,2,FALSE)),"")</f>
        <v/>
      </c>
      <c r="AN26" s="19" t="str">
        <f>IFERROR(IFERROR(VLOOKUP($C26&amp;" "&amp;AN$1,Results!$F:$H,3,FALSE),-VLOOKUP($C26&amp;" "&amp;AN$1,Results!$G:$H,2,FALSE)),"")</f>
        <v/>
      </c>
      <c r="AO26" s="19" t="str">
        <f>IFERROR(IFERROR(VLOOKUP($C26&amp;" "&amp;AO$1,Results!$F:$H,3,FALSE),-VLOOKUP($C26&amp;" "&amp;AO$1,Results!$G:$H,2,FALSE)),"")</f>
        <v/>
      </c>
      <c r="AP26" s="19" t="str">
        <f>IFERROR(IFERROR(VLOOKUP($C26&amp;" "&amp;AP$1,Results!$F:$H,3,FALSE),-VLOOKUP($C26&amp;" "&amp;AP$1,Results!$G:$H,2,FALSE)),"")</f>
        <v/>
      </c>
      <c r="AQ26" s="19">
        <f>IFERROR(IFERROR(VLOOKUP($C26&amp;" "&amp;AQ$1,Results!$F:$H,3,FALSE),-VLOOKUP($C26&amp;" "&amp;AQ$1,Results!$G:$H,2,FALSE)),"")</f>
        <v>-265</v>
      </c>
      <c r="AR26" s="51">
        <f>IFERROR(IFERROR(VLOOKUP($C26&amp;" "&amp;AR$1,Results!$F:$H,3,FALSE),-VLOOKUP($C26&amp;" "&amp;AR$1,Results!$G:$H,2,FALSE)),"")</f>
        <v>-125</v>
      </c>
      <c r="AS26" s="2">
        <f>IFERROR(IFERROR(VLOOKUP($C26&amp;" "&amp;AS$1,Results!$F:$H,3,FALSE),-VLOOKUP($C26&amp;" "&amp;AS$1,Results!$G:$H,2,FALSE)),"")</f>
        <v>-24</v>
      </c>
      <c r="AT26" s="2" t="str">
        <f>IFERROR(IFERROR(VLOOKUP($C26&amp;" "&amp;AT$1,Results!$F:$H,3,FALSE),-VLOOKUP($C26&amp;" "&amp;AT$1,Results!$G:$H,2,FALSE)),"")</f>
        <v/>
      </c>
      <c r="AU26" s="56">
        <f>IFERROR(IFERROR(VLOOKUP($C26&amp;" "&amp;AU$1,Results!$F:$H,3,FALSE),-VLOOKUP($C26&amp;" "&amp;AU$1,Results!$G:$H,2,FALSE)),"")</f>
        <v>13</v>
      </c>
      <c r="AV26" s="2">
        <f>IFERROR(IFERROR(VLOOKUP($C26&amp;" "&amp;AV$1,Results!$F:$H,3,FALSE),-VLOOKUP($C26&amp;" "&amp;AV$1,Results!$G:$H,2,FALSE)),"")</f>
        <v>-68</v>
      </c>
      <c r="AW26" s="2">
        <f>IFERROR(IFERROR(VLOOKUP($C26&amp;" "&amp;AW$1,Results!$F:$H,3,FALSE),-VLOOKUP($C26&amp;" "&amp;AW$1,Results!$G:$H,2,FALSE)),"")</f>
        <v>-169</v>
      </c>
      <c r="AX26" s="2" t="str">
        <f>IFERROR(IFERROR(VLOOKUP($C26&amp;" "&amp;AX$1,Results!$F:$H,3,FALSE),-VLOOKUP($C26&amp;" "&amp;AX$1,Results!$G:$H,2,FALSE)),"")</f>
        <v/>
      </c>
      <c r="AY26" s="2" t="str">
        <f>IFERROR(IFERROR(VLOOKUP($C26&amp;" "&amp;AY$1,Results!$F:$H,3,FALSE),-VLOOKUP($C26&amp;" "&amp;AY$1,Results!$G:$H,2,FALSE)),"")</f>
        <v/>
      </c>
      <c r="AZ26" s="2" t="str">
        <f>IFERROR(IFERROR(VLOOKUP($C26&amp;" "&amp;AZ$1,Results!$F:$H,3,FALSE),-VLOOKUP($C26&amp;" "&amp;AZ$1,Results!$G:$H,2,FALSE)),"")</f>
        <v/>
      </c>
      <c r="BA26" s="2" t="str">
        <f>IFERROR(IFERROR(VLOOKUP($C26&amp;" "&amp;BA$1,Results!$F:$H,3,FALSE),-VLOOKUP($C26&amp;" "&amp;BA$1,Results!$G:$H,2,FALSE)),"")</f>
        <v/>
      </c>
      <c r="BB26" s="2" t="str">
        <f>IFERROR(IFERROR(VLOOKUP($C26&amp;" "&amp;BB$1,Results!$F:$H,3,FALSE),-VLOOKUP($C26&amp;" "&amp;BB$1,Results!$G:$H,2,FALSE)),"")</f>
        <v/>
      </c>
      <c r="BC26" s="2" t="str">
        <f>IFERROR(IFERROR(VLOOKUP($C26&amp;" "&amp;BC$1,Results!$F:$H,3,FALSE),-VLOOKUP($C26&amp;" "&amp;BC$1,Results!$G:$H,2,FALSE)),"")</f>
        <v/>
      </c>
      <c r="BG26" s="2"/>
      <c r="BH26" s="2"/>
      <c r="BI26" s="15"/>
      <c r="BJ26" s="15"/>
      <c r="BK26" s="15"/>
      <c r="BL26" s="15"/>
      <c r="BM26" s="15"/>
      <c r="BN26" s="15"/>
      <c r="BO26" s="15"/>
      <c r="BW26" s="82">
        <f t="shared" si="5"/>
        <v>-638</v>
      </c>
      <c r="BX26" s="5">
        <f t="shared" si="11"/>
        <v>1</v>
      </c>
      <c r="BY26" s="5">
        <f t="shared" si="6"/>
        <v>5</v>
      </c>
      <c r="BZ26" s="5">
        <f t="shared" si="12"/>
        <v>6</v>
      </c>
      <c r="CA26" s="65">
        <f t="shared" si="7"/>
        <v>0.16666666666666666</v>
      </c>
      <c r="CC26" s="8">
        <f t="shared" si="8"/>
        <v>-638</v>
      </c>
      <c r="CE26" s="5">
        <v>15</v>
      </c>
      <c r="CF26" s="5">
        <f t="shared" si="9"/>
        <v>27</v>
      </c>
      <c r="CG26" s="5">
        <f t="shared" si="10"/>
        <v>-12</v>
      </c>
    </row>
    <row r="27" spans="1:85" ht="13.5" thickBot="1">
      <c r="A27" s="5">
        <v>25</v>
      </c>
      <c r="B27" s="5">
        <v>24</v>
      </c>
      <c r="C27" s="158" t="s">
        <v>35</v>
      </c>
      <c r="D27" s="5"/>
      <c r="E27" s="5">
        <f>IF(AND(AW27&gt;0,$A27&lt;VLOOKUP(AW$1,$C:$L,10,FALSE)),1,IF(AND(AW27&lt;0,$A27&gt;VLOOKUP(AW$1,$C:$L,10,FALSE)),1,0))</f>
        <v>1</v>
      </c>
      <c r="F27" s="5">
        <f>IF(AND(AX27&gt;0,$A27&lt;VLOOKUP(AX$1,$C:$L,10,FALSE)),1,IF(AND(AX27&lt;0,$A27&gt;VLOOKUP(AX$1,$C:$L,10,FALSE)),1,0))</f>
        <v>0</v>
      </c>
      <c r="G27" s="5">
        <f>IF(AND(AY27&gt;0,$A27&lt;VLOOKUP(AY$1,$C:$L,10,FALSE)),1,IF(AND(AY27&lt;0,$A27&gt;VLOOKUP(AY$1,$C:$L,10,FALSE)),1,0))</f>
        <v>1</v>
      </c>
      <c r="H27" s="5">
        <f>IF(AND(BA27&gt;0,$A27&lt;VLOOKUP(BA$1,$C:$L,10,FALSE)),1,IF(AND(BA27&lt;0,$A27&gt;VLOOKUP(BA$1,$C:$L,10,FALSE)),1,0))</f>
        <v>1</v>
      </c>
      <c r="I27" s="5">
        <f>IF(AND(BB27&gt;0,$A27&lt;VLOOKUP(BB$1,$C:$L,10,FALSE)),1,IF(AND(BB27&lt;0,$A27&gt;VLOOKUP(BB$1,$C:$L,10,FALSE)),1,0))</f>
        <v>1</v>
      </c>
      <c r="J27" s="5">
        <f>IF(AND(BC27&gt;0,$A27&lt;VLOOKUP(BC$1,$C:$L,10,FALSE)),1,IF(AND(BC27&lt;0,$A27&gt;VLOOKUP(BC$1,$C:$L,10,FALSE)),1,0))</f>
        <v>1</v>
      </c>
      <c r="K27" s="79" t="s">
        <v>134</v>
      </c>
      <c r="L27" s="125">
        <f t="shared" si="0"/>
        <v>24</v>
      </c>
      <c r="M27" s="76">
        <v>6</v>
      </c>
      <c r="N27" s="11">
        <f t="shared" si="1"/>
        <v>2</v>
      </c>
      <c r="O27" s="2">
        <f t="shared" si="2"/>
        <v>4</v>
      </c>
      <c r="P27" s="2">
        <f t="shared" si="3"/>
        <v>0</v>
      </c>
      <c r="Q27" s="12">
        <f>COUNTIF($AR27:$AU27,"&gt;0")</f>
        <v>0</v>
      </c>
      <c r="R27" s="13">
        <f>COUNTIF($AR27:$AU27,"&lt;0")</f>
        <v>3</v>
      </c>
      <c r="S27" s="14">
        <f>COUNTIF($AR27:$AU27,"=0")</f>
        <v>0</v>
      </c>
      <c r="T27" s="2">
        <f t="shared" si="4"/>
        <v>0</v>
      </c>
      <c r="U27" s="2"/>
      <c r="V27" s="2"/>
      <c r="W27" s="2"/>
      <c r="AR27" s="52">
        <f>IFERROR(IFERROR(VLOOKUP($C27&amp;" "&amp;AR$1,Results!$F:$H,3,FALSE),-VLOOKUP($C27&amp;" "&amp;AR$1,Results!$G:$H,2,FALSE)),"")</f>
        <v>-189</v>
      </c>
      <c r="AS27" s="57">
        <f>IFERROR(IFERROR(VLOOKUP($C27&amp;" "&amp;AS$1,Results!$F:$H,3,FALSE),-VLOOKUP($C27&amp;" "&amp;AS$1,Results!$G:$H,2,FALSE)),"")</f>
        <v>-31</v>
      </c>
      <c r="AT27" s="57">
        <f>IFERROR(IFERROR(VLOOKUP($C27&amp;" "&amp;AT$1,Results!$F:$H,3,FALSE),-VLOOKUP($C27&amp;" "&amp;AT$1,Results!$G:$H,2,FALSE)),"")</f>
        <v>-13</v>
      </c>
      <c r="AU27" s="58" t="str">
        <f>IFERROR(IFERROR(VLOOKUP($C27&amp;" "&amp;AU$1,Results!$F:$H,3,FALSE),-VLOOKUP($C27&amp;" "&amp;AU$1,Results!$G:$H,2,FALSE)),"")</f>
        <v/>
      </c>
      <c r="AV27" s="2">
        <f>IFERROR(IFERROR(VLOOKUP($C27&amp;" "&amp;AV$1,Results!$F:$H,3,FALSE),-VLOOKUP($C27&amp;" "&amp;AV$1,Results!$G:$H,2,FALSE)),"")</f>
        <v>4</v>
      </c>
      <c r="AW27" s="2">
        <f>IFERROR(IFERROR(VLOOKUP($C27&amp;" "&amp;AW$1,Results!$F:$H,3,FALSE),-VLOOKUP($C27&amp;" "&amp;AW$1,Results!$G:$H,2,FALSE)),"")</f>
        <v>10</v>
      </c>
      <c r="AX27" s="2">
        <f>IFERROR(IFERROR(VLOOKUP($C27&amp;" "&amp;AX$1,Results!$F:$H,3,FALSE),-VLOOKUP($C27&amp;" "&amp;AX$1,Results!$G:$H,2,FALSE)),"")</f>
        <v>-30</v>
      </c>
      <c r="AY27" s="2" t="str">
        <f>IFERROR(IFERROR(VLOOKUP($C27&amp;" "&amp;AY$1,Results!$F:$H,3,FALSE),-VLOOKUP($C27&amp;" "&amp;AY$1,Results!$G:$H,2,FALSE)),"")</f>
        <v/>
      </c>
      <c r="AZ27" s="19" t="str">
        <f>IFERROR(IFERROR(VLOOKUP($C27&amp;" "&amp;AZ$1,Results!$F:$H,3,FALSE),-VLOOKUP($C27&amp;" "&amp;AZ$1,Results!$G:$H,2,FALSE)),"")</f>
        <v/>
      </c>
      <c r="BA27" s="19" t="str">
        <f>IFERROR(IFERROR(VLOOKUP($C27&amp;" "&amp;BA$1,Results!$F:$H,3,FALSE),-VLOOKUP($C27&amp;" "&amp;BA$1,Results!$G:$H,2,FALSE)),"")</f>
        <v/>
      </c>
      <c r="BB27" s="19" t="str">
        <f>IFERROR(IFERROR(VLOOKUP($C27&amp;" "&amp;BB$1,Results!$F:$H,3,FALSE),-VLOOKUP($C27&amp;" "&amp;BB$1,Results!$G:$H,2,FALSE)),"")</f>
        <v/>
      </c>
      <c r="BC27" s="19" t="str">
        <f>IFERROR(IFERROR(VLOOKUP($C27&amp;" "&amp;BC$1,Results!$F:$H,3,FALSE),-VLOOKUP($C27&amp;" "&amp;BC$1,Results!$G:$H,2,FALSE)),"")</f>
        <v/>
      </c>
      <c r="BD27" s="2" t="str">
        <f>IFERROR(IFERROR(VLOOKUP($C27&amp;" "&amp;BD$1,Results!$F:$H,3,FALSE),-VLOOKUP($C27&amp;" "&amp;BD$1,Results!$G:$H,2,FALSE)),"")</f>
        <v/>
      </c>
      <c r="BE27" s="2" t="str">
        <f>IFERROR(IFERROR(VLOOKUP($C27&amp;" "&amp;BE$1,Results!$F:$H,3,FALSE),-VLOOKUP($C27&amp;" "&amp;BE$1,Results!$G:$H,2,FALSE)),"")</f>
        <v/>
      </c>
      <c r="BF27" s="2" t="str">
        <f>IFERROR(IFERROR(VLOOKUP($C27&amp;" "&amp;BF$1,Results!$F:$H,3,FALSE),-VLOOKUP($C27&amp;" "&amp;BF$1,Results!$G:$H,2,FALSE)),"")</f>
        <v/>
      </c>
      <c r="BG27" s="2" t="str">
        <f>IFERROR(IFERROR(VLOOKUP($C27&amp;" "&amp;BG$1,Results!$F:$H,3,FALSE),-VLOOKUP($C27&amp;" "&amp;BG$1,Results!$G:$H,2,FALSE)),"")</f>
        <v/>
      </c>
      <c r="BH27" s="2" t="str">
        <f>IFERROR(IFERROR(VLOOKUP($C27&amp;" "&amp;BH$1,Results!$F:$H,3,FALSE),-VLOOKUP($C27&amp;" "&amp;BH$1,Results!$G:$H,2,FALSE)),"")</f>
        <v/>
      </c>
      <c r="BI27" s="15" t="str">
        <f>IFERROR(IFERROR(VLOOKUP($C27&amp;" "&amp;BI$1,Results!$F:$H,3,FALSE),-VLOOKUP($C27&amp;" "&amp;BI$1,Results!$G:$H,2,FALSE)),"")</f>
        <v/>
      </c>
      <c r="BJ27" s="15" t="str">
        <f>IFERROR(IFERROR(VLOOKUP($C27&amp;" "&amp;BJ$1,Results!$F:$H,3,FALSE),-VLOOKUP($C27&amp;" "&amp;BJ$1,Results!$G:$H,2,FALSE)),"")</f>
        <v/>
      </c>
      <c r="BK27" s="15" t="str">
        <f>IFERROR(IFERROR(VLOOKUP($C27&amp;" "&amp;BK$1,Results!$F:$H,3,FALSE),-VLOOKUP($C27&amp;" "&amp;BK$1,Results!$G:$H,2,FALSE)),"")</f>
        <v/>
      </c>
      <c r="BL27" s="15" t="str">
        <f>IFERROR(IFERROR(VLOOKUP($C27&amp;" "&amp;BL$1,Results!$F:$H,3,FALSE),-VLOOKUP($C27&amp;" "&amp;BL$1,Results!$G:$H,2,FALSE)),"")</f>
        <v/>
      </c>
      <c r="BM27" s="15" t="str">
        <f>IFERROR(IFERROR(VLOOKUP($C27&amp;" "&amp;BM$1,Results!$F:$H,3,FALSE),-VLOOKUP($C27&amp;" "&amp;BM$1,Results!$G:$H,2,FALSE)),"")</f>
        <v/>
      </c>
      <c r="BN27" s="15" t="str">
        <f>IFERROR(IFERROR(VLOOKUP($C27&amp;" "&amp;BN$1,Results!$F:$H,3,FALSE),-VLOOKUP($C27&amp;" "&amp;BN$1,Results!$G:$H,2,FALSE)),"")</f>
        <v/>
      </c>
      <c r="BO27" s="15" t="str">
        <f>IFERROR(IFERROR(VLOOKUP($C27&amp;" "&amp;BO$1,Results!$F:$H,3,FALSE),-VLOOKUP($C27&amp;" "&amp;BO$1,Results!$G:$H,2,FALSE)),"")</f>
        <v/>
      </c>
      <c r="BP27" s="8" t="str">
        <f>IFERROR(IFERROR(VLOOKUP($C27&amp;" "&amp;BP$1,Results!$F:$H,3,FALSE),-VLOOKUP($C27&amp;" "&amp;BP$1,Results!$G:$H,2,FALSE)),"")</f>
        <v/>
      </c>
      <c r="BQ27" s="8" t="str">
        <f>IFERROR(IFERROR(VLOOKUP($C27&amp;" "&amp;BQ$1,Results!$F:$H,3,FALSE),-VLOOKUP($C27&amp;" "&amp;BQ$1,Results!$G:$H,2,FALSE)),"")</f>
        <v/>
      </c>
      <c r="BR27" s="8" t="str">
        <f>IFERROR(IFERROR(VLOOKUP($C27&amp;" "&amp;BR$1,Results!$F:$H,3,FALSE),-VLOOKUP($C27&amp;" "&amp;BR$1,Results!$G:$H,2,FALSE)),"")</f>
        <v/>
      </c>
      <c r="BS27" s="8" t="str">
        <f>IFERROR(IFERROR(VLOOKUP($C27&amp;" "&amp;BS$1,Results!$F:$H,3,FALSE),-VLOOKUP($C27&amp;" "&amp;BS$1,Results!$G:$H,2,FALSE)),"")</f>
        <v/>
      </c>
      <c r="BT27" s="8" t="str">
        <f>IFERROR(IFERROR(VLOOKUP($C27&amp;" "&amp;BT$1,Results!$F:$H,3,FALSE),-VLOOKUP($C27&amp;" "&amp;BT$1,Results!$G:$H,2,FALSE)),"")</f>
        <v/>
      </c>
      <c r="BW27" s="82">
        <f t="shared" si="5"/>
        <v>-249</v>
      </c>
      <c r="BX27" s="5">
        <f t="shared" si="11"/>
        <v>5</v>
      </c>
      <c r="BY27" s="5">
        <f t="shared" si="6"/>
        <v>1</v>
      </c>
      <c r="BZ27" s="5">
        <f t="shared" si="12"/>
        <v>6</v>
      </c>
      <c r="CA27" s="65">
        <f t="shared" si="7"/>
        <v>0.83333333333333337</v>
      </c>
      <c r="CC27" s="8">
        <f t="shared" si="8"/>
        <v>-249</v>
      </c>
      <c r="CE27" s="5">
        <v>28</v>
      </c>
      <c r="CF27" s="5">
        <f t="shared" si="9"/>
        <v>25</v>
      </c>
      <c r="CG27" s="5">
        <f t="shared" si="10"/>
        <v>3</v>
      </c>
    </row>
    <row r="28" spans="1:85">
      <c r="A28" s="5">
        <v>22</v>
      </c>
      <c r="B28" s="5">
        <v>25</v>
      </c>
      <c r="C28" s="154" t="s">
        <v>29</v>
      </c>
      <c r="D28" s="5"/>
      <c r="E28" s="5">
        <f>IF(AND(AV28&gt;0,$A28&lt;VLOOKUP(AV$1,$C:$L,10,FALSE)),1,IF(AND(AV28&lt;0,$A28&gt;VLOOKUP(AV$1,$C:$L,10,FALSE)),1,0))</f>
        <v>1</v>
      </c>
      <c r="F28" s="5">
        <f>IF(AND(AW28&gt;0,$A28&lt;VLOOKUP(AW$1,$C:$L,10,FALSE)),1,IF(AND(AW28&lt;0,$A28&gt;VLOOKUP(AW$1,$C:$L,10,FALSE)),1,0))</f>
        <v>1</v>
      </c>
      <c r="G28" s="5">
        <f>IF(AND(AX28&gt;0,$A28&lt;VLOOKUP(AX$1,$C:$L,10,FALSE)),1,IF(AND(AX28&lt;0,$A28&gt;VLOOKUP(AX$1,$C:$L,10,FALSE)),1,0))</f>
        <v>1</v>
      </c>
      <c r="H28" s="5">
        <f>IF(AND(AZ28&gt;0,$A28&lt;VLOOKUP(AZ$1,$C:$L,10,FALSE)),1,IF(AND(AZ28&lt;0,$A28&gt;VLOOKUP(AZ$1,$C:$L,10,FALSE)),1,0))</f>
        <v>1</v>
      </c>
      <c r="I28" s="5">
        <f>IF(AND(BA28&gt;0,$A28&lt;VLOOKUP(BA$1,$C:$L,10,FALSE)),1,IF(AND(BA28&lt;0,$A28&gt;VLOOKUP(BA$1,$C:$L,10,FALSE)),1,0))</f>
        <v>1</v>
      </c>
      <c r="J28" s="5">
        <f>IF(AND(BB28&gt;0,$A28&lt;VLOOKUP(BB$1,$C:$L,10,FALSE)),1,IF(AND(BB28&lt;0,$A28&gt;VLOOKUP(BB$1,$C:$L,10,FALSE)),1,0))</f>
        <v>1</v>
      </c>
      <c r="K28" s="79" t="s">
        <v>134</v>
      </c>
      <c r="L28" s="125">
        <f t="shared" si="0"/>
        <v>25</v>
      </c>
      <c r="M28" s="2">
        <v>7</v>
      </c>
      <c r="N28" s="11">
        <f t="shared" si="1"/>
        <v>5</v>
      </c>
      <c r="O28" s="2">
        <f t="shared" si="2"/>
        <v>1</v>
      </c>
      <c r="P28" s="2">
        <f t="shared" si="3"/>
        <v>0</v>
      </c>
      <c r="Q28" s="12">
        <f>COUNTIF($AV28:$AY28,"&gt;0")</f>
        <v>3</v>
      </c>
      <c r="R28" s="13">
        <f>COUNTIF($AV28:$AY28,"&lt;0")</f>
        <v>0</v>
      </c>
      <c r="S28" s="14">
        <f>COUNTIF($AV28:$AY28,"=0")</f>
        <v>0</v>
      </c>
      <c r="T28" s="2">
        <f t="shared" si="4"/>
        <v>0</v>
      </c>
      <c r="U28" s="2"/>
      <c r="V28" s="2"/>
      <c r="W28" s="2"/>
      <c r="AF28" s="2" t="str">
        <f>IFERROR(IFERROR(VLOOKUP($C28&amp;" "&amp;AF$1,Results!$F:$H,3,FALSE),-VLOOKUP($C28&amp;" "&amp;AF$1,Results!$G:$H,2,FALSE)),"")</f>
        <v/>
      </c>
      <c r="AG28" s="2" t="str">
        <f>IFERROR(IFERROR(VLOOKUP($C28&amp;" "&amp;AG$1,Results!$F:$H,3,FALSE),-VLOOKUP($C28&amp;" "&amp;AG$1,Results!$G:$H,2,FALSE)),"")</f>
        <v/>
      </c>
      <c r="AH28" s="2" t="str">
        <f>IFERROR(IFERROR(VLOOKUP($C28&amp;" "&amp;AH$1,Results!$F:$H,3,FALSE),-VLOOKUP($C28&amp;" "&amp;AH$1,Results!$G:$H,2,FALSE)),"")</f>
        <v/>
      </c>
      <c r="AI28" s="2" t="str">
        <f>IFERROR(IFERROR(VLOOKUP($C28&amp;" "&amp;AI$1,Results!$F:$H,3,FALSE),-VLOOKUP($C28&amp;" "&amp;AI$1,Results!$G:$H,2,FALSE)),"")</f>
        <v/>
      </c>
      <c r="AJ28" s="2" t="str">
        <f>IFERROR(IFERROR(VLOOKUP($C28&amp;" "&amp;AJ$1,Results!$F:$H,3,FALSE),-VLOOKUP($C28&amp;" "&amp;AJ$1,Results!$G:$H,2,FALSE)),"")</f>
        <v/>
      </c>
      <c r="AK28" s="2" t="str">
        <f>IFERROR(IFERROR(VLOOKUP($C28&amp;" "&amp;AK$1,Results!$F:$H,3,FALSE),-VLOOKUP($C28&amp;" "&amp;AK$1,Results!$G:$H,2,FALSE)),"")</f>
        <v/>
      </c>
      <c r="AL28" s="2" t="str">
        <f>IFERROR(IFERROR(VLOOKUP($C28&amp;" "&amp;AL$1,Results!$F:$H,3,FALSE),-VLOOKUP($C28&amp;" "&amp;AL$1,Results!$G:$H,2,FALSE)),"")</f>
        <v/>
      </c>
      <c r="AM28" s="2" t="str">
        <f>IFERROR(IFERROR(VLOOKUP($C28&amp;" "&amp;AM$1,Results!$F:$H,3,FALSE),-VLOOKUP($C28&amp;" "&amp;AM$1,Results!$G:$H,2,FALSE)),"")</f>
        <v/>
      </c>
      <c r="AN28" s="2" t="str">
        <f>IFERROR(IFERROR(VLOOKUP($C28&amp;" "&amp;AN$1,Results!$F:$H,3,FALSE),-VLOOKUP($C28&amp;" "&amp;AN$1,Results!$G:$H,2,FALSE)),"")</f>
        <v/>
      </c>
      <c r="AO28" s="2" t="str">
        <f>IFERROR(IFERROR(VLOOKUP($C28&amp;" "&amp;AO$1,Results!$F:$H,3,FALSE),-VLOOKUP($C28&amp;" "&amp;AO$1,Results!$G:$H,2,FALSE)),"")</f>
        <v/>
      </c>
      <c r="AP28" s="2" t="str">
        <f>IFERROR(IFERROR(VLOOKUP($C28&amp;" "&amp;AP$1,Results!$F:$H,3,FALSE),-VLOOKUP($C28&amp;" "&amp;AP$1,Results!$G:$H,2,FALSE)),"")</f>
        <v/>
      </c>
      <c r="AQ28" s="2" t="str">
        <f>IFERROR(IFERROR(VLOOKUP($C28&amp;" "&amp;AQ$1,Results!$F:$H,3,FALSE),-VLOOKUP($C28&amp;" "&amp;AQ$1,Results!$G:$H,2,FALSE)),"")</f>
        <v/>
      </c>
      <c r="AR28" s="2" t="str">
        <f>IFERROR(IFERROR(VLOOKUP($C28&amp;" "&amp;AR$1,Results!$F:$H,3,FALSE),-VLOOKUP($C28&amp;" "&amp;AR$1,Results!$G:$H,2,FALSE)),"")</f>
        <v/>
      </c>
      <c r="AS28" s="2">
        <f>IFERROR(IFERROR(VLOOKUP($C28&amp;" "&amp;AS$1,Results!$F:$H,3,FALSE),-VLOOKUP($C28&amp;" "&amp;AS$1,Results!$G:$H,2,FALSE)),"")</f>
        <v>47</v>
      </c>
      <c r="AT28" s="2">
        <f>IFERROR(IFERROR(VLOOKUP($C28&amp;" "&amp;AT$1,Results!$F:$H,3,FALSE),-VLOOKUP($C28&amp;" "&amp;AT$1,Results!$G:$H,2,FALSE)),"")</f>
        <v>68</v>
      </c>
      <c r="AU28" s="2">
        <f>IFERROR(IFERROR(VLOOKUP($C28&amp;" "&amp;AU$1,Results!$F:$H,3,FALSE),-VLOOKUP($C28&amp;" "&amp;AU$1,Results!$G:$H,2,FALSE)),"")</f>
        <v>-4</v>
      </c>
      <c r="AV28" s="18" t="str">
        <f>IFERROR(IFERROR(VLOOKUP($C28&amp;" "&amp;AV$1,Results!$F:$H,3,FALSE),-VLOOKUP($C28&amp;" "&amp;AV$1,Results!$G:$H,2,FALSE)),"")</f>
        <v/>
      </c>
      <c r="AW28" s="42">
        <f>IFERROR(IFERROR(VLOOKUP($C28&amp;" "&amp;AW$1,Results!$F:$H,3,FALSE),-VLOOKUP($C28&amp;" "&amp;AW$1,Results!$G:$H,2,FALSE)),"")</f>
        <v>42</v>
      </c>
      <c r="AX28" s="42">
        <f>IFERROR(IFERROR(VLOOKUP($C28&amp;" "&amp;AX$1,Results!$F:$H,3,FALSE),-VLOOKUP($C28&amp;" "&amp;AX$1,Results!$G:$H,2,FALSE)),"")</f>
        <v>67</v>
      </c>
      <c r="AY28" s="43">
        <f>IFERROR(IFERROR(VLOOKUP($C28&amp;" "&amp;AY$1,Results!$F:$H,3,FALSE),-VLOOKUP($C28&amp;" "&amp;AY$1,Results!$G:$H,2,FALSE)),"")</f>
        <v>44</v>
      </c>
      <c r="AZ28" s="2" t="str">
        <f>IFERROR(IFERROR(VLOOKUP($C28&amp;" "&amp;AZ$1,Results!$F:$H,3,FALSE),-VLOOKUP($C28&amp;" "&amp;AZ$1,Results!$G:$H,2,FALSE)),"")</f>
        <v/>
      </c>
      <c r="BA28" s="2" t="str">
        <f>IFERROR(IFERROR(VLOOKUP($C28&amp;" "&amp;BA$1,Results!$F:$H,3,FALSE),-VLOOKUP($C28&amp;" "&amp;BA$1,Results!$G:$H,2,FALSE)),"")</f>
        <v/>
      </c>
      <c r="BB28" s="2" t="str">
        <f>IFERROR(IFERROR(VLOOKUP($C28&amp;" "&amp;BB$1,Results!$F:$H,3,FALSE),-VLOOKUP($C28&amp;" "&amp;BB$1,Results!$G:$H,2,FALSE)),"")</f>
        <v/>
      </c>
      <c r="BC28" s="2" t="str">
        <f>IFERROR(IFERROR(VLOOKUP($C28&amp;" "&amp;BC$1,Results!$F:$H,3,FALSE),-VLOOKUP($C28&amp;" "&amp;BC$1,Results!$G:$H,2,FALSE)),"")</f>
        <v/>
      </c>
      <c r="BG28" s="2"/>
      <c r="BH28" s="2"/>
      <c r="BI28" s="15"/>
      <c r="BJ28" s="15"/>
      <c r="BK28" s="15"/>
      <c r="BL28" s="15"/>
      <c r="BM28" s="15"/>
      <c r="BN28" s="15"/>
      <c r="BO28" s="15"/>
      <c r="BW28" s="82">
        <f t="shared" si="5"/>
        <v>264</v>
      </c>
      <c r="BX28" s="5">
        <f t="shared" si="11"/>
        <v>6</v>
      </c>
      <c r="BY28" s="5">
        <f t="shared" si="6"/>
        <v>0</v>
      </c>
      <c r="BZ28" s="5">
        <f t="shared" si="12"/>
        <v>6</v>
      </c>
      <c r="CA28" s="65">
        <f t="shared" si="7"/>
        <v>1</v>
      </c>
      <c r="CC28" s="8">
        <f t="shared" si="8"/>
        <v>264</v>
      </c>
      <c r="CE28" s="5">
        <v>31</v>
      </c>
      <c r="CF28" s="5">
        <f t="shared" si="9"/>
        <v>22</v>
      </c>
      <c r="CG28" s="5">
        <f t="shared" si="10"/>
        <v>9</v>
      </c>
    </row>
    <row r="29" spans="1:85">
      <c r="A29" s="5">
        <v>26</v>
      </c>
      <c r="B29" s="5">
        <v>26</v>
      </c>
      <c r="C29" s="10" t="s">
        <v>36</v>
      </c>
      <c r="D29" s="5"/>
      <c r="E29" s="5">
        <f>IF(AND(AS29&gt;0,$A29&lt;VLOOKUP(AS$1,$C:$L,10,FALSE)),1,IF(AND(AS29&lt;0,$A29&gt;VLOOKUP(AS$1,$C:$L,10,FALSE)),1,0))</f>
        <v>0</v>
      </c>
      <c r="F29" s="5">
        <f>IF(AND(AT29&gt;0,$A29&lt;VLOOKUP(AT$1,$C:$L,10,FALSE)),1,IF(AND(AT29&lt;0,$A29&gt;VLOOKUP(AT$1,$C:$L,10,FALSE)),1,0))</f>
        <v>0</v>
      </c>
      <c r="G29" s="5">
        <f>IF(AND(AU29&gt;0,$A29&lt;VLOOKUP(AU$1,$C:$L,10,FALSE)),1,IF(AND(AU29&lt;0,$A29&gt;VLOOKUP(AU$1,$C:$L,10,FALSE)),1,0))</f>
        <v>1</v>
      </c>
      <c r="H29" s="5">
        <f>IF(AND(AW29&gt;0,$A29&lt;VLOOKUP(AW$1,$C:$L,10,FALSE)),1,IF(AND(AW29&lt;0,$A29&gt;VLOOKUP(AW$1,$C:$L,10,FALSE)),1,0))</f>
        <v>0</v>
      </c>
      <c r="I29" s="5">
        <f>IF(AND(AX29&gt;0,$A29&lt;VLOOKUP(AX$1,$C:$L,10,FALSE)),1,IF(AND(AX29&lt;0,$A29&gt;VLOOKUP(AX$1,$C:$L,10,FALSE)),1,0))</f>
        <v>1</v>
      </c>
      <c r="J29" s="5">
        <f>IF(AND(AY29&gt;0,$A29&lt;VLOOKUP(AY$1,$C:$L,10,FALSE)),1,IF(AND(AY29&lt;0,$A29&gt;VLOOKUP(AY$1,$C:$L,10,FALSE)),1,0))</f>
        <v>0</v>
      </c>
      <c r="K29" s="79" t="s">
        <v>134</v>
      </c>
      <c r="L29" s="125">
        <f t="shared" si="0"/>
        <v>26</v>
      </c>
      <c r="M29" s="2">
        <v>7</v>
      </c>
      <c r="N29" s="11">
        <f t="shared" si="1"/>
        <v>2</v>
      </c>
      <c r="O29" s="2">
        <f t="shared" si="2"/>
        <v>4</v>
      </c>
      <c r="P29" s="2">
        <f t="shared" si="3"/>
        <v>0</v>
      </c>
      <c r="Q29" s="12">
        <f>COUNTIF($AV29:$AY29,"&gt;0")</f>
        <v>1</v>
      </c>
      <c r="R29" s="13">
        <f>COUNTIF($AV29:$AY29,"&lt;0")</f>
        <v>2</v>
      </c>
      <c r="S29" s="14">
        <f>COUNTIF($AV29:$AY29,"=0")</f>
        <v>0</v>
      </c>
      <c r="T29" s="2">
        <f t="shared" si="4"/>
        <v>0</v>
      </c>
      <c r="U29" s="2"/>
      <c r="V29" s="2"/>
      <c r="W29" s="2"/>
      <c r="AF29" s="2" t="str">
        <f>IFERROR(IFERROR(VLOOKUP($C29&amp;" "&amp;AF$1,Results!$F:$H,3,FALSE),-VLOOKUP($C29&amp;" "&amp;AF$1,Results!$G:$H,2,FALSE)),"")</f>
        <v/>
      </c>
      <c r="AG29" s="2" t="str">
        <f>IFERROR(IFERROR(VLOOKUP($C29&amp;" "&amp;AG$1,Results!$F:$H,3,FALSE),-VLOOKUP($C29&amp;" "&amp;AG$1,Results!$G:$H,2,FALSE)),"")</f>
        <v/>
      </c>
      <c r="AH29" s="2" t="str">
        <f>IFERROR(IFERROR(VLOOKUP($C29&amp;" "&amp;AH$1,Results!$F:$H,3,FALSE),-VLOOKUP($C29&amp;" "&amp;AH$1,Results!$G:$H,2,FALSE)),"")</f>
        <v/>
      </c>
      <c r="AI29" s="2" t="str">
        <f>IFERROR(IFERROR(VLOOKUP($C29&amp;" "&amp;AI$1,Results!$F:$H,3,FALSE),-VLOOKUP($C29&amp;" "&amp;AI$1,Results!$G:$H,2,FALSE)),"")</f>
        <v/>
      </c>
      <c r="AJ29" s="2" t="str">
        <f>IFERROR(IFERROR(VLOOKUP($C29&amp;" "&amp;AJ$1,Results!$F:$H,3,FALSE),-VLOOKUP($C29&amp;" "&amp;AJ$1,Results!$G:$H,2,FALSE)),"")</f>
        <v/>
      </c>
      <c r="AK29" s="2" t="str">
        <f>IFERROR(IFERROR(VLOOKUP($C29&amp;" "&amp;AK$1,Results!$F:$H,3,FALSE),-VLOOKUP($C29&amp;" "&amp;AK$1,Results!$G:$H,2,FALSE)),"")</f>
        <v/>
      </c>
      <c r="AL29" s="2" t="str">
        <f>IFERROR(IFERROR(VLOOKUP($C29&amp;" "&amp;AL$1,Results!$F:$H,3,FALSE),-VLOOKUP($C29&amp;" "&amp;AL$1,Results!$G:$H,2,FALSE)),"")</f>
        <v/>
      </c>
      <c r="AM29" s="2" t="str">
        <f>IFERROR(IFERROR(VLOOKUP($C29&amp;" "&amp;AM$1,Results!$F:$H,3,FALSE),-VLOOKUP($C29&amp;" "&amp;AM$1,Results!$G:$H,2,FALSE)),"")</f>
        <v/>
      </c>
      <c r="AN29" s="2" t="str">
        <f>IFERROR(IFERROR(VLOOKUP($C29&amp;" "&amp;AN$1,Results!$F:$H,3,FALSE),-VLOOKUP($C29&amp;" "&amp;AN$1,Results!$G:$H,2,FALSE)),"")</f>
        <v/>
      </c>
      <c r="AO29" s="2" t="str">
        <f>IFERROR(IFERROR(VLOOKUP($C29&amp;" "&amp;AO$1,Results!$F:$H,3,FALSE),-VLOOKUP($C29&amp;" "&amp;AO$1,Results!$G:$H,2,FALSE)),"")</f>
        <v/>
      </c>
      <c r="AP29" s="2" t="str">
        <f>IFERROR(IFERROR(VLOOKUP($C29&amp;" "&amp;AP$1,Results!$F:$H,3,FALSE),-VLOOKUP($C29&amp;" "&amp;AP$1,Results!$G:$H,2,FALSE)),"")</f>
        <v/>
      </c>
      <c r="AQ29" s="2" t="str">
        <f>IFERROR(IFERROR(VLOOKUP($C29&amp;" "&amp;AQ$1,Results!$F:$H,3,FALSE),-VLOOKUP($C29&amp;" "&amp;AQ$1,Results!$G:$H,2,FALSE)),"")</f>
        <v/>
      </c>
      <c r="AR29" s="2" t="str">
        <f>IFERROR(IFERROR(VLOOKUP($C29&amp;" "&amp;AR$1,Results!$F:$H,3,FALSE),-VLOOKUP($C29&amp;" "&amp;AR$1,Results!$G:$H,2,FALSE)),"")</f>
        <v/>
      </c>
      <c r="AS29" s="2" t="str">
        <f>IFERROR(IFERROR(VLOOKUP($C29&amp;" "&amp;AS$1,Results!$F:$H,3,FALSE),-VLOOKUP($C29&amp;" "&amp;AS$1,Results!$G:$H,2,FALSE)),"")</f>
        <v/>
      </c>
      <c r="AT29" s="2">
        <f>IFERROR(IFERROR(VLOOKUP($C29&amp;" "&amp;AT$1,Results!$F:$H,3,FALSE),-VLOOKUP($C29&amp;" "&amp;AT$1,Results!$G:$H,2,FALSE)),"")</f>
        <v>169</v>
      </c>
      <c r="AU29" s="2">
        <f>IFERROR(IFERROR(VLOOKUP($C29&amp;" "&amp;AU$1,Results!$F:$H,3,FALSE),-VLOOKUP($C29&amp;" "&amp;AU$1,Results!$G:$H,2,FALSE)),"")</f>
        <v>-10</v>
      </c>
      <c r="AV29" s="44">
        <f>IFERROR(IFERROR(VLOOKUP($C29&amp;" "&amp;AV$1,Results!$F:$H,3,FALSE),-VLOOKUP($C29&amp;" "&amp;AV$1,Results!$G:$H,2,FALSE)),"")</f>
        <v>-42</v>
      </c>
      <c r="AW29" s="19" t="str">
        <f>IFERROR(IFERROR(VLOOKUP($C29&amp;" "&amp;AW$1,Results!$F:$H,3,FALSE),-VLOOKUP($C29&amp;" "&amp;AW$1,Results!$G:$H,2,FALSE)),"")</f>
        <v/>
      </c>
      <c r="AX29" s="19">
        <f>IFERROR(IFERROR(VLOOKUP($C29&amp;" "&amp;AX$1,Results!$F:$H,3,FALSE),-VLOOKUP($C29&amp;" "&amp;AX$1,Results!$G:$H,2,FALSE)),"")</f>
        <v>28</v>
      </c>
      <c r="AY29" s="45">
        <f>IFERROR(IFERROR(VLOOKUP($C29&amp;" "&amp;AY$1,Results!$F:$H,3,FALSE),-VLOOKUP($C29&amp;" "&amp;AY$1,Results!$G:$H,2,FALSE)),"")</f>
        <v>-33</v>
      </c>
      <c r="AZ29" s="2">
        <f>IFERROR(IFERROR(VLOOKUP($C29&amp;" "&amp;AZ$1,Results!$F:$H,3,FALSE),-VLOOKUP($C29&amp;" "&amp;AZ$1,Results!$G:$H,2,FALSE)),"")</f>
        <v>-80</v>
      </c>
      <c r="BA29" s="2" t="str">
        <f>IFERROR(IFERROR(VLOOKUP($C29&amp;" "&amp;BA$1,Results!$F:$H,3,FALSE),-VLOOKUP($C29&amp;" "&amp;BA$1,Results!$G:$H,2,FALSE)),"")</f>
        <v/>
      </c>
      <c r="BB29" s="2" t="str">
        <f>IFERROR(IFERROR(VLOOKUP($C29&amp;" "&amp;BB$1,Results!$F:$H,3,FALSE),-VLOOKUP($C29&amp;" "&amp;BB$1,Results!$G:$H,2,FALSE)),"")</f>
        <v/>
      </c>
      <c r="BC29" s="2" t="str">
        <f>IFERROR(IFERROR(VLOOKUP($C29&amp;" "&amp;BC$1,Results!$F:$H,3,FALSE),-VLOOKUP($C29&amp;" "&amp;BC$1,Results!$G:$H,2,FALSE)),"")</f>
        <v/>
      </c>
      <c r="BG29" s="2"/>
      <c r="BH29" s="2"/>
      <c r="BI29" s="15"/>
      <c r="BJ29" s="15"/>
      <c r="BK29" s="15"/>
      <c r="BL29" s="15"/>
      <c r="BM29" s="15"/>
      <c r="BN29" s="15"/>
      <c r="BO29" s="15"/>
      <c r="BW29" s="82">
        <f t="shared" si="5"/>
        <v>32</v>
      </c>
      <c r="BX29" s="5">
        <f t="shared" si="11"/>
        <v>2</v>
      </c>
      <c r="BY29" s="5">
        <f t="shared" si="6"/>
        <v>4</v>
      </c>
      <c r="BZ29" s="5">
        <f t="shared" si="12"/>
        <v>6</v>
      </c>
      <c r="CA29" s="65">
        <f t="shared" si="7"/>
        <v>0.33333333333333331</v>
      </c>
      <c r="CC29" s="8">
        <f t="shared" si="8"/>
        <v>32</v>
      </c>
      <c r="CE29" s="5">
        <v>22</v>
      </c>
      <c r="CF29" s="5">
        <f t="shared" si="9"/>
        <v>26</v>
      </c>
      <c r="CG29" s="5">
        <f t="shared" si="10"/>
        <v>-4</v>
      </c>
    </row>
    <row r="30" spans="1:85" ht="12" customHeight="1">
      <c r="A30" s="5">
        <v>30</v>
      </c>
      <c r="B30" s="5">
        <v>27</v>
      </c>
      <c r="C30" s="10" t="s">
        <v>13</v>
      </c>
      <c r="D30" s="5"/>
      <c r="E30" s="5">
        <f>IF(AND(AQ30&gt;0,$A30&lt;VLOOKUP(AQ$1,$C:$L,10,FALSE)),1,IF(AND(AQ30&lt;0,$A30&gt;VLOOKUP(AQ$1,$C:$L,10,FALSE)),1,0))</f>
        <v>0</v>
      </c>
      <c r="F30" s="5">
        <f>IF(AND(AR30&gt;0,$A30&lt;VLOOKUP(AR$1,$C:$L,10,FALSE)),1,IF(AND(AR30&lt;0,$A30&gt;VLOOKUP(AR$1,$C:$L,10,FALSE)),1,0))</f>
        <v>0</v>
      </c>
      <c r="G30" s="5">
        <f>IF(AND(AS30&gt;0,$A30&lt;VLOOKUP(AS$1,$C:$L,10,FALSE)),1,IF(AND(AS30&lt;0,$A30&gt;VLOOKUP(AS$1,$C:$L,10,FALSE)),1,0))</f>
        <v>0</v>
      </c>
      <c r="H30" s="5">
        <f>IF(AND(AU30&gt;0,$A30&lt;VLOOKUP(AU$1,$C:$L,10,FALSE)),1,IF(AND(AU30&lt;0,$A30&gt;VLOOKUP(AU$1,$C:$L,10,FALSE)),1,0))</f>
        <v>0</v>
      </c>
      <c r="I30" s="5">
        <f>IF(AND(AV30&gt;0,$A30&lt;VLOOKUP(AV$1,$C:$L,10,FALSE)),1,IF(AND(AV30&lt;0,$A30&gt;VLOOKUP(AV$1,$C:$L,10,FALSE)),1,0))</f>
        <v>1</v>
      </c>
      <c r="J30" s="5">
        <f>IF(AND(AW30&gt;0,$A30&lt;VLOOKUP(AW$1,$C:$L,10,FALSE)),1,IF(AND(AW30&lt;0,$A30&gt;VLOOKUP(AW$1,$C:$L,10,FALSE)),1,0))</f>
        <v>1</v>
      </c>
      <c r="K30" s="79" t="s">
        <v>134</v>
      </c>
      <c r="L30" s="125">
        <f t="shared" si="0"/>
        <v>27</v>
      </c>
      <c r="M30" s="2">
        <v>7</v>
      </c>
      <c r="N30" s="11">
        <f t="shared" si="1"/>
        <v>2</v>
      </c>
      <c r="O30" s="2">
        <f t="shared" si="2"/>
        <v>4</v>
      </c>
      <c r="P30" s="2">
        <f t="shared" si="3"/>
        <v>0</v>
      </c>
      <c r="Q30" s="12">
        <f>COUNTIF($AV30:$AY30,"&gt;0")</f>
        <v>1</v>
      </c>
      <c r="R30" s="13">
        <f>COUNTIF($AV30:$AY30,"&lt;0")</f>
        <v>2</v>
      </c>
      <c r="S30" s="14">
        <f>COUNTIF($AV30:$AY30,"=0")</f>
        <v>0</v>
      </c>
      <c r="T30" s="2">
        <f t="shared" si="4"/>
        <v>0</v>
      </c>
      <c r="U30" s="2"/>
      <c r="V30" s="2"/>
      <c r="W30" s="2"/>
      <c r="AF30" s="2" t="str">
        <f>IFERROR(IFERROR(VLOOKUP($C30&amp;" "&amp;AF$1,Results!$F:$H,3,FALSE),-VLOOKUP($C30&amp;" "&amp;AF$1,Results!$G:$H,2,FALSE)),"")</f>
        <v/>
      </c>
      <c r="AG30" s="2" t="str">
        <f>IFERROR(IFERROR(VLOOKUP($C30&amp;" "&amp;AG$1,Results!$F:$H,3,FALSE),-VLOOKUP($C30&amp;" "&amp;AG$1,Results!$G:$H,2,FALSE)),"")</f>
        <v/>
      </c>
      <c r="AH30" s="2" t="str">
        <f>IFERROR(IFERROR(VLOOKUP($C30&amp;" "&amp;AH$1,Results!$F:$H,3,FALSE),-VLOOKUP($C30&amp;" "&amp;AH$1,Results!$G:$H,2,FALSE)),"")</f>
        <v/>
      </c>
      <c r="AI30" s="2" t="str">
        <f>IFERROR(IFERROR(VLOOKUP($C30&amp;" "&amp;AI$1,Results!$F:$H,3,FALSE),-VLOOKUP($C30&amp;" "&amp;AI$1,Results!$G:$H,2,FALSE)),"")</f>
        <v/>
      </c>
      <c r="AJ30" s="2" t="str">
        <f>IFERROR(IFERROR(VLOOKUP($C30&amp;" "&amp;AJ$1,Results!$F:$H,3,FALSE),-VLOOKUP($C30&amp;" "&amp;AJ$1,Results!$G:$H,2,FALSE)),"")</f>
        <v/>
      </c>
      <c r="AK30" s="2" t="str">
        <f>IFERROR(IFERROR(VLOOKUP($C30&amp;" "&amp;AK$1,Results!$F:$H,3,FALSE),-VLOOKUP($C30&amp;" "&amp;AK$1,Results!$G:$H,2,FALSE)),"")</f>
        <v/>
      </c>
      <c r="AL30" s="2" t="str">
        <f>IFERROR(IFERROR(VLOOKUP($C30&amp;" "&amp;AL$1,Results!$F:$H,3,FALSE),-VLOOKUP($C30&amp;" "&amp;AL$1,Results!$G:$H,2,FALSE)),"")</f>
        <v/>
      </c>
      <c r="AM30" s="2" t="str">
        <f>IFERROR(IFERROR(VLOOKUP($C30&amp;" "&amp;AM$1,Results!$F:$H,3,FALSE),-VLOOKUP($C30&amp;" "&amp;AM$1,Results!$G:$H,2,FALSE)),"")</f>
        <v/>
      </c>
      <c r="AN30" s="2" t="str">
        <f>IFERROR(IFERROR(VLOOKUP($C30&amp;" "&amp;AN$1,Results!$F:$H,3,FALSE),-VLOOKUP($C30&amp;" "&amp;AN$1,Results!$G:$H,2,FALSE)),"")</f>
        <v/>
      </c>
      <c r="AO30" s="2" t="str">
        <f>IFERROR(IFERROR(VLOOKUP($C30&amp;" "&amp;AO$1,Results!$F:$H,3,FALSE),-VLOOKUP($C30&amp;" "&amp;AO$1,Results!$G:$H,2,FALSE)),"")</f>
        <v/>
      </c>
      <c r="AP30" s="2" t="str">
        <f>IFERROR(IFERROR(VLOOKUP($C30&amp;" "&amp;AP$1,Results!$F:$H,3,FALSE),-VLOOKUP($C30&amp;" "&amp;AP$1,Results!$G:$H,2,FALSE)),"")</f>
        <v/>
      </c>
      <c r="AQ30" s="2" t="str">
        <f>IFERROR(IFERROR(VLOOKUP($C30&amp;" "&amp;AQ$1,Results!$F:$H,3,FALSE),-VLOOKUP($C30&amp;" "&amp;AQ$1,Results!$G:$H,2,FALSE)),"")</f>
        <v/>
      </c>
      <c r="AR30" s="19" t="str">
        <f>IFERROR(IFERROR(VLOOKUP($C30&amp;" "&amp;AR$1,Results!$F:$H,3,FALSE),-VLOOKUP($C30&amp;" "&amp;AR$1,Results!$G:$H,2,FALSE)),"")</f>
        <v/>
      </c>
      <c r="AS30" s="19" t="str">
        <f>IFERROR(IFERROR(VLOOKUP($C30&amp;" "&amp;AS$1,Results!$F:$H,3,FALSE),-VLOOKUP($C30&amp;" "&amp;AS$1,Results!$G:$H,2,FALSE)),"")</f>
        <v/>
      </c>
      <c r="AT30" s="19" t="str">
        <f>IFERROR(IFERROR(VLOOKUP($C30&amp;" "&amp;AT$1,Results!$F:$H,3,FALSE),-VLOOKUP($C30&amp;" "&amp;AT$1,Results!$G:$H,2,FALSE)),"")</f>
        <v/>
      </c>
      <c r="AU30" s="19">
        <f>IFERROR(IFERROR(VLOOKUP($C30&amp;" "&amp;AU$1,Results!$F:$H,3,FALSE),-VLOOKUP($C30&amp;" "&amp;AU$1,Results!$G:$H,2,FALSE)),"")</f>
        <v>30</v>
      </c>
      <c r="AV30" s="51">
        <f>IFERROR(IFERROR(VLOOKUP($C30&amp;" "&amp;AV$1,Results!$F:$H,3,FALSE),-VLOOKUP($C30&amp;" "&amp;AV$1,Results!$G:$H,2,FALSE)),"")</f>
        <v>-67</v>
      </c>
      <c r="AW30" s="147">
        <f>IFERROR(IFERROR(VLOOKUP($C30&amp;" "&amp;AW$1,Results!$F:$H,3,FALSE),-VLOOKUP($C30&amp;" "&amp;AW$1,Results!$G:$H,2,FALSE)),"")</f>
        <v>-28</v>
      </c>
      <c r="AX30" s="2" t="str">
        <f>IFERROR(IFERROR(VLOOKUP($C30&amp;" "&amp;AX$1,Results!$F:$H,3,FALSE),-VLOOKUP($C30&amp;" "&amp;AX$1,Results!$G:$H,2,FALSE)),"")</f>
        <v/>
      </c>
      <c r="AY30" s="56">
        <f>IFERROR(IFERROR(VLOOKUP($C30&amp;" "&amp;AY$1,Results!$F:$H,3,FALSE),-VLOOKUP($C30&amp;" "&amp;AY$1,Results!$G:$H,2,FALSE)),"")</f>
        <v>110</v>
      </c>
      <c r="AZ30" s="2">
        <f>IFERROR(IFERROR(VLOOKUP($C30&amp;" "&amp;AZ$1,Results!$F:$H,3,FALSE),-VLOOKUP($C30&amp;" "&amp;AZ$1,Results!$G:$H,2,FALSE)),"")</f>
        <v>-101</v>
      </c>
      <c r="BA30" s="2">
        <f>IFERROR(IFERROR(VLOOKUP($C30&amp;" "&amp;BA$1,Results!$F:$H,3,FALSE),-VLOOKUP($C30&amp;" "&amp;BA$1,Results!$G:$H,2,FALSE)),"")</f>
        <v>-77</v>
      </c>
      <c r="BB30" s="2" t="str">
        <f>IFERROR(IFERROR(VLOOKUP($C30&amp;" "&amp;BB$1,Results!$F:$H,3,FALSE),-VLOOKUP($C30&amp;" "&amp;BB$1,Results!$G:$H,2,FALSE)),"")</f>
        <v/>
      </c>
      <c r="BC30" s="2" t="str">
        <f>IFERROR(IFERROR(VLOOKUP($C30&amp;" "&amp;BC$1,Results!$F:$H,3,FALSE),-VLOOKUP($C30&amp;" "&amp;BC$1,Results!$G:$H,2,FALSE)),"")</f>
        <v/>
      </c>
      <c r="BG30" s="2"/>
      <c r="BH30" s="2"/>
      <c r="BI30" s="15"/>
      <c r="BJ30" s="15"/>
      <c r="BK30" s="15"/>
      <c r="BL30" s="15"/>
      <c r="BM30" s="15"/>
      <c r="BN30" s="15"/>
      <c r="BO30" s="15"/>
      <c r="BW30" s="82">
        <f t="shared" si="5"/>
        <v>-133</v>
      </c>
      <c r="BX30" s="5">
        <f t="shared" si="11"/>
        <v>2</v>
      </c>
      <c r="BY30" s="5">
        <f t="shared" si="6"/>
        <v>4</v>
      </c>
      <c r="BZ30" s="5">
        <f t="shared" si="12"/>
        <v>6</v>
      </c>
      <c r="CA30" s="65">
        <f t="shared" si="7"/>
        <v>0.33333333333333331</v>
      </c>
      <c r="CC30" s="8">
        <f t="shared" si="8"/>
        <v>-133</v>
      </c>
      <c r="CE30" s="5">
        <v>24</v>
      </c>
      <c r="CF30" s="5">
        <f t="shared" si="9"/>
        <v>30</v>
      </c>
      <c r="CG30" s="5">
        <f t="shared" si="10"/>
        <v>-6</v>
      </c>
    </row>
    <row r="31" spans="1:85" ht="13.5" thickBot="1">
      <c r="A31" s="5">
        <v>34</v>
      </c>
      <c r="B31" s="5">
        <v>28</v>
      </c>
      <c r="C31" s="158" t="s">
        <v>3</v>
      </c>
      <c r="D31" s="5"/>
      <c r="E31" s="5">
        <f>IF(AND(BB31&gt;0,$A31&lt;VLOOKUP(BB$1,$C:$L,10,FALSE)),1,IF(AND(BB31&lt;0,$A31&gt;VLOOKUP(BB$1,$C:$L,10,FALSE)),1,0))</f>
        <v>1</v>
      </c>
      <c r="F31" s="5">
        <f>IF(AND(BC31&gt;0,$A31&lt;VLOOKUP(BC$1,$C:$L,10,FALSE)),1,IF(AND(BC31&lt;0,$A31&gt;VLOOKUP(BC$1,$C:$L,10,FALSE)),1,0))</f>
        <v>0</v>
      </c>
      <c r="G31" s="5">
        <f>IF(AND(BD31&gt;0,$A31&lt;VLOOKUP(BD$1,$C:$L,10,FALSE)),1,IF(AND(BD31&lt;0,$A31&gt;VLOOKUP(BD$1,$C:$L,10,FALSE)),1,0))</f>
        <v>0</v>
      </c>
      <c r="H31" s="5">
        <f>IF(AND(BF31&gt;0,$A31&lt;VLOOKUP(BF$1,$C:$L,10,FALSE)),1,IF(AND(BF31&lt;0,$A31&gt;VLOOKUP(BF$1,$C:$L,10,FALSE)),1,0))</f>
        <v>1</v>
      </c>
      <c r="I31" s="5">
        <f>IF(AND(BG31&gt;0,$A31&lt;VLOOKUP(BG$1,$C:$L,10,FALSE)),1,IF(AND(BG31&lt;0,$A31&gt;VLOOKUP(BG$1,$C:$L,10,FALSE)),1,0))</f>
        <v>1</v>
      </c>
      <c r="J31" s="5">
        <f>IF(AND(BH31&gt;0,$A31&lt;VLOOKUP(BH$1,$C:$L,10,FALSE)),1,IF(AND(BH31&lt;0,$A31&gt;VLOOKUP(BH$1,$C:$L,10,FALSE)),1,0))</f>
        <v>1</v>
      </c>
      <c r="K31" s="79" t="s">
        <v>134</v>
      </c>
      <c r="L31" s="125">
        <f t="shared" si="0"/>
        <v>28</v>
      </c>
      <c r="M31" s="2">
        <v>7</v>
      </c>
      <c r="N31" s="11">
        <f t="shared" si="1"/>
        <v>1</v>
      </c>
      <c r="O31" s="2">
        <f t="shared" si="2"/>
        <v>5</v>
      </c>
      <c r="P31" s="2">
        <f t="shared" si="3"/>
        <v>0</v>
      </c>
      <c r="Q31" s="12">
        <f>COUNTIF($AV31:$AY31,"&gt;0")</f>
        <v>1</v>
      </c>
      <c r="R31" s="13">
        <f>COUNTIF($AV31:$AY31,"&lt;0")</f>
        <v>2</v>
      </c>
      <c r="S31" s="14">
        <f>COUNTIF($AV31:$AY31,"=0")</f>
        <v>0</v>
      </c>
      <c r="T31" s="2">
        <f t="shared" si="4"/>
        <v>0</v>
      </c>
      <c r="U31" s="2"/>
      <c r="V31" s="2"/>
      <c r="W31" s="2"/>
      <c r="AR31" s="2" t="str">
        <f>IFERROR(IFERROR(VLOOKUP($C31&amp;" "&amp;AR$1,Results!$F:$H,3,FALSE),-VLOOKUP($C31&amp;" "&amp;AR$1,Results!$G:$H,2,FALSE)),"")</f>
        <v/>
      </c>
      <c r="AS31" s="2" t="str">
        <f>IFERROR(IFERROR(VLOOKUP($C31&amp;" "&amp;AS$1,Results!$F:$H,3,FALSE),-VLOOKUP($C31&amp;" "&amp;AS$1,Results!$G:$H,2,FALSE)),"")</f>
        <v/>
      </c>
      <c r="AT31" s="2" t="str">
        <f>IFERROR(IFERROR(VLOOKUP($C31&amp;" "&amp;AT$1,Results!$F:$H,3,FALSE),-VLOOKUP($C31&amp;" "&amp;AT$1,Results!$G:$H,2,FALSE)),"")</f>
        <v/>
      </c>
      <c r="AU31" s="2" t="str">
        <f>IFERROR(IFERROR(VLOOKUP($C31&amp;" "&amp;AU$1,Results!$F:$H,3,FALSE),-VLOOKUP($C31&amp;" "&amp;AU$1,Results!$G:$H,2,FALSE)),"")</f>
        <v/>
      </c>
      <c r="AV31" s="52">
        <f>IFERROR(IFERROR(VLOOKUP($C31&amp;" "&amp;AV$1,Results!$F:$H,3,FALSE),-VLOOKUP($C31&amp;" "&amp;AV$1,Results!$G:$H,2,FALSE)),"")</f>
        <v>-44</v>
      </c>
      <c r="AW31" s="57">
        <f>IFERROR(IFERROR(VLOOKUP($C31&amp;" "&amp;AW$1,Results!$F:$H,3,FALSE),-VLOOKUP($C31&amp;" "&amp;AW$1,Results!$G:$H,2,FALSE)),"")</f>
        <v>33</v>
      </c>
      <c r="AX31" s="57">
        <f>IFERROR(IFERROR(VLOOKUP($C31&amp;" "&amp;AX$1,Results!$F:$H,3,FALSE),-VLOOKUP($C31&amp;" "&amp;AX$1,Results!$G:$H,2,FALSE)),"")</f>
        <v>-110</v>
      </c>
      <c r="AY31" s="58" t="str">
        <f>IFERROR(IFERROR(VLOOKUP($C31&amp;" "&amp;AY$1,Results!$F:$H,3,FALSE),-VLOOKUP($C31&amp;" "&amp;AY$1,Results!$G:$H,2,FALSE)),"")</f>
        <v/>
      </c>
      <c r="AZ31" s="2">
        <f>IFERROR(IFERROR(VLOOKUP($C31&amp;" "&amp;AZ$1,Results!$F:$H,3,FALSE),-VLOOKUP($C31&amp;" "&amp;AZ$1,Results!$G:$H,2,FALSE)),"")</f>
        <v>-43</v>
      </c>
      <c r="BA31" s="2">
        <f>IFERROR(IFERROR(VLOOKUP($C31&amp;" "&amp;BA$1,Results!$F:$H,3,FALSE),-VLOOKUP($C31&amp;" "&amp;BA$1,Results!$G:$H,2,FALSE)),"")</f>
        <v>-18</v>
      </c>
      <c r="BB31" s="2">
        <f>IFERROR(IFERROR(VLOOKUP($C31&amp;" "&amp;BB$1,Results!$F:$H,3,FALSE),-VLOOKUP($C31&amp;" "&amp;BB$1,Results!$G:$H,2,FALSE)),"")</f>
        <v>-28</v>
      </c>
      <c r="BC31" s="2" t="str">
        <f>IFERROR(IFERROR(VLOOKUP($C31&amp;" "&amp;BC$1,Results!$F:$H,3,FALSE),-VLOOKUP($C31&amp;" "&amp;BC$1,Results!$G:$H,2,FALSE)),"")</f>
        <v/>
      </c>
      <c r="BD31" s="19" t="str">
        <f>IFERROR(IFERROR(VLOOKUP($C31&amp;" "&amp;BD$1,Results!$F:$H,3,FALSE),-VLOOKUP($C31&amp;" "&amp;BD$1,Results!$G:$H,2,FALSE)),"")</f>
        <v/>
      </c>
      <c r="BE31" s="19" t="str">
        <f>IFERROR(IFERROR(VLOOKUP($C31&amp;" "&amp;BE$1,Results!$F:$H,3,FALSE),-VLOOKUP($C31&amp;" "&amp;BE$1,Results!$G:$H,2,FALSE)),"")</f>
        <v/>
      </c>
      <c r="BF31" s="19" t="str">
        <f>IFERROR(IFERROR(VLOOKUP($C31&amp;" "&amp;BF$1,Results!$F:$H,3,FALSE),-VLOOKUP($C31&amp;" "&amp;BF$1,Results!$G:$H,2,FALSE)),"")</f>
        <v/>
      </c>
      <c r="BG31" s="149" t="str">
        <f>IFERROR(IFERROR(VLOOKUP($C31&amp;" "&amp;BG$1,Results!$F:$H,3,FALSE),-VLOOKUP($C31&amp;" "&amp;BG$1,Results!$G:$H,2,FALSE)),"")</f>
        <v/>
      </c>
      <c r="BH31" s="2" t="str">
        <f>IFERROR(IFERROR(VLOOKUP($C31&amp;" "&amp;BH$1,Results!$F:$H,3,FALSE),-VLOOKUP($C31&amp;" "&amp;BH$1,Results!$G:$H,2,FALSE)),"")</f>
        <v/>
      </c>
      <c r="BI31" s="2" t="str">
        <f>IFERROR(IFERROR(VLOOKUP($C31&amp;" "&amp;BI$1,Results!$F:$H,3,FALSE),-VLOOKUP($C31&amp;" "&amp;BI$1,Results!$G:$H,2,FALSE)),"")</f>
        <v/>
      </c>
      <c r="BJ31" s="2" t="str">
        <f>IFERROR(IFERROR(VLOOKUP($C31&amp;" "&amp;BJ$1,Results!$F:$H,3,FALSE),-VLOOKUP($C31&amp;" "&amp;BJ$1,Results!$G:$H,2,FALSE)),"")</f>
        <v/>
      </c>
      <c r="BK31" s="2" t="str">
        <f>IFERROR(IFERROR(VLOOKUP($C31&amp;" "&amp;BK$1,Results!$F:$H,3,FALSE),-VLOOKUP($C31&amp;" "&amp;BK$1,Results!$G:$H,2,FALSE)),"")</f>
        <v/>
      </c>
      <c r="BL31" s="2" t="str">
        <f>IFERROR(IFERROR(VLOOKUP($C31&amp;" "&amp;BL$1,Results!$F:$H,3,FALSE),-VLOOKUP($C31&amp;" "&amp;BL$1,Results!$G:$H,2,FALSE)),"")</f>
        <v/>
      </c>
      <c r="BM31" s="2" t="str">
        <f>IFERROR(IFERROR(VLOOKUP($C31&amp;" "&amp;BM$1,Results!$F:$H,3,FALSE),-VLOOKUP($C31&amp;" "&amp;BM$1,Results!$G:$H,2,FALSE)),"")</f>
        <v/>
      </c>
      <c r="BN31" s="2" t="str">
        <f>IFERROR(IFERROR(VLOOKUP($C31&amp;" "&amp;BN$1,Results!$F:$H,3,FALSE),-VLOOKUP($C31&amp;" "&amp;BN$1,Results!$G:$H,2,FALSE)),"")</f>
        <v/>
      </c>
      <c r="BO31" s="2" t="str">
        <f>IFERROR(IFERROR(VLOOKUP($C31&amp;" "&amp;BO$1,Results!$F:$H,3,FALSE),-VLOOKUP($C31&amp;" "&amp;BO$1,Results!$G:$H,2,FALSE)),"")</f>
        <v/>
      </c>
      <c r="BP31" s="2" t="str">
        <f>IFERROR(IFERROR(VLOOKUP($C31&amp;" "&amp;BP$1,Results!$F:$H,3,FALSE),-VLOOKUP($C31&amp;" "&amp;BP$1,Results!$G:$H,2,FALSE)),"")</f>
        <v/>
      </c>
      <c r="BQ31" s="2" t="str">
        <f>IFERROR(IFERROR(VLOOKUP($C31&amp;" "&amp;BQ$1,Results!$F:$H,3,FALSE),-VLOOKUP($C31&amp;" "&amp;BQ$1,Results!$G:$H,2,FALSE)),"")</f>
        <v/>
      </c>
      <c r="BR31" s="2" t="str">
        <f>IFERROR(IFERROR(VLOOKUP($C31&amp;" "&amp;BR$1,Results!$F:$H,3,FALSE),-VLOOKUP($C31&amp;" "&amp;BR$1,Results!$G:$H,2,FALSE)),"")</f>
        <v/>
      </c>
      <c r="BS31" s="2" t="str">
        <f>IFERROR(IFERROR(VLOOKUP($C31&amp;" "&amp;BS$1,Results!$F:$H,3,FALSE),-VLOOKUP($C31&amp;" "&amp;BS$1,Results!$G:$H,2,FALSE)),"")</f>
        <v/>
      </c>
      <c r="BT31" s="2" t="str">
        <f>IFERROR(IFERROR(VLOOKUP($C31&amp;" "&amp;BT$1,Results!$F:$H,3,FALSE),-VLOOKUP($C31&amp;" "&amp;BT$1,Results!$G:$H,2,FALSE)),"")</f>
        <v/>
      </c>
      <c r="BU31" s="2"/>
      <c r="BV31" s="2"/>
      <c r="BW31" s="82">
        <f t="shared" si="5"/>
        <v>-210</v>
      </c>
      <c r="BX31" s="5">
        <f t="shared" si="11"/>
        <v>4</v>
      </c>
      <c r="BY31" s="5">
        <f t="shared" si="6"/>
        <v>2</v>
      </c>
      <c r="BZ31" s="5">
        <f t="shared" si="12"/>
        <v>6</v>
      </c>
      <c r="CA31" s="65">
        <f t="shared" si="7"/>
        <v>0.66666666666666663</v>
      </c>
      <c r="CC31" s="8">
        <f t="shared" si="8"/>
        <v>-210</v>
      </c>
      <c r="CE31" s="5">
        <v>34</v>
      </c>
      <c r="CF31" s="5">
        <f t="shared" si="9"/>
        <v>34</v>
      </c>
      <c r="CG31" s="5">
        <f t="shared" si="10"/>
        <v>0</v>
      </c>
    </row>
    <row r="32" spans="1:85">
      <c r="A32" s="5">
        <v>24</v>
      </c>
      <c r="B32" s="5">
        <v>29</v>
      </c>
      <c r="C32" s="160" t="s">
        <v>104</v>
      </c>
      <c r="D32" s="5"/>
      <c r="E32" s="5">
        <f>IF(AND(AY32&gt;0,$A32&lt;VLOOKUP(AY$1,$C:$L,10,FALSE)),1,IF(AND(AY32&lt;0,$A32&gt;VLOOKUP(AY$1,$C:$L,10,FALSE)),1,0))</f>
        <v>1</v>
      </c>
      <c r="F32" s="5">
        <f>IF(AND(AZ32&gt;0,$A32&lt;VLOOKUP(AZ$1,$C:$L,10,FALSE)),1,IF(AND(AZ32&lt;0,$A32&gt;VLOOKUP(AZ$1,$C:$L,10,FALSE)),1,0))</f>
        <v>1</v>
      </c>
      <c r="G32" s="5">
        <f>IF(AND(BA32&gt;0,$A32&lt;VLOOKUP(BA$1,$C:$L,10,FALSE)),1,IF(AND(BA32&lt;0,$A32&gt;VLOOKUP(BA$1,$C:$L,10,FALSE)),1,0))</f>
        <v>1</v>
      </c>
      <c r="H32" s="5">
        <f>IF(AND(BC32&gt;0,$A32&lt;VLOOKUP(BC$1,$C:$L,10,FALSE)),1,IF(AND(BC32&lt;0,$A32&gt;VLOOKUP(BC$1,$C:$L,10,FALSE)),1,0))</f>
        <v>1</v>
      </c>
      <c r="I32" s="5">
        <f>IF(AND(BD32&gt;0,$A32&lt;VLOOKUP(BD$1,$C:$L,10,FALSE)),1,IF(AND(BD32&lt;0,$A32&gt;VLOOKUP(BD$1,$C:$L,10,FALSE)),1,0))</f>
        <v>0</v>
      </c>
      <c r="J32" s="5">
        <f>IF(AND(BE32&gt;0,$A32&lt;VLOOKUP(BE$1,$C:$L,10,FALSE)),1,IF(AND(BE32&lt;0,$A32&gt;VLOOKUP(BE$1,$C:$L,10,FALSE)),1,0))</f>
        <v>0</v>
      </c>
      <c r="K32" s="79" t="s">
        <v>134</v>
      </c>
      <c r="L32" s="125">
        <f t="shared" si="0"/>
        <v>29</v>
      </c>
      <c r="M32" s="2">
        <v>8</v>
      </c>
      <c r="N32" s="11">
        <f t="shared" si="1"/>
        <v>6</v>
      </c>
      <c r="O32" s="2">
        <f t="shared" si="2"/>
        <v>0</v>
      </c>
      <c r="P32" s="2">
        <f t="shared" si="3"/>
        <v>0</v>
      </c>
      <c r="Q32" s="12">
        <f>COUNTIF($AZ32:$BC32,"&gt;0")</f>
        <v>3</v>
      </c>
      <c r="R32" s="13">
        <f>COUNTIF($AZ32:$BC32,"&lt;0")</f>
        <v>0</v>
      </c>
      <c r="S32" s="14">
        <f>COUNTIF($AZ32:$BC32,"=0")</f>
        <v>0</v>
      </c>
      <c r="T32" s="2">
        <f t="shared" si="4"/>
        <v>0</v>
      </c>
      <c r="U32" s="2"/>
      <c r="V32" s="2"/>
      <c r="W32" s="2"/>
      <c r="AR32" s="2" t="str">
        <f>IFERROR(IFERROR(VLOOKUP($C32&amp;" "&amp;AR$1,Results!$F:$H,3,FALSE),-VLOOKUP($C32&amp;" "&amp;AR$1,Results!$G:$H,2,FALSE)),"")</f>
        <v/>
      </c>
      <c r="AS32" s="2" t="str">
        <f>IFERROR(IFERROR(VLOOKUP($C32&amp;" "&amp;AS$1,Results!$F:$H,3,FALSE),-VLOOKUP($C32&amp;" "&amp;AS$1,Results!$G:$H,2,FALSE)),"")</f>
        <v/>
      </c>
      <c r="AT32" s="2" t="str">
        <f>IFERROR(IFERROR(VLOOKUP($C32&amp;" "&amp;AT$1,Results!$F:$H,3,FALSE),-VLOOKUP($C32&amp;" "&amp;AT$1,Results!$G:$H,2,FALSE)),"")</f>
        <v/>
      </c>
      <c r="AU32" s="2" t="str">
        <f>IFERROR(IFERROR(VLOOKUP($C32&amp;" "&amp;AU$1,Results!$F:$H,3,FALSE),-VLOOKUP($C32&amp;" "&amp;AU$1,Results!$G:$H,2,FALSE)),"")</f>
        <v/>
      </c>
      <c r="AV32" s="2" t="str">
        <f>IFERROR(IFERROR(VLOOKUP($C32&amp;" "&amp;AV$1,Results!$F:$H,3,FALSE),-VLOOKUP($C32&amp;" "&amp;AV$1,Results!$G:$H,2,FALSE)),"")</f>
        <v/>
      </c>
      <c r="AW32" s="2">
        <f>IFERROR(IFERROR(VLOOKUP($C32&amp;" "&amp;AW$1,Results!$F:$H,3,FALSE),-VLOOKUP($C32&amp;" "&amp;AW$1,Results!$G:$H,2,FALSE)),"")</f>
        <v>80</v>
      </c>
      <c r="AX32" s="2">
        <f>IFERROR(IFERROR(VLOOKUP($C32&amp;" "&amp;AX$1,Results!$F:$H,3,FALSE),-VLOOKUP($C32&amp;" "&amp;AX$1,Results!$G:$H,2,FALSE)),"")</f>
        <v>101</v>
      </c>
      <c r="AY32" s="2">
        <f>IFERROR(IFERROR(VLOOKUP($C32&amp;" "&amp;AY$1,Results!$F:$H,3,FALSE),-VLOOKUP($C32&amp;" "&amp;AY$1,Results!$G:$H,2,FALSE)),"")</f>
        <v>43</v>
      </c>
      <c r="AZ32" s="18" t="str">
        <f>IFERROR(IFERROR(VLOOKUP($C32&amp;" "&amp;AZ$1,Results!$F:$H,3,FALSE),-VLOOKUP($C32&amp;" "&amp;AZ$1,Results!$G:$H,2,FALSE)),"")</f>
        <v/>
      </c>
      <c r="BA32" s="42">
        <f>IFERROR(IFERROR(VLOOKUP($C32&amp;" "&amp;BA$1,Results!$F:$H,3,FALSE),-VLOOKUP($C32&amp;" "&amp;BA$1,Results!$G:$H,2,FALSE)),"")</f>
        <v>94</v>
      </c>
      <c r="BB32" s="42">
        <f>IFERROR(IFERROR(VLOOKUP($C32&amp;" "&amp;BB$1,Results!$F:$H,3,FALSE),-VLOOKUP($C32&amp;" "&amp;BB$1,Results!$G:$H,2,FALSE)),"")</f>
        <v>18.5</v>
      </c>
      <c r="BC32" s="43">
        <f>IFERROR(IFERROR(VLOOKUP($C32&amp;" "&amp;BC$1,Results!$F:$H,3,FALSE),-VLOOKUP($C32&amp;" "&amp;BC$1,Results!$G:$H,2,FALSE)),"")</f>
        <v>38</v>
      </c>
      <c r="BF32" s="2" t="str">
        <f>IFERROR(IFERROR(VLOOKUP($C32&amp;" "&amp;BF$1,Results!$F:$H,3,FALSE),-VLOOKUP($C32&amp;" "&amp;BF$1,Results!$G:$H,2,FALSE)),"")</f>
        <v/>
      </c>
      <c r="BG32" s="2"/>
      <c r="BH32" s="2"/>
      <c r="BI32" s="2"/>
      <c r="BJ32" s="2"/>
      <c r="BK32" s="2"/>
      <c r="BL32" s="2"/>
      <c r="BM32" s="15" t="str">
        <f>IFERROR(IFERROR(VLOOKUP($C32&amp;" "&amp;BM$1,Results!$F:$H,3,FALSE),-VLOOKUP($C32&amp;" "&amp;BM$1,Results!$G:$H,2,FALSE)),"")</f>
        <v/>
      </c>
      <c r="BN32" s="15" t="str">
        <f>IFERROR(IFERROR(VLOOKUP($C32&amp;" "&amp;BN$1,Results!$F:$H,3,FALSE),-VLOOKUP($C32&amp;" "&amp;BN$1,Results!$G:$H,2,FALSE)),"")</f>
        <v/>
      </c>
      <c r="BO32" s="15" t="str">
        <f>IFERROR(IFERROR(VLOOKUP($C32&amp;" "&amp;BO$1,Results!$F:$H,3,FALSE),-VLOOKUP($C32&amp;" "&amp;BO$1,Results!$G:$H,2,FALSE)),"")</f>
        <v/>
      </c>
      <c r="BP32" s="15" t="str">
        <f>IFERROR(IFERROR(VLOOKUP($C32&amp;" "&amp;BP$1,Results!$F:$H,3,FALSE),-VLOOKUP($C32&amp;" "&amp;BP$1,Results!$G:$H,2,FALSE)),"")</f>
        <v/>
      </c>
      <c r="BQ32" s="15" t="str">
        <f>IFERROR(IFERROR(VLOOKUP($C32&amp;" "&amp;BQ$1,Results!$F:$H,3,FALSE),-VLOOKUP($C32&amp;" "&amp;BQ$1,Results!$G:$H,2,FALSE)),"")</f>
        <v/>
      </c>
      <c r="BR32" s="15" t="str">
        <f>IFERROR(IFERROR(VLOOKUP($C32&amp;" "&amp;BR$1,Results!$F:$H,3,FALSE),-VLOOKUP($C32&amp;" "&amp;BR$1,Results!$G:$H,2,FALSE)),"")</f>
        <v/>
      </c>
      <c r="BS32" s="15" t="str">
        <f>IFERROR(IFERROR(VLOOKUP($C32&amp;" "&amp;BS$1,Results!$F:$H,3,FALSE),-VLOOKUP($C32&amp;" "&amp;BS$1,Results!$G:$H,2,FALSE)),"")</f>
        <v/>
      </c>
      <c r="BT32" s="15" t="str">
        <f>IFERROR(IFERROR(VLOOKUP($C32&amp;" "&amp;BT$1,Results!$F:$H,3,FALSE),-VLOOKUP($C32&amp;" "&amp;BT$1,Results!$G:$H,2,FALSE)),"")</f>
        <v/>
      </c>
      <c r="BU32" s="15"/>
      <c r="BV32" s="15"/>
      <c r="BW32" s="82">
        <f t="shared" si="5"/>
        <v>374.5</v>
      </c>
      <c r="BX32" s="5">
        <f t="shared" si="11"/>
        <v>4</v>
      </c>
      <c r="BY32" s="5">
        <f t="shared" si="6"/>
        <v>2</v>
      </c>
      <c r="BZ32" s="5">
        <f t="shared" si="12"/>
        <v>6</v>
      </c>
      <c r="CA32" s="65">
        <f t="shared" si="7"/>
        <v>0.66666666666666663</v>
      </c>
      <c r="CC32" s="8">
        <f t="shared" si="8"/>
        <v>374.5</v>
      </c>
      <c r="CE32" s="5">
        <v>27</v>
      </c>
      <c r="CF32" s="5">
        <f t="shared" si="9"/>
        <v>24</v>
      </c>
      <c r="CG32" s="5">
        <f t="shared" si="10"/>
        <v>3</v>
      </c>
    </row>
    <row r="33" spans="1:85">
      <c r="A33" s="5">
        <v>28</v>
      </c>
      <c r="B33" s="5">
        <v>30</v>
      </c>
      <c r="C33" s="10" t="s">
        <v>166</v>
      </c>
      <c r="D33" s="5"/>
      <c r="E33" s="5">
        <f>IF(AND(BA33&gt;0,$A33&lt;VLOOKUP(BA$1,$C:$L,10,FALSE)),1,IF(AND(BA33&lt;0,$A33&gt;VLOOKUP(BA$1,$C:$L,10,FALSE)),1,0))</f>
        <v>1</v>
      </c>
      <c r="F33" s="5">
        <f>IF(AND(BB33&gt;0,$A33&lt;VLOOKUP(BB$1,$C:$L,10,FALSE)),1,IF(AND(BB33&lt;0,$A33&gt;VLOOKUP(BB$1,$C:$L,10,FALSE)),1,0))</f>
        <v>1</v>
      </c>
      <c r="G33" s="5">
        <f>IF(AND(BC33&gt;0,$A33&lt;VLOOKUP(BC$1,$C:$L,10,FALSE)),1,IF(AND(BC33&lt;0,$A33&gt;VLOOKUP(BC$1,$C:$L,10,FALSE)),1,0))</f>
        <v>1</v>
      </c>
      <c r="H33" s="5">
        <f>IF(AND(BE33&gt;0,$A33&lt;VLOOKUP(BE$1,$C:$L,10,FALSE)),1,IF(AND(BE33&lt;0,$A33&gt;VLOOKUP(BE$1,$C:$L,10,FALSE)),1,0))</f>
        <v>1</v>
      </c>
      <c r="I33" s="5">
        <f>IF(AND(BF33&gt;0,$A33&lt;VLOOKUP(BF$1,$C:$L,10,FALSE)),1,IF(AND(BF33&lt;0,$A33&gt;VLOOKUP(BF$1,$C:$L,10,FALSE)),1,0))</f>
        <v>1</v>
      </c>
      <c r="J33" s="5">
        <f>IF(AND(BG33&gt;0,$A33&lt;VLOOKUP(BG$1,$C:$L,10,FALSE)),1,IF(AND(BG33&lt;0,$A33&gt;VLOOKUP(BG$1,$C:$L,10,FALSE)),1,0))</f>
        <v>1</v>
      </c>
      <c r="K33" s="79" t="s">
        <v>134</v>
      </c>
      <c r="L33" s="125">
        <f t="shared" si="0"/>
        <v>30</v>
      </c>
      <c r="M33" s="2">
        <v>8</v>
      </c>
      <c r="N33" s="11">
        <f t="shared" si="1"/>
        <v>4</v>
      </c>
      <c r="O33" s="2">
        <f t="shared" si="2"/>
        <v>2</v>
      </c>
      <c r="P33" s="2">
        <f t="shared" si="3"/>
        <v>0</v>
      </c>
      <c r="Q33" s="12">
        <f>COUNTIF($AZ33:$BC33,"&gt;0")</f>
        <v>2</v>
      </c>
      <c r="R33" s="13">
        <f>COUNTIF($AZ33:$BC33,"&lt;0")</f>
        <v>1</v>
      </c>
      <c r="S33" s="14">
        <f>COUNTIF($AZ33:$BC33,"=0")</f>
        <v>0</v>
      </c>
      <c r="T33" s="2">
        <f t="shared" si="4"/>
        <v>0</v>
      </c>
      <c r="U33" s="2"/>
      <c r="V33" s="2"/>
      <c r="W33" s="2"/>
      <c r="AR33" s="2" t="str">
        <f>IFERROR(IFERROR(VLOOKUP($C33&amp;" "&amp;AR$1,Results!$F:$H,3,FALSE),-VLOOKUP($C33&amp;" "&amp;AR$1,Results!$G:$H,2,FALSE)),"")</f>
        <v/>
      </c>
      <c r="AS33" s="2" t="str">
        <f>IFERROR(IFERROR(VLOOKUP($C33&amp;" "&amp;AS$1,Results!$F:$H,3,FALSE),-VLOOKUP($C33&amp;" "&amp;AS$1,Results!$G:$H,2,FALSE)),"")</f>
        <v/>
      </c>
      <c r="AT33" s="2" t="str">
        <f>IFERROR(IFERROR(VLOOKUP($C33&amp;" "&amp;AT$1,Results!$F:$H,3,FALSE),-VLOOKUP($C33&amp;" "&amp;AT$1,Results!$G:$H,2,FALSE)),"")</f>
        <v/>
      </c>
      <c r="AU33" s="2" t="str">
        <f>IFERROR(IFERROR(VLOOKUP($C33&amp;" "&amp;AU$1,Results!$F:$H,3,FALSE),-VLOOKUP($C33&amp;" "&amp;AU$1,Results!$G:$H,2,FALSE)),"")</f>
        <v/>
      </c>
      <c r="AV33" s="2" t="str">
        <f>IFERROR(IFERROR(VLOOKUP($C33&amp;" "&amp;AV$1,Results!$F:$H,3,FALSE),-VLOOKUP($C33&amp;" "&amp;AV$1,Results!$G:$H,2,FALSE)),"")</f>
        <v/>
      </c>
      <c r="AW33" s="2" t="str">
        <f>IFERROR(IFERROR(VLOOKUP($C33&amp;" "&amp;AW$1,Results!$F:$H,3,FALSE),-VLOOKUP($C33&amp;" "&amp;AW$1,Results!$G:$H,2,FALSE)),"")</f>
        <v/>
      </c>
      <c r="AX33" s="2">
        <f>IFERROR(IFERROR(VLOOKUP($C33&amp;" "&amp;AX$1,Results!$F:$H,3,FALSE),-VLOOKUP($C33&amp;" "&amp;AX$1,Results!$G:$H,2,FALSE)),"")</f>
        <v>77</v>
      </c>
      <c r="AY33" s="2">
        <f>IFERROR(IFERROR(VLOOKUP($C33&amp;" "&amp;AY$1,Results!$F:$H,3,FALSE),-VLOOKUP($C33&amp;" "&amp;AY$1,Results!$G:$H,2,FALSE)),"")</f>
        <v>18</v>
      </c>
      <c r="AZ33" s="51">
        <f>IFERROR(IFERROR(VLOOKUP($C33&amp;" "&amp;AZ$1,Results!$F:$H,3,FALSE),-VLOOKUP($C33&amp;" "&amp;AZ$1,Results!$G:$H,2,FALSE)),"")</f>
        <v>-94</v>
      </c>
      <c r="BA33" s="2" t="str">
        <f>IFERROR(IFERROR(VLOOKUP($C33&amp;" "&amp;BA$1,Results!$F:$H,3,FALSE),-VLOOKUP($C33&amp;" "&amp;BA$1,Results!$G:$H,2,FALSE)),"")</f>
        <v/>
      </c>
      <c r="BB33" s="2">
        <f>IFERROR(IFERROR(VLOOKUP($C33&amp;" "&amp;BB$1,Results!$F:$H,3,FALSE),-VLOOKUP($C33&amp;" "&amp;BB$1,Results!$G:$H,2,FALSE)),"")</f>
        <v>13</v>
      </c>
      <c r="BC33" s="56">
        <f>IFERROR(IFERROR(VLOOKUP($C33&amp;" "&amp;BC$1,Results!$F:$H,3,FALSE),-VLOOKUP($C33&amp;" "&amp;BC$1,Results!$G:$H,2,FALSE)),"")</f>
        <v>98</v>
      </c>
      <c r="BD33" s="19">
        <f>IFERROR(IFERROR(VLOOKUP($C33&amp;" "&amp;BD$1,Results!$F:$H,3,FALSE),-VLOOKUP($C33&amp;" "&amp;BD$1,Results!$G:$H,2,FALSE)),"")</f>
        <v>-78</v>
      </c>
      <c r="BE33" s="19" t="str">
        <f>IFERROR(IFERROR(VLOOKUP($C33&amp;" "&amp;BE$1,Results!$F:$H,3,FALSE),-VLOOKUP($C33&amp;" "&amp;BE$1,Results!$G:$H,2,FALSE)),"")</f>
        <v/>
      </c>
      <c r="BF33" s="19" t="str">
        <f>IFERROR(IFERROR(VLOOKUP($C33&amp;" "&amp;BF$1,Results!$F:$H,3,FALSE),-VLOOKUP($C33&amp;" "&amp;BF$1,Results!$G:$H,2,FALSE)),"")</f>
        <v/>
      </c>
      <c r="BG33" s="19" t="str">
        <f>IFERROR(IFERROR(VLOOKUP($C33&amp;" "&amp;BG$1,Results!$F:$H,3,FALSE),-VLOOKUP($C33&amp;" "&amp;BG$1,Results!$G:$H,2,FALSE)),"")</f>
        <v/>
      </c>
      <c r="BH33" s="2" t="str">
        <f>IFERROR(IFERROR(VLOOKUP($C33&amp;" "&amp;BH$1,Results!$F:$H,3,FALSE),-VLOOKUP($C33&amp;" "&amp;BH$1,Results!$G:$H,2,FALSE)),"")</f>
        <v/>
      </c>
      <c r="BI33" s="2" t="str">
        <f>IFERROR(IFERROR(VLOOKUP($C33&amp;" "&amp;BI$1,Results!$F:$H,3,FALSE),-VLOOKUP($C33&amp;" "&amp;BI$1,Results!$G:$H,2,FALSE)),"")</f>
        <v/>
      </c>
      <c r="BJ33" s="2" t="str">
        <f>IFERROR(IFERROR(VLOOKUP($C33&amp;" "&amp;BJ$1,Results!$F:$H,3,FALSE),-VLOOKUP($C33&amp;" "&amp;BJ$1,Results!$G:$H,2,FALSE)),"")</f>
        <v/>
      </c>
      <c r="BK33" s="2" t="str">
        <f>IFERROR(IFERROR(VLOOKUP($C33&amp;" "&amp;BK$1,Results!$F:$H,3,FALSE),-VLOOKUP($C33&amp;" "&amp;BK$1,Results!$G:$H,2,FALSE)),"")</f>
        <v/>
      </c>
      <c r="BL33" s="2" t="str">
        <f>IFERROR(IFERROR(VLOOKUP($C33&amp;" "&amp;BL$1,Results!$F:$H,3,FALSE),-VLOOKUP($C33&amp;" "&amp;BL$1,Results!$G:$H,2,FALSE)),"")</f>
        <v/>
      </c>
      <c r="BM33" s="2" t="str">
        <f>IFERROR(IFERROR(VLOOKUP($C33&amp;" "&amp;BM$1,Results!$F:$H,3,FALSE),-VLOOKUP($C33&amp;" "&amp;BM$1,Results!$G:$H,2,FALSE)),"")</f>
        <v/>
      </c>
      <c r="BN33" s="2" t="str">
        <f>IFERROR(IFERROR(VLOOKUP($C33&amp;" "&amp;BN$1,Results!$F:$H,3,FALSE),-VLOOKUP($C33&amp;" "&amp;BN$1,Results!$G:$H,2,FALSE)),"")</f>
        <v/>
      </c>
      <c r="BO33" s="2" t="str">
        <f>IFERROR(IFERROR(VLOOKUP($C33&amp;" "&amp;BO$1,Results!$F:$H,3,FALSE),-VLOOKUP($C33&amp;" "&amp;BO$1,Results!$G:$H,2,FALSE)),"")</f>
        <v/>
      </c>
      <c r="BP33" s="2" t="str">
        <f>IFERROR(IFERROR(VLOOKUP($C33&amp;" "&amp;BP$1,Results!$F:$H,3,FALSE),-VLOOKUP($C33&amp;" "&amp;BP$1,Results!$G:$H,2,FALSE)),"")</f>
        <v/>
      </c>
      <c r="BQ33" s="2" t="str">
        <f>IFERROR(IFERROR(VLOOKUP($C33&amp;" "&amp;BQ$1,Results!$F:$H,3,FALSE),-VLOOKUP($C33&amp;" "&amp;BQ$1,Results!$G:$H,2,FALSE)),"")</f>
        <v/>
      </c>
      <c r="BR33" s="2" t="str">
        <f>IFERROR(IFERROR(VLOOKUP($C33&amp;" "&amp;BR$1,Results!$F:$H,3,FALSE),-VLOOKUP($C33&amp;" "&amp;BR$1,Results!$G:$H,2,FALSE)),"")</f>
        <v/>
      </c>
      <c r="BS33" s="2" t="str">
        <f>IFERROR(IFERROR(VLOOKUP($C33&amp;" "&amp;BS$1,Results!$F:$H,3,FALSE),-VLOOKUP($C33&amp;" "&amp;BS$1,Results!$G:$H,2,FALSE)),"")</f>
        <v/>
      </c>
      <c r="BT33" s="2" t="str">
        <f>IFERROR(IFERROR(VLOOKUP($C33&amp;" "&amp;BT$1,Results!$F:$H,3,FALSE),-VLOOKUP($C33&amp;" "&amp;BT$1,Results!$G:$H,2,FALSE)),"")</f>
        <v/>
      </c>
      <c r="BU33" s="2"/>
      <c r="BV33" s="2"/>
      <c r="BW33" s="82">
        <f t="shared" si="5"/>
        <v>34</v>
      </c>
      <c r="BX33" s="5">
        <f t="shared" si="11"/>
        <v>6</v>
      </c>
      <c r="BY33" s="5">
        <f t="shared" si="6"/>
        <v>0</v>
      </c>
      <c r="BZ33" s="5">
        <f t="shared" si="12"/>
        <v>6</v>
      </c>
      <c r="CA33" s="65">
        <f t="shared" si="7"/>
        <v>1</v>
      </c>
      <c r="CC33" s="8">
        <f t="shared" si="8"/>
        <v>34</v>
      </c>
      <c r="CE33" s="5">
        <v>32</v>
      </c>
      <c r="CF33" s="5">
        <f t="shared" si="9"/>
        <v>28</v>
      </c>
      <c r="CG33" s="5">
        <f t="shared" si="10"/>
        <v>4</v>
      </c>
    </row>
    <row r="34" spans="1:85">
      <c r="A34" s="135">
        <v>29</v>
      </c>
      <c r="B34" s="135">
        <v>31</v>
      </c>
      <c r="C34" s="10" t="s">
        <v>98</v>
      </c>
      <c r="D34" s="5"/>
      <c r="E34" s="5">
        <f>IF(AND(AU34&gt;0,$A34&lt;VLOOKUP(AU$1,$C:$L,10,FALSE)),1,IF(AND(AU34&lt;0,$A34&gt;VLOOKUP(AU$1,$C:$L,10,FALSE)),1,0))</f>
        <v>0</v>
      </c>
      <c r="F34" s="5">
        <f>IF(AND(AV34&gt;0,$A34&lt;VLOOKUP(AV$1,$C:$L,10,FALSE)),1,IF(AND(AV34&lt;0,$A34&gt;VLOOKUP(AV$1,$C:$L,10,FALSE)),1,0))</f>
        <v>0</v>
      </c>
      <c r="G34" s="5">
        <f>IF(AND(AW34&gt;0,$A34&lt;VLOOKUP(AW$1,$C:$L,10,FALSE)),1,IF(AND(AW34&lt;0,$A34&gt;VLOOKUP(AW$1,$C:$L,10,FALSE)),1,0))</f>
        <v>0</v>
      </c>
      <c r="H34" s="5">
        <f>IF(AND(AY34&gt;0,$A34&lt;VLOOKUP(AY$1,$C:$L,10,FALSE)),1,IF(AND(AY34&lt;0,$A34&gt;VLOOKUP(AY$1,$C:$L,10,FALSE)),1,0))</f>
        <v>0</v>
      </c>
      <c r="I34" s="5">
        <f>IF(AND(AZ34&gt;0,$A34&lt;VLOOKUP(AZ$1,$C:$L,10,FALSE)),1,IF(AND(AZ34&lt;0,$A34&gt;VLOOKUP(AZ$1,$C:$L,10,FALSE)),1,0))</f>
        <v>0</v>
      </c>
      <c r="J34" s="5">
        <f>IF(AND(BA34&gt;0,$A34&lt;VLOOKUP(BA$1,$C:$L,10,FALSE)),1,IF(AND(BA34&lt;0,$A34&gt;VLOOKUP(BA$1,$C:$L,10,FALSE)),1,0))</f>
        <v>0</v>
      </c>
      <c r="K34" s="79" t="s">
        <v>134</v>
      </c>
      <c r="L34" s="125">
        <f t="shared" si="0"/>
        <v>31</v>
      </c>
      <c r="M34" s="2">
        <v>8</v>
      </c>
      <c r="N34" s="11">
        <f t="shared" si="1"/>
        <v>4</v>
      </c>
      <c r="O34" s="2">
        <f t="shared" si="2"/>
        <v>2</v>
      </c>
      <c r="P34" s="2">
        <f t="shared" si="3"/>
        <v>0</v>
      </c>
      <c r="Q34" s="12">
        <f>COUNTIF($AZ34:$BC34,"&gt;0")</f>
        <v>1</v>
      </c>
      <c r="R34" s="13">
        <f>COUNTIF($AZ34:$BC34,"&lt;0")</f>
        <v>2</v>
      </c>
      <c r="S34" s="14">
        <f>COUNTIF($AZ34:$BC34,"=0")</f>
        <v>0</v>
      </c>
      <c r="T34" s="2">
        <f t="shared" si="4"/>
        <v>0</v>
      </c>
      <c r="U34" s="2"/>
      <c r="V34" s="2"/>
      <c r="W34" s="2"/>
      <c r="AF34" s="2" t="str">
        <f>IFERROR(IFERROR(VLOOKUP($C34&amp;" "&amp;AF$1,Results!$F:$H,3,FALSE),-VLOOKUP($C34&amp;" "&amp;AF$1,Results!$G:$H,2,FALSE)),"")</f>
        <v/>
      </c>
      <c r="AG34" s="2" t="str">
        <f>IFERROR(IFERROR(VLOOKUP($C34&amp;" "&amp;AG$1,Results!$F:$H,3,FALSE),-VLOOKUP($C34&amp;" "&amp;AG$1,Results!$G:$H,2,FALSE)),"")</f>
        <v/>
      </c>
      <c r="AH34" s="2" t="str">
        <f>IFERROR(IFERROR(VLOOKUP($C34&amp;" "&amp;AH$1,Results!$F:$H,3,FALSE),-VLOOKUP($C34&amp;" "&amp;AH$1,Results!$G:$H,2,FALSE)),"")</f>
        <v/>
      </c>
      <c r="AI34" s="2" t="str">
        <f>IFERROR(IFERROR(VLOOKUP($C34&amp;" "&amp;AI$1,Results!$F:$H,3,FALSE),-VLOOKUP($C34&amp;" "&amp;AI$1,Results!$G:$H,2,FALSE)),"")</f>
        <v/>
      </c>
      <c r="AJ34" s="2" t="str">
        <f>IFERROR(IFERROR(VLOOKUP($C34&amp;" "&amp;AJ$1,Results!$F:$H,3,FALSE),-VLOOKUP($C34&amp;" "&amp;AJ$1,Results!$G:$H,2,FALSE)),"")</f>
        <v/>
      </c>
      <c r="AK34" s="2" t="str">
        <f>IFERROR(IFERROR(VLOOKUP($C34&amp;" "&amp;AK$1,Results!$F:$H,3,FALSE),-VLOOKUP($C34&amp;" "&amp;AK$1,Results!$G:$H,2,FALSE)),"")</f>
        <v/>
      </c>
      <c r="AL34" s="2" t="str">
        <f>IFERROR(IFERROR(VLOOKUP($C34&amp;" "&amp;AL$1,Results!$F:$H,3,FALSE),-VLOOKUP($C34&amp;" "&amp;AL$1,Results!$G:$H,2,FALSE)),"")</f>
        <v/>
      </c>
      <c r="AM34" s="2" t="str">
        <f>IFERROR(IFERROR(VLOOKUP($C34&amp;" "&amp;AM$1,Results!$F:$H,3,FALSE),-VLOOKUP($C34&amp;" "&amp;AM$1,Results!$G:$H,2,FALSE)),"")</f>
        <v/>
      </c>
      <c r="AN34" s="2" t="str">
        <f>IFERROR(IFERROR(VLOOKUP($C34&amp;" "&amp;AN$1,Results!$F:$H,3,FALSE),-VLOOKUP($C34&amp;" "&amp;AN$1,Results!$G:$H,2,FALSE)),"")</f>
        <v/>
      </c>
      <c r="AO34" s="2" t="str">
        <f>IFERROR(IFERROR(VLOOKUP($C34&amp;" "&amp;AO$1,Results!$F:$H,3,FALSE),-VLOOKUP($C34&amp;" "&amp;AO$1,Results!$G:$H,2,FALSE)),"")</f>
        <v/>
      </c>
      <c r="AP34" s="2" t="str">
        <f>IFERROR(IFERROR(VLOOKUP($C34&amp;" "&amp;AP$1,Results!$F:$H,3,FALSE),-VLOOKUP($C34&amp;" "&amp;AP$1,Results!$G:$H,2,FALSE)),"")</f>
        <v/>
      </c>
      <c r="AQ34" s="2" t="str">
        <f>IFERROR(IFERROR(VLOOKUP($C34&amp;" "&amp;AQ$1,Results!$F:$H,3,FALSE),-VLOOKUP($C34&amp;" "&amp;AQ$1,Results!$G:$H,2,FALSE)),"")</f>
        <v/>
      </c>
      <c r="AR34" s="2" t="str">
        <f>IFERROR(IFERROR(VLOOKUP($C34&amp;" "&amp;AR$1,Results!$F:$H,3,FALSE),-VLOOKUP($C34&amp;" "&amp;AR$1,Results!$G:$H,2,FALSE)),"")</f>
        <v/>
      </c>
      <c r="AS34" s="2" t="str">
        <f>IFERROR(IFERROR(VLOOKUP($C34&amp;" "&amp;AS$1,Results!$F:$H,3,FALSE),-VLOOKUP($C34&amp;" "&amp;AS$1,Results!$G:$H,2,FALSE)),"")</f>
        <v/>
      </c>
      <c r="AT34" s="2" t="str">
        <f>IFERROR(IFERROR(VLOOKUP($C34&amp;" "&amp;AT$1,Results!$F:$H,3,FALSE),-VLOOKUP($C34&amp;" "&amp;AT$1,Results!$G:$H,2,FALSE)),"")</f>
        <v/>
      </c>
      <c r="AU34" s="2" t="str">
        <f>IFERROR(IFERROR(VLOOKUP($C34&amp;" "&amp;AU$1,Results!$F:$H,3,FALSE),-VLOOKUP($C34&amp;" "&amp;AU$1,Results!$G:$H,2,FALSE)),"")</f>
        <v/>
      </c>
      <c r="AV34" s="19" t="str">
        <f>IFERROR(IFERROR(VLOOKUP($C34&amp;" "&amp;AV$1,Results!$F:$H,3,FALSE),-VLOOKUP($C34&amp;" "&amp;AV$1,Results!$G:$H,2,FALSE)),"")</f>
        <v/>
      </c>
      <c r="AW34" s="19" t="str">
        <f>IFERROR(IFERROR(VLOOKUP($C34&amp;" "&amp;AW$1,Results!$F:$H,3,FALSE),-VLOOKUP($C34&amp;" "&amp;AW$1,Results!$G:$H,2,FALSE)),"")</f>
        <v/>
      </c>
      <c r="AX34" s="19" t="str">
        <f>IFERROR(IFERROR(VLOOKUP($C34&amp;" "&amp;AX$1,Results!$F:$H,3,FALSE),-VLOOKUP($C34&amp;" "&amp;AX$1,Results!$G:$H,2,FALSE)),"")</f>
        <v/>
      </c>
      <c r="AY34" s="19">
        <f>IFERROR(IFERROR(VLOOKUP($C34&amp;" "&amp;AY$1,Results!$F:$H,3,FALSE),-VLOOKUP($C34&amp;" "&amp;AY$1,Results!$G:$H,2,FALSE)),"")</f>
        <v>28</v>
      </c>
      <c r="AZ34" s="51">
        <f>IFERROR(IFERROR(VLOOKUP($C34&amp;" "&amp;AZ$1,Results!$F:$H,3,FALSE),-VLOOKUP($C34&amp;" "&amp;AZ$1,Results!$G:$H,2,FALSE)),"")</f>
        <v>-18.5</v>
      </c>
      <c r="BA34" s="147">
        <f>IFERROR(IFERROR(VLOOKUP($C34&amp;" "&amp;BA$1,Results!$F:$H,3,FALSE),-VLOOKUP($C34&amp;" "&amp;BA$1,Results!$G:$H,2,FALSE)),"")</f>
        <v>-13</v>
      </c>
      <c r="BB34" s="2" t="str">
        <f>IFERROR(IFERROR(VLOOKUP($C34&amp;" "&amp;BB$1,Results!$F:$H,3,FALSE),-VLOOKUP($C34&amp;" "&amp;BB$1,Results!$G:$H,2,FALSE)),"")</f>
        <v/>
      </c>
      <c r="BC34" s="56">
        <f>IFERROR(IFERROR(VLOOKUP($C34&amp;" "&amp;BC$1,Results!$F:$H,3,FALSE),-VLOOKUP($C34&amp;" "&amp;BC$1,Results!$G:$H,2,FALSE)),"")</f>
        <v>158</v>
      </c>
      <c r="BD34" s="2">
        <f>IFERROR(IFERROR(VLOOKUP($C34&amp;" "&amp;BD$1,Results!$F:$H,3,FALSE),-VLOOKUP($C34&amp;" "&amp;BD$1,Results!$G:$H,2,FALSE)),"")</f>
        <v>96</v>
      </c>
      <c r="BE34" s="2">
        <f>IFERROR(IFERROR(VLOOKUP($C34&amp;" "&amp;BE$1,Results!$F:$H,3,FALSE),-VLOOKUP($C34&amp;" "&amp;BE$1,Results!$G:$H,2,FALSE)),"")</f>
        <v>161.66666666666697</v>
      </c>
      <c r="BG34" s="2"/>
      <c r="BH34" s="2"/>
      <c r="BI34" s="15"/>
      <c r="BJ34" s="15"/>
      <c r="BK34" s="15"/>
      <c r="BL34" s="15"/>
      <c r="BM34" s="15"/>
      <c r="BN34" s="15"/>
      <c r="BO34" s="15"/>
      <c r="BW34" s="82">
        <f t="shared" si="5"/>
        <v>412.16666666666697</v>
      </c>
      <c r="BX34" s="5">
        <f t="shared" si="11"/>
        <v>0</v>
      </c>
      <c r="BY34" s="5">
        <f t="shared" si="6"/>
        <v>6</v>
      </c>
      <c r="BZ34" s="5">
        <f t="shared" si="12"/>
        <v>6</v>
      </c>
      <c r="CA34" s="65">
        <f t="shared" si="7"/>
        <v>0</v>
      </c>
      <c r="CC34" s="8">
        <f t="shared" si="8"/>
        <v>412.16666666666697</v>
      </c>
      <c r="CE34" s="135">
        <v>30</v>
      </c>
      <c r="CF34" s="5">
        <f t="shared" si="9"/>
        <v>29</v>
      </c>
      <c r="CG34" s="5">
        <f t="shared" si="10"/>
        <v>1</v>
      </c>
    </row>
    <row r="35" spans="1:85" ht="12.75" customHeight="1" thickBot="1">
      <c r="A35" s="5">
        <v>38</v>
      </c>
      <c r="B35" s="5">
        <v>32</v>
      </c>
      <c r="C35" s="158" t="s">
        <v>24</v>
      </c>
      <c r="D35" s="5"/>
      <c r="E35" s="5">
        <f>IF(AND(AX35&gt;0,$A35&lt;VLOOKUP(AX$1,$C:$L,10,FALSE)),1,IF(AND(AX35&lt;0,$A35&gt;VLOOKUP(AX$1,$C:$L,10,FALSE)),1,0))</f>
        <v>0</v>
      </c>
      <c r="F35" s="5">
        <f>IF(AND(AY35&gt;0,$A35&lt;VLOOKUP(AY$1,$C:$L,10,FALSE)),1,IF(AND(AY35&lt;0,$A35&gt;VLOOKUP(AY$1,$C:$L,10,FALSE)),1,0))</f>
        <v>0</v>
      </c>
      <c r="G35" s="5">
        <f>IF(AND(AZ35&gt;0,$A35&lt;VLOOKUP(AZ$1,$C:$L,10,FALSE)),1,IF(AND(AZ35&lt;0,$A35&gt;VLOOKUP(AZ$1,$C:$L,10,FALSE)),1,0))</f>
        <v>1</v>
      </c>
      <c r="H35" s="5">
        <f>IF(AND(BB35&gt;0,$A35&lt;VLOOKUP(BB$1,$C:$L,10,FALSE)),1,IF(AND(BB35&lt;0,$A35&gt;VLOOKUP(BB$1,$C:$L,10,FALSE)),1,0))</f>
        <v>1</v>
      </c>
      <c r="I35" s="5">
        <f>IF(AND(BC35&gt;0,$A35&lt;VLOOKUP(BC$1,$C:$L,10,FALSE)),1,IF(AND(BC35&lt;0,$A35&gt;VLOOKUP(BC$1,$C:$L,10,FALSE)),1,0))</f>
        <v>0</v>
      </c>
      <c r="J35" s="5">
        <f>IF(AND(BD35&gt;0,$A35&lt;VLOOKUP(BD$1,$C:$L,10,FALSE)),1,IF(AND(BD35&lt;0,$A35&gt;VLOOKUP(BD$1,$C:$L,10,FALSE)),1,0))</f>
        <v>1</v>
      </c>
      <c r="K35" s="79" t="s">
        <v>134</v>
      </c>
      <c r="L35" s="125">
        <f t="shared" si="0"/>
        <v>32</v>
      </c>
      <c r="M35" s="76">
        <v>8</v>
      </c>
      <c r="N35" s="11">
        <f t="shared" si="1"/>
        <v>0</v>
      </c>
      <c r="O35" s="2">
        <f t="shared" si="2"/>
        <v>6</v>
      </c>
      <c r="P35" s="2">
        <f t="shared" si="3"/>
        <v>0</v>
      </c>
      <c r="Q35" s="12">
        <f>COUNTIF($AZ35:$BC35,"&gt;0")</f>
        <v>0</v>
      </c>
      <c r="R35" s="13">
        <f>COUNTIF($AZ35:$BC35,"&lt;0")</f>
        <v>3</v>
      </c>
      <c r="S35" s="14">
        <f>COUNTIF($AZ35:$BC35,"=0")</f>
        <v>0</v>
      </c>
      <c r="T35" s="2">
        <f t="shared" si="4"/>
        <v>0</v>
      </c>
      <c r="U35" s="2"/>
      <c r="V35" s="2"/>
      <c r="W35" s="2"/>
      <c r="AR35" s="2" t="str">
        <f>IFERROR(IFERROR(VLOOKUP($C35&amp;" "&amp;AR$1,Results!$F:$H,3,FALSE),-VLOOKUP($C35&amp;" "&amp;AR$1,Results!$G:$H,2,FALSE)),"")</f>
        <v/>
      </c>
      <c r="AS35" s="2" t="str">
        <f>IFERROR(IFERROR(VLOOKUP($C35&amp;" "&amp;AS$1,Results!$F:$H,3,FALSE),-VLOOKUP($C35&amp;" "&amp;AS$1,Results!$G:$H,2,FALSE)),"")</f>
        <v/>
      </c>
      <c r="AT35" s="2" t="str">
        <f>IFERROR(IFERROR(VLOOKUP($C35&amp;" "&amp;AT$1,Results!$F:$H,3,FALSE),-VLOOKUP($C35&amp;" "&amp;AT$1,Results!$G:$H,2,FALSE)),"")</f>
        <v/>
      </c>
      <c r="AU35" s="2" t="str">
        <f>IFERROR(IFERROR(VLOOKUP($C35&amp;" "&amp;AU$1,Results!$F:$H,3,FALSE),-VLOOKUP($C35&amp;" "&amp;AU$1,Results!$G:$H,2,FALSE)),"")</f>
        <v/>
      </c>
      <c r="AV35" s="2" t="str">
        <f>IFERROR(IFERROR(VLOOKUP($C35&amp;" "&amp;AV$1,Results!$F:$H,3,FALSE),-VLOOKUP($C35&amp;" "&amp;AV$1,Results!$G:$H,2,FALSE)),"")</f>
        <v/>
      </c>
      <c r="AW35" s="2" t="str">
        <f>IFERROR(IFERROR(VLOOKUP($C35&amp;" "&amp;AW$1,Results!$F:$H,3,FALSE),-VLOOKUP($C35&amp;" "&amp;AW$1,Results!$G:$H,2,FALSE)),"")</f>
        <v/>
      </c>
      <c r="AX35" s="2" t="str">
        <f>IFERROR(IFERROR(VLOOKUP($C35&amp;" "&amp;AX$1,Results!$F:$H,3,FALSE),-VLOOKUP($C35&amp;" "&amp;AX$1,Results!$G:$H,2,FALSE)),"")</f>
        <v/>
      </c>
      <c r="AY35" s="2" t="str">
        <f>IFERROR(IFERROR(VLOOKUP($C35&amp;" "&amp;AY$1,Results!$F:$H,3,FALSE),-VLOOKUP($C35&amp;" "&amp;AY$1,Results!$G:$H,2,FALSE)),"")</f>
        <v/>
      </c>
      <c r="AZ35" s="52">
        <f>IFERROR(IFERROR(VLOOKUP($C35&amp;" "&amp;AZ$1,Results!$F:$H,3,FALSE),-VLOOKUP($C35&amp;" "&amp;AZ$1,Results!$G:$H,2,FALSE)),"")</f>
        <v>-38</v>
      </c>
      <c r="BA35" s="57">
        <f>IFERROR(IFERROR(VLOOKUP($C35&amp;" "&amp;BA$1,Results!$F:$H,3,FALSE),-VLOOKUP($C35&amp;" "&amp;BA$1,Results!$G:$H,2,FALSE)),"")</f>
        <v>-98</v>
      </c>
      <c r="BB35" s="57">
        <f>IFERROR(IFERROR(VLOOKUP($C35&amp;" "&amp;BB$1,Results!$F:$H,3,FALSE),-VLOOKUP($C35&amp;" "&amp;BB$1,Results!$G:$H,2,FALSE)),"")</f>
        <v>-158</v>
      </c>
      <c r="BC35" s="58" t="str">
        <f>IFERROR(IFERROR(VLOOKUP($C35&amp;" "&amp;BC$1,Results!$F:$H,3,FALSE),-VLOOKUP($C35&amp;" "&amp;BC$1,Results!$G:$H,2,FALSE)),"")</f>
        <v/>
      </c>
      <c r="BD35" s="2">
        <f>IFERROR(IFERROR(VLOOKUP($C35&amp;" "&amp;BD$1,Results!$F:$H,3,FALSE),-VLOOKUP($C35&amp;" "&amp;BD$1,Results!$G:$H,2,FALSE)),"")</f>
        <v>-87</v>
      </c>
      <c r="BE35" s="2">
        <f>IFERROR(IFERROR(VLOOKUP($C35&amp;" "&amp;BE$1,Results!$F:$H,3,FALSE),-VLOOKUP($C35&amp;" "&amp;BE$1,Results!$G:$H,2,FALSE)),"")</f>
        <v>-110</v>
      </c>
      <c r="BF35" s="2">
        <f>IFERROR(IFERROR(VLOOKUP($C35&amp;" "&amp;BF$1,Results!$F:$H,3,FALSE),-VLOOKUP($C35&amp;" "&amp;BF$1,Results!$G:$H,2,FALSE)),"")</f>
        <v>-14</v>
      </c>
      <c r="BG35" s="2" t="str">
        <f>IFERROR(IFERROR(VLOOKUP($C35&amp;" "&amp;BG$1,Results!$F:$H,3,FALSE),-VLOOKUP($C35&amp;" "&amp;BG$1,Results!$G:$H,2,FALSE)),"")</f>
        <v/>
      </c>
      <c r="BH35" s="2" t="str">
        <f>IFERROR(IFERROR(VLOOKUP($C35&amp;" "&amp;BH$1,Results!$F:$H,3,FALSE),-VLOOKUP($C35&amp;" "&amp;BH$1,Results!$G:$H,2,FALSE)),"")</f>
        <v/>
      </c>
      <c r="BI35" s="7" t="str">
        <f>IFERROR(IFERROR(VLOOKUP($C35&amp;" "&amp;BI$1,Results!$F:$H,3,FALSE),-VLOOKUP($C35&amp;" "&amp;BI$1,Results!$G:$H,2,FALSE)),"")</f>
        <v/>
      </c>
      <c r="BJ35" s="15" t="str">
        <f>IFERROR(IFERROR(VLOOKUP($C35&amp;" "&amp;BJ$1,Results!$F:$H,3,FALSE),-VLOOKUP($C35&amp;" "&amp;BJ$1,Results!$G:$H,2,FALSE)),"")</f>
        <v/>
      </c>
      <c r="BK35" s="15" t="str">
        <f>IFERROR(IFERROR(VLOOKUP($C35&amp;" "&amp;BK$1,Results!$F:$H,3,FALSE),-VLOOKUP($C35&amp;" "&amp;BK$1,Results!$G:$H,2,FALSE)),"")</f>
        <v/>
      </c>
      <c r="BL35" s="15" t="str">
        <f>IFERROR(IFERROR(VLOOKUP($C35&amp;" "&amp;BL$1,Results!$F:$H,3,FALSE),-VLOOKUP($C35&amp;" "&amp;BL$1,Results!$G:$H,2,FALSE)),"")</f>
        <v/>
      </c>
      <c r="BM35" s="15" t="str">
        <f>IFERROR(IFERROR(VLOOKUP($C35&amp;" "&amp;BM$1,Results!$F:$H,3,FALSE),-VLOOKUP($C35&amp;" "&amp;BM$1,Results!$G:$H,2,FALSE)),"")</f>
        <v/>
      </c>
      <c r="BN35" s="15" t="str">
        <f>IFERROR(IFERROR(VLOOKUP($C35&amp;" "&amp;BN$1,Results!$F:$H,3,FALSE),-VLOOKUP($C35&amp;" "&amp;BN$1,Results!$G:$H,2,FALSE)),"")</f>
        <v/>
      </c>
      <c r="BO35" s="15" t="str">
        <f>IFERROR(IFERROR(VLOOKUP($C35&amp;" "&amp;BO$1,Results!$F:$H,3,FALSE),-VLOOKUP($C35&amp;" "&amp;BO$1,Results!$G:$H,2,FALSE)),"")</f>
        <v/>
      </c>
      <c r="BP35" s="8" t="str">
        <f>IFERROR(IFERROR(VLOOKUP($C35&amp;" "&amp;BP$1,Results!$F:$H,3,FALSE),-VLOOKUP($C35&amp;" "&amp;BP$1,Results!$G:$H,2,FALSE)),"")</f>
        <v/>
      </c>
      <c r="BQ35" s="8" t="str">
        <f>IFERROR(IFERROR(VLOOKUP($C35&amp;" "&amp;BQ$1,Results!$F:$H,3,FALSE),-VLOOKUP($C35&amp;" "&amp;BQ$1,Results!$G:$H,2,FALSE)),"")</f>
        <v/>
      </c>
      <c r="BR35" s="8" t="str">
        <f>IFERROR(IFERROR(VLOOKUP($C35&amp;" "&amp;BR$1,Results!$F:$H,3,FALSE),-VLOOKUP($C35&amp;" "&amp;BR$1,Results!$G:$H,2,FALSE)),"")</f>
        <v/>
      </c>
      <c r="BS35" s="8" t="str">
        <f>IFERROR(IFERROR(VLOOKUP($C35&amp;" "&amp;BS$1,Results!$F:$H,3,FALSE),-VLOOKUP($C35&amp;" "&amp;BS$1,Results!$G:$H,2,FALSE)),"")</f>
        <v/>
      </c>
      <c r="BT35" s="8" t="str">
        <f>IFERROR(IFERROR(VLOOKUP($C35&amp;" "&amp;BT$1,Results!$F:$H,3,FALSE),-VLOOKUP($C35&amp;" "&amp;BT$1,Results!$G:$H,2,FALSE)),"")</f>
        <v/>
      </c>
      <c r="BW35" s="82">
        <f t="shared" si="5"/>
        <v>-505</v>
      </c>
      <c r="BX35" s="5">
        <f t="shared" si="11"/>
        <v>3</v>
      </c>
      <c r="BY35" s="5">
        <f t="shared" si="6"/>
        <v>3</v>
      </c>
      <c r="BZ35" s="5">
        <f t="shared" si="12"/>
        <v>6</v>
      </c>
      <c r="CA35" s="65">
        <f t="shared" si="7"/>
        <v>0.5</v>
      </c>
      <c r="CC35" s="8">
        <f t="shared" si="8"/>
        <v>-505</v>
      </c>
      <c r="CE35" s="5">
        <v>26</v>
      </c>
      <c r="CF35" s="5">
        <f t="shared" si="9"/>
        <v>38</v>
      </c>
      <c r="CG35" s="5">
        <f t="shared" si="10"/>
        <v>-12</v>
      </c>
    </row>
    <row r="36" spans="1:85" ht="12.75" customHeight="1">
      <c r="A36" s="5">
        <v>33</v>
      </c>
      <c r="B36" s="5">
        <v>33</v>
      </c>
      <c r="C36" s="17" t="s">
        <v>72</v>
      </c>
      <c r="D36" s="5"/>
      <c r="E36" s="5">
        <f>IF(AND(BE36&gt;0,$A36&lt;VLOOKUP(BE$1,$C:$L,10,FALSE)),1,IF(AND(BE36&lt;0,$A36&gt;VLOOKUP(BE$1,$C:$L,10,FALSE)),1,0))</f>
        <v>0</v>
      </c>
      <c r="F36" s="5">
        <f>IF(AND(BF36&gt;0,$A36&lt;VLOOKUP(BF$1,$C:$L,10,FALSE)),1,IF(AND(BF36&lt;0,$A36&gt;VLOOKUP(BF$1,$C:$L,10,FALSE)),1,0))</f>
        <v>1</v>
      </c>
      <c r="G36" s="5">
        <f>IF(AND(BG36&gt;0,$A36&lt;VLOOKUP(BG$1,$C:$L,10,FALSE)),1,IF(AND(BG36&lt;0,$A36&gt;VLOOKUP(BG$1,$C:$L,10,FALSE)),1,0))</f>
        <v>0</v>
      </c>
      <c r="H36" s="5">
        <f>IF(AND(BI36&gt;0,$A36&lt;VLOOKUP(BI$1,$C:$L,10,FALSE)),1,IF(AND(BI36&lt;0,$A36&gt;VLOOKUP(BI$1,$C:$L,10,FALSE)),1,0))</f>
        <v>1</v>
      </c>
      <c r="I36" s="5">
        <f>IF(AND(BJ36&gt;0,$A36&lt;VLOOKUP(BJ$1,$C:$L,10,FALSE)),1,IF(AND(BJ36&lt;0,$A36&gt;VLOOKUP(BJ$1,$C:$L,10,FALSE)),1,0))</f>
        <v>1</v>
      </c>
      <c r="J36" s="5">
        <f>IF(AND(BK36&gt;0,$A36&lt;VLOOKUP(BK$1,$C:$L,10,FALSE)),1,IF(AND(BK36&lt;0,$A36&gt;VLOOKUP(BK$1,$C:$L,10,FALSE)),1,0))</f>
        <v>1</v>
      </c>
      <c r="K36" s="79" t="s">
        <v>134</v>
      </c>
      <c r="L36" s="125">
        <f t="shared" ref="L36:L54" si="16">B36</f>
        <v>33</v>
      </c>
      <c r="M36" s="2">
        <v>9</v>
      </c>
      <c r="N36" s="11">
        <f t="shared" si="1"/>
        <v>3</v>
      </c>
      <c r="O36" s="2">
        <f t="shared" si="2"/>
        <v>3</v>
      </c>
      <c r="P36" s="2">
        <f t="shared" si="3"/>
        <v>0</v>
      </c>
      <c r="Q36" s="12">
        <f>COUNTIF($BD36:$BG36,"&gt;0")</f>
        <v>1</v>
      </c>
      <c r="R36" s="13">
        <f>COUNTIF($BD36:$BG36,"&lt;0")</f>
        <v>2</v>
      </c>
      <c r="S36" s="14">
        <f>COUNTIF($BD36:$BG36,"=0")</f>
        <v>0</v>
      </c>
      <c r="T36" s="2">
        <f t="shared" ref="T36:T54" si="17">COUNTIF(U36:BU36,"NC")</f>
        <v>0</v>
      </c>
      <c r="U36" s="2"/>
      <c r="V36" s="2"/>
      <c r="W36" s="2"/>
      <c r="AR36" s="2" t="str">
        <f>IFERROR(IFERROR(VLOOKUP($C36&amp;" "&amp;AR$1,Results!$F:$H,3,FALSE),-VLOOKUP($C36&amp;" "&amp;AR$1,Results!$G:$H,2,FALSE)),"")</f>
        <v/>
      </c>
      <c r="AS36" s="2" t="str">
        <f>IFERROR(IFERROR(VLOOKUP($C36&amp;" "&amp;AS$1,Results!$F:$H,3,FALSE),-VLOOKUP($C36&amp;" "&amp;AS$1,Results!$G:$H,2,FALSE)),"")</f>
        <v/>
      </c>
      <c r="AT36" s="2" t="str">
        <f>IFERROR(IFERROR(VLOOKUP($C36&amp;" "&amp;AT$1,Results!$F:$H,3,FALSE),-VLOOKUP($C36&amp;" "&amp;AT$1,Results!$G:$H,2,FALSE)),"")</f>
        <v/>
      </c>
      <c r="AU36" s="2" t="str">
        <f>IFERROR(IFERROR(VLOOKUP($C36&amp;" "&amp;AU$1,Results!$F:$H,3,FALSE),-VLOOKUP($C36&amp;" "&amp;AU$1,Results!$G:$H,2,FALSE)),"")</f>
        <v/>
      </c>
      <c r="AV36" s="2" t="str">
        <f>IFERROR(IFERROR(VLOOKUP($C36&amp;" "&amp;AV$1,Results!$F:$H,3,FALSE),-VLOOKUP($C36&amp;" "&amp;AV$1,Results!$G:$H,2,FALSE)),"")</f>
        <v/>
      </c>
      <c r="AW36" s="2" t="str">
        <f>IFERROR(IFERROR(VLOOKUP($C36&amp;" "&amp;AW$1,Results!$F:$H,3,FALSE),-VLOOKUP($C36&amp;" "&amp;AW$1,Results!$G:$H,2,FALSE)),"")</f>
        <v/>
      </c>
      <c r="AX36" s="2" t="str">
        <f>IFERROR(IFERROR(VLOOKUP($C36&amp;" "&amp;AX$1,Results!$F:$H,3,FALSE),-VLOOKUP($C36&amp;" "&amp;AX$1,Results!$G:$H,2,FALSE)),"")</f>
        <v/>
      </c>
      <c r="AY36" s="2" t="str">
        <f>IFERROR(IFERROR(VLOOKUP($C36&amp;" "&amp;AY$1,Results!$F:$H,3,FALSE),-VLOOKUP($C36&amp;" "&amp;AY$1,Results!$G:$H,2,FALSE)),"")</f>
        <v/>
      </c>
      <c r="AZ36" s="2" t="str">
        <f>IFERROR(IFERROR(VLOOKUP($C36&amp;" "&amp;AZ$1,Results!$F:$H,3,FALSE),-VLOOKUP($C36&amp;" "&amp;AZ$1,Results!$G:$H,2,FALSE)),"")</f>
        <v/>
      </c>
      <c r="BA36" s="2">
        <f>IFERROR(IFERROR(VLOOKUP($C36&amp;" "&amp;BA$1,Results!$F:$H,3,FALSE),-VLOOKUP($C36&amp;" "&amp;BA$1,Results!$G:$H,2,FALSE)),"")</f>
        <v>78</v>
      </c>
      <c r="BB36" s="2">
        <f>IFERROR(IFERROR(VLOOKUP($C36&amp;" "&amp;BB$1,Results!$F:$H,3,FALSE),-VLOOKUP($C36&amp;" "&amp;BB$1,Results!$G:$H,2,FALSE)),"")</f>
        <v>-96</v>
      </c>
      <c r="BC36" s="2">
        <f>IFERROR(IFERROR(VLOOKUP($C36&amp;" "&amp;BC$1,Results!$F:$H,3,FALSE),-VLOOKUP($C36&amp;" "&amp;BC$1,Results!$G:$H,2,FALSE)),"")</f>
        <v>87</v>
      </c>
      <c r="BD36" s="35" t="str">
        <f>IFERROR(IFERROR(VLOOKUP($C36&amp;" "&amp;BD$1,Results!$F:$H,3,FALSE),-VLOOKUP($C36&amp;" "&amp;BD$1,Results!$G:$H,2,FALSE)),"")</f>
        <v/>
      </c>
      <c r="BE36" s="49">
        <f>IFERROR(IFERROR(VLOOKUP($C36&amp;" "&amp;BE$1,Results!$F:$H,3,FALSE),-VLOOKUP($C36&amp;" "&amp;BE$1,Results!$G:$H,2,FALSE)),"")</f>
        <v>-32</v>
      </c>
      <c r="BF36" s="49">
        <f>IFERROR(IFERROR(VLOOKUP($C36&amp;" "&amp;BF$1,Results!$F:$H,3,FALSE),-VLOOKUP($C36&amp;" "&amp;BF$1,Results!$G:$H,2,FALSE)),"")</f>
        <v>40</v>
      </c>
      <c r="BG36" s="55">
        <f>IFERROR(IFERROR(VLOOKUP($C36&amp;" "&amp;BG$1,Results!$F:$H,3,FALSE),-VLOOKUP($C36&amp;" "&amp;BG$1,Results!$G:$H,2,FALSE)),"")</f>
        <v>-6</v>
      </c>
      <c r="BH36" s="2" t="str">
        <f>IFERROR(IFERROR(VLOOKUP($C36&amp;" "&amp;BH$1,Results!$F:$H,3,FALSE),-VLOOKUP($C36&amp;" "&amp;BH$1,Results!$G:$H,2,FALSE)),"")</f>
        <v/>
      </c>
      <c r="BI36" s="2" t="str">
        <f>IFERROR(IFERROR(VLOOKUP($C36&amp;" "&amp;BI$1,Results!$F:$H,3,FALSE),-VLOOKUP($C36&amp;" "&amp;BI$1,Results!$G:$H,2,FALSE)),"")</f>
        <v/>
      </c>
      <c r="BJ36" s="2" t="str">
        <f>IFERROR(IFERROR(VLOOKUP($C36&amp;" "&amp;BJ$1,Results!$F:$H,3,FALSE),-VLOOKUP($C36&amp;" "&amp;BJ$1,Results!$G:$H,2,FALSE)),"")</f>
        <v/>
      </c>
      <c r="BK36" s="2" t="str">
        <f>IFERROR(IFERROR(VLOOKUP($C36&amp;" "&amp;BK$1,Results!$F:$H,3,FALSE),-VLOOKUP($C36&amp;" "&amp;BK$1,Results!$G:$H,2,FALSE)),"")</f>
        <v/>
      </c>
      <c r="BL36" s="2" t="str">
        <f>IFERROR(IFERROR(VLOOKUP($C36&amp;" "&amp;BL$1,Results!$F:$H,3,FALSE),-VLOOKUP($C36&amp;" "&amp;BL$1,Results!$G:$H,2,FALSE)),"")</f>
        <v/>
      </c>
      <c r="BM36" s="2" t="str">
        <f>IFERROR(IFERROR(VLOOKUP($C36&amp;" "&amp;BM$1,Results!$F:$H,3,FALSE),-VLOOKUP($C36&amp;" "&amp;BM$1,Results!$G:$H,2,FALSE)),"")</f>
        <v/>
      </c>
      <c r="BN36" s="2" t="str">
        <f>IFERROR(IFERROR(VLOOKUP($C36&amp;" "&amp;BN$1,Results!$F:$H,3,FALSE),-VLOOKUP($C36&amp;" "&amp;BN$1,Results!$G:$H,2,FALSE)),"")</f>
        <v/>
      </c>
      <c r="BO36" s="2" t="str">
        <f>IFERROR(IFERROR(VLOOKUP($C36&amp;" "&amp;BO$1,Results!$F:$H,3,FALSE),-VLOOKUP($C36&amp;" "&amp;BO$1,Results!$G:$H,2,FALSE)),"")</f>
        <v/>
      </c>
      <c r="BP36" s="2" t="str">
        <f>IFERROR(IFERROR(VLOOKUP($C36&amp;" "&amp;BP$1,Results!$F:$H,3,FALSE),-VLOOKUP($C36&amp;" "&amp;BP$1,Results!$G:$H,2,FALSE)),"")</f>
        <v/>
      </c>
      <c r="BQ36" s="2" t="str">
        <f>IFERROR(IFERROR(VLOOKUP($C36&amp;" "&amp;BQ$1,Results!$F:$H,3,FALSE),-VLOOKUP($C36&amp;" "&amp;BQ$1,Results!$G:$H,2,FALSE)),"")</f>
        <v/>
      </c>
      <c r="BR36" s="2" t="str">
        <f>IFERROR(IFERROR(VLOOKUP($C36&amp;" "&amp;BR$1,Results!$F:$H,3,FALSE),-VLOOKUP($C36&amp;" "&amp;BR$1,Results!$G:$H,2,FALSE)),"")</f>
        <v/>
      </c>
      <c r="BS36" s="2" t="str">
        <f>IFERROR(IFERROR(VLOOKUP($C36&amp;" "&amp;BS$1,Results!$F:$H,3,FALSE),-VLOOKUP($C36&amp;" "&amp;BS$1,Results!$G:$H,2,FALSE)),"")</f>
        <v/>
      </c>
      <c r="BT36" s="2" t="str">
        <f>IFERROR(IFERROR(VLOOKUP($C36&amp;" "&amp;BT$1,Results!$F:$H,3,FALSE),-VLOOKUP($C36&amp;" "&amp;BT$1,Results!$G:$H,2,FALSE)),"")</f>
        <v/>
      </c>
      <c r="BU36" s="2"/>
      <c r="BV36" s="2"/>
      <c r="BW36" s="82">
        <f t="shared" ref="BW36:BW54" si="18">SUM(U36:BS36)</f>
        <v>71</v>
      </c>
      <c r="BX36" s="5">
        <f t="shared" si="11"/>
        <v>4</v>
      </c>
      <c r="BY36" s="5">
        <f t="shared" ref="BY36:BY54" si="19">COUNTIF(E36:J36,0)</f>
        <v>2</v>
      </c>
      <c r="BZ36" s="5">
        <f t="shared" si="12"/>
        <v>6</v>
      </c>
      <c r="CA36" s="65">
        <f t="shared" ref="CA36:CA54" si="20">+BX36/BZ36</f>
        <v>0.66666666666666663</v>
      </c>
      <c r="CC36" s="8">
        <f t="shared" ref="CC36:CC54" si="21">SUM(U36:BT36)</f>
        <v>71</v>
      </c>
      <c r="CE36" s="5">
        <v>38</v>
      </c>
      <c r="CF36" s="5">
        <f t="shared" ref="CF36:CF54" si="22">A36</f>
        <v>33</v>
      </c>
      <c r="CG36" s="5">
        <f t="shared" ref="CG36:CG54" si="23">+CE36-CF36</f>
        <v>5</v>
      </c>
    </row>
    <row r="37" spans="1:85" ht="12.75" customHeight="1">
      <c r="A37" s="5">
        <v>37</v>
      </c>
      <c r="B37" s="5">
        <v>34</v>
      </c>
      <c r="C37" s="158" t="s">
        <v>71</v>
      </c>
      <c r="D37" s="5"/>
      <c r="E37" s="5">
        <f>IF(AND(BC37&gt;0,$A37&lt;VLOOKUP(BC$1,$C:$L,10,FALSE)),1,IF(AND(BC37&lt;0,$A37&gt;VLOOKUP(BC$1,$C:$L,10,FALSE)),1,0))</f>
        <v>0</v>
      </c>
      <c r="F37" s="5">
        <f>IF(AND(BD37&gt;0,$A37&lt;VLOOKUP(BD$1,$C:$L,10,FALSE)),1,IF(AND(BD37&lt;0,$A37&gt;VLOOKUP(BD$1,$C:$L,10,FALSE)),1,0))</f>
        <v>0</v>
      </c>
      <c r="G37" s="5">
        <f>IF(AND(BE37&gt;0,$A37&lt;VLOOKUP(BE$1,$C:$L,10,FALSE)),1,IF(AND(BE37&lt;0,$A37&gt;VLOOKUP(BE$1,$C:$L,10,FALSE)),1,0))</f>
        <v>0</v>
      </c>
      <c r="H37" s="5">
        <f>IF(AND(BG37&gt;0,$A37&lt;VLOOKUP(BG$1,$C:$L,10,FALSE)),1,IF(AND(BG37&lt;0,$A37&gt;VLOOKUP(BG$1,$C:$L,10,FALSE)),1,0))</f>
        <v>1</v>
      </c>
      <c r="I37" s="5">
        <f>IF(AND(BH37&gt;0,$A37&lt;VLOOKUP(BH$1,$C:$L,10,FALSE)),1,IF(AND(BH37&lt;0,$A37&gt;VLOOKUP(BH$1,$C:$L,10,FALSE)),1,0))</f>
        <v>0</v>
      </c>
      <c r="J37" s="5">
        <f>IF(AND(BI37&gt;0,$A37&lt;VLOOKUP(BI$1,$C:$L,10,FALSE)),1,IF(AND(BI37&lt;0,$A37&gt;VLOOKUP(BI$1,$C:$L,10,FALSE)),1,0))</f>
        <v>1</v>
      </c>
      <c r="K37" s="79" t="s">
        <v>134</v>
      </c>
      <c r="L37" s="125">
        <f t="shared" si="16"/>
        <v>34</v>
      </c>
      <c r="M37" s="2">
        <v>9</v>
      </c>
      <c r="N37" s="11">
        <f t="shared" si="1"/>
        <v>2</v>
      </c>
      <c r="O37" s="2">
        <f t="shared" si="2"/>
        <v>4</v>
      </c>
      <c r="P37" s="2">
        <f t="shared" si="3"/>
        <v>0</v>
      </c>
      <c r="Q37" s="12">
        <f t="shared" ref="Q37" si="24">COUNTIF($BD37:$BG37,"&gt;0")</f>
        <v>1</v>
      </c>
      <c r="R37" s="13">
        <f t="shared" ref="R37" si="25">COUNTIF($BD37:$BG37,"&lt;0")</f>
        <v>2</v>
      </c>
      <c r="S37" s="14">
        <f t="shared" ref="S37" si="26">COUNTIF($BD37:$BG37,"=0")</f>
        <v>0</v>
      </c>
      <c r="T37" s="2">
        <f t="shared" si="17"/>
        <v>0</v>
      </c>
      <c r="U37" s="2"/>
      <c r="V37" s="2"/>
      <c r="W37" s="2"/>
      <c r="AR37" s="2" t="str">
        <f>IFERROR(IFERROR(VLOOKUP($C37&amp;" "&amp;AR$1,Results!$F:$H,3,FALSE),-VLOOKUP($C37&amp;" "&amp;AR$1,Results!$G:$H,2,FALSE)),"")</f>
        <v/>
      </c>
      <c r="AS37" s="2" t="str">
        <f>IFERROR(IFERROR(VLOOKUP($C37&amp;" "&amp;AS$1,Results!$F:$H,3,FALSE),-VLOOKUP($C37&amp;" "&amp;AS$1,Results!$G:$H,2,FALSE)),"")</f>
        <v/>
      </c>
      <c r="AT37" s="2" t="str">
        <f>IFERROR(IFERROR(VLOOKUP($C37&amp;" "&amp;AT$1,Results!$F:$H,3,FALSE),-VLOOKUP($C37&amp;" "&amp;AT$1,Results!$G:$H,2,FALSE)),"")</f>
        <v/>
      </c>
      <c r="AU37" s="2" t="str">
        <f>IFERROR(IFERROR(VLOOKUP($C37&amp;" "&amp;AU$1,Results!$F:$H,3,FALSE),-VLOOKUP($C37&amp;" "&amp;AU$1,Results!$G:$H,2,FALSE)),"")</f>
        <v/>
      </c>
      <c r="AV37" s="2" t="str">
        <f>IFERROR(IFERROR(VLOOKUP($C37&amp;" "&amp;AV$1,Results!$F:$H,3,FALSE),-VLOOKUP($C37&amp;" "&amp;AV$1,Results!$G:$H,2,FALSE)),"")</f>
        <v/>
      </c>
      <c r="AW37" s="2" t="str">
        <f>IFERROR(IFERROR(VLOOKUP($C37&amp;" "&amp;AW$1,Results!$F:$H,3,FALSE),-VLOOKUP($C37&amp;" "&amp;AW$1,Results!$G:$H,2,FALSE)),"")</f>
        <v/>
      </c>
      <c r="AX37" s="2" t="str">
        <f>IFERROR(IFERROR(VLOOKUP($C37&amp;" "&amp;AX$1,Results!$F:$H,3,FALSE),-VLOOKUP($C37&amp;" "&amp;AX$1,Results!$G:$H,2,FALSE)),"")</f>
        <v/>
      </c>
      <c r="AY37" s="2" t="str">
        <f>IFERROR(IFERROR(VLOOKUP($C37&amp;" "&amp;AY$1,Results!$F:$H,3,FALSE),-VLOOKUP($C37&amp;" "&amp;AY$1,Results!$G:$H,2,FALSE)),"")</f>
        <v/>
      </c>
      <c r="AZ37" s="2" t="str">
        <f>IFERROR(IFERROR(VLOOKUP($C37&amp;" "&amp;AZ$1,Results!$F:$H,3,FALSE),-VLOOKUP($C37&amp;" "&amp;AZ$1,Results!$G:$H,2,FALSE)),"")</f>
        <v/>
      </c>
      <c r="BA37" s="2" t="str">
        <f>IFERROR(IFERROR(VLOOKUP($C37&amp;" "&amp;BA$1,Results!$F:$H,3,FALSE),-VLOOKUP($C37&amp;" "&amp;BA$1,Results!$G:$H,2,FALSE)),"")</f>
        <v/>
      </c>
      <c r="BB37" s="2">
        <f>IFERROR(IFERROR(VLOOKUP($C37&amp;" "&amp;BB$1,Results!$F:$H,3,FALSE),-VLOOKUP($C37&amp;" "&amp;BB$1,Results!$G:$H,2,FALSE)),"")</f>
        <v>-161.66666666666697</v>
      </c>
      <c r="BC37" s="2">
        <f>IFERROR(IFERROR(VLOOKUP($C37&amp;" "&amp;BC$1,Results!$F:$H,3,FALSE),-VLOOKUP($C37&amp;" "&amp;BC$1,Results!$G:$H,2,FALSE)),"")</f>
        <v>110</v>
      </c>
      <c r="BD37" s="44">
        <f>IFERROR(IFERROR(VLOOKUP($C37&amp;" "&amp;BD$1,Results!$F:$H,3,FALSE),-VLOOKUP($C37&amp;" "&amp;BD$1,Results!$G:$H,2,FALSE)),"")</f>
        <v>32</v>
      </c>
      <c r="BE37" s="19" t="str">
        <f>IFERROR(IFERROR(VLOOKUP($C37&amp;" "&amp;BE$1,Results!$F:$H,3,FALSE),-VLOOKUP($C37&amp;" "&amp;BE$1,Results!$G:$H,2,FALSE)),"")</f>
        <v/>
      </c>
      <c r="BF37" s="19">
        <f>IFERROR(IFERROR(VLOOKUP($C37&amp;" "&amp;BF$1,Results!$F:$H,3,FALSE),-VLOOKUP($C37&amp;" "&amp;BF$1,Results!$G:$H,2,FALSE)),"")</f>
        <v>-60</v>
      </c>
      <c r="BG37" s="45">
        <f>IFERROR(IFERROR(VLOOKUP($C37&amp;" "&amp;BG$1,Results!$F:$H,3,FALSE),-VLOOKUP($C37&amp;" "&amp;BG$1,Results!$G:$H,2,FALSE)),"")</f>
        <v>-49</v>
      </c>
      <c r="BH37" s="2">
        <f>IFERROR(IFERROR(VLOOKUP($C37&amp;" "&amp;BH$1,Results!$F:$H,3,FALSE),-VLOOKUP($C37&amp;" "&amp;BH$1,Results!$G:$H,2,FALSE)),"")</f>
        <v>-24</v>
      </c>
      <c r="BI37" s="2" t="str">
        <f>IFERROR(IFERROR(VLOOKUP($C37&amp;" "&amp;BI$1,Results!$F:$H,3,FALSE),-VLOOKUP($C37&amp;" "&amp;BI$1,Results!$G:$H,2,FALSE)),"")</f>
        <v/>
      </c>
      <c r="BJ37" s="2" t="str">
        <f>IFERROR(IFERROR(VLOOKUP($C37&amp;" "&amp;BJ$1,Results!$F:$H,3,FALSE),-VLOOKUP($C37&amp;" "&amp;BJ$1,Results!$G:$H,2,FALSE)),"")</f>
        <v/>
      </c>
      <c r="BK37" s="2" t="str">
        <f>IFERROR(IFERROR(VLOOKUP($C37&amp;" "&amp;BK$1,Results!$F:$H,3,FALSE),-VLOOKUP($C37&amp;" "&amp;BK$1,Results!$G:$H,2,FALSE)),"")</f>
        <v/>
      </c>
      <c r="BL37" s="2" t="str">
        <f>IFERROR(IFERROR(VLOOKUP($C37&amp;" "&amp;BL$1,Results!$F:$H,3,FALSE),-VLOOKUP($C37&amp;" "&amp;BL$1,Results!$G:$H,2,FALSE)),"")</f>
        <v/>
      </c>
      <c r="BM37" s="2" t="str">
        <f>IFERROR(IFERROR(VLOOKUP($C37&amp;" "&amp;BM$1,Results!$F:$H,3,FALSE),-VLOOKUP($C37&amp;" "&amp;BM$1,Results!$G:$H,2,FALSE)),"")</f>
        <v/>
      </c>
      <c r="BN37" s="2" t="str">
        <f>IFERROR(IFERROR(VLOOKUP($C37&amp;" "&amp;BN$1,Results!$F:$H,3,FALSE),-VLOOKUP($C37&amp;" "&amp;BN$1,Results!$G:$H,2,FALSE)),"")</f>
        <v/>
      </c>
      <c r="BO37" s="2" t="str">
        <f>IFERROR(IFERROR(VLOOKUP($C37&amp;" "&amp;BO$1,Results!$F:$H,3,FALSE),-VLOOKUP($C37&amp;" "&amp;BO$1,Results!$G:$H,2,FALSE)),"")</f>
        <v/>
      </c>
      <c r="BP37" s="2" t="str">
        <f>IFERROR(IFERROR(VLOOKUP($C37&amp;" "&amp;BP$1,Results!$F:$H,3,FALSE),-VLOOKUP($C37&amp;" "&amp;BP$1,Results!$G:$H,2,FALSE)),"")</f>
        <v/>
      </c>
      <c r="BQ37" s="2" t="str">
        <f>IFERROR(IFERROR(VLOOKUP($C37&amp;" "&amp;BQ$1,Results!$F:$H,3,FALSE),-VLOOKUP($C37&amp;" "&amp;BQ$1,Results!$G:$H,2,FALSE)),"")</f>
        <v/>
      </c>
      <c r="BR37" s="2" t="str">
        <f>IFERROR(IFERROR(VLOOKUP($C37&amp;" "&amp;BR$1,Results!$F:$H,3,FALSE),-VLOOKUP($C37&amp;" "&amp;BR$1,Results!$G:$H,2,FALSE)),"")</f>
        <v/>
      </c>
      <c r="BS37" s="2" t="str">
        <f>IFERROR(IFERROR(VLOOKUP($C37&amp;" "&amp;BS$1,Results!$F:$H,3,FALSE),-VLOOKUP($C37&amp;" "&amp;BS$1,Results!$G:$H,2,FALSE)),"")</f>
        <v/>
      </c>
      <c r="BT37" s="2" t="str">
        <f>IFERROR(IFERROR(VLOOKUP($C37&amp;" "&amp;BT$1,Results!$F:$H,3,FALSE),-VLOOKUP($C37&amp;" "&amp;BT$1,Results!$G:$H,2,FALSE)),"")</f>
        <v/>
      </c>
      <c r="BU37" s="2"/>
      <c r="BV37" s="2"/>
      <c r="BW37" s="82">
        <f t="shared" si="18"/>
        <v>-152.66666666666697</v>
      </c>
      <c r="BX37" s="5">
        <f t="shared" si="11"/>
        <v>2</v>
      </c>
      <c r="BY37" s="5">
        <f t="shared" si="19"/>
        <v>4</v>
      </c>
      <c r="BZ37" s="5">
        <f t="shared" si="12"/>
        <v>6</v>
      </c>
      <c r="CA37" s="65">
        <f t="shared" si="20"/>
        <v>0.33333333333333331</v>
      </c>
      <c r="CC37" s="8">
        <f t="shared" si="21"/>
        <v>-152.66666666666697</v>
      </c>
      <c r="CE37" s="5">
        <v>37</v>
      </c>
      <c r="CF37" s="5">
        <f t="shared" si="22"/>
        <v>37</v>
      </c>
      <c r="CG37" s="5">
        <f t="shared" si="23"/>
        <v>0</v>
      </c>
    </row>
    <row r="38" spans="1:85" ht="12.75" customHeight="1">
      <c r="A38" s="5">
        <v>36</v>
      </c>
      <c r="B38" s="5">
        <v>35</v>
      </c>
      <c r="C38" s="17" t="s">
        <v>37</v>
      </c>
      <c r="D38" s="5"/>
      <c r="E38" s="5">
        <f>IF(AND(AZ38&gt;0,$A38&lt;VLOOKUP(AZ$1,$C:$L,10,FALSE)),1,IF(AND(AZ38&lt;0,$A38&gt;VLOOKUP(AZ$1,$C:$L,10,FALSE)),1,0))</f>
        <v>0</v>
      </c>
      <c r="F38" s="5">
        <f>IF(AND(BA38&gt;0,$A38&lt;VLOOKUP(BA$1,$C:$L,10,FALSE)),1,IF(AND(BA38&lt;0,$A38&gt;VLOOKUP(BA$1,$C:$L,10,FALSE)),1,0))</f>
        <v>0</v>
      </c>
      <c r="G38" s="5">
        <f>IF(AND(BB38&gt;0,$A38&lt;VLOOKUP(BB$1,$C:$L,10,FALSE)),1,IF(AND(BB38&lt;0,$A38&gt;VLOOKUP(BB$1,$C:$L,10,FALSE)),1,0))</f>
        <v>0</v>
      </c>
      <c r="H38" s="5">
        <f>IF(AND(BD38&gt;0,$A38&lt;VLOOKUP(BD$1,$C:$L,10,FALSE)),1,IF(AND(BD38&lt;0,$A38&gt;VLOOKUP(BD$1,$C:$L,10,FALSE)),1,0))</f>
        <v>1</v>
      </c>
      <c r="I38" s="5">
        <f>IF(AND(BE38&gt;0,$A38&lt;VLOOKUP(BE$1,$C:$L,10,FALSE)),1,IF(AND(BE38&lt;0,$A38&gt;VLOOKUP(BE$1,$C:$L,10,FALSE)),1,0))</f>
        <v>0</v>
      </c>
      <c r="J38" s="5">
        <f>IF(AND(BF38&gt;0,$A38&lt;VLOOKUP(BF$1,$C:$L,10,FALSE)),1,IF(AND(BF38&lt;0,$A38&gt;VLOOKUP(BF$1,$C:$L,10,FALSE)),1,0))</f>
        <v>0</v>
      </c>
      <c r="K38" s="79" t="s">
        <v>134</v>
      </c>
      <c r="L38" s="125">
        <f t="shared" si="16"/>
        <v>35</v>
      </c>
      <c r="M38" s="2">
        <v>9</v>
      </c>
      <c r="N38" s="11">
        <f t="shared" si="1"/>
        <v>2</v>
      </c>
      <c r="O38" s="2">
        <f t="shared" si="2"/>
        <v>4</v>
      </c>
      <c r="P38" s="2">
        <f t="shared" si="3"/>
        <v>0</v>
      </c>
      <c r="Q38" s="12">
        <f>COUNTIF($BD38:$BG38,"&gt;0")</f>
        <v>1</v>
      </c>
      <c r="R38" s="13">
        <f>COUNTIF($BD38:$BG38,"&lt;0")</f>
        <v>2</v>
      </c>
      <c r="S38" s="14">
        <f>COUNTIF($BD38:$BG38,"=0")</f>
        <v>0</v>
      </c>
      <c r="T38" s="2">
        <f t="shared" si="17"/>
        <v>0</v>
      </c>
      <c r="U38" s="2"/>
      <c r="V38" s="2"/>
      <c r="W38" s="2"/>
      <c r="AR38" s="2" t="str">
        <f>IFERROR(IFERROR(VLOOKUP($C38&amp;" "&amp;AR$1,Results!$F:$H,3,FALSE),-VLOOKUP($C38&amp;" "&amp;AR$1,Results!$G:$H,2,FALSE)),"")</f>
        <v/>
      </c>
      <c r="AS38" s="2" t="str">
        <f>IFERROR(IFERROR(VLOOKUP($C38&amp;" "&amp;AS$1,Results!$F:$H,3,FALSE),-VLOOKUP($C38&amp;" "&amp;AS$1,Results!$G:$H,2,FALSE)),"")</f>
        <v/>
      </c>
      <c r="AT38" s="2" t="str">
        <f>IFERROR(IFERROR(VLOOKUP($C38&amp;" "&amp;AT$1,Results!$F:$H,3,FALSE),-VLOOKUP($C38&amp;" "&amp;AT$1,Results!$G:$H,2,FALSE)),"")</f>
        <v/>
      </c>
      <c r="AU38" s="2" t="str">
        <f>IFERROR(IFERROR(VLOOKUP($C38&amp;" "&amp;AU$1,Results!$F:$H,3,FALSE),-VLOOKUP($C38&amp;" "&amp;AU$1,Results!$G:$H,2,FALSE)),"")</f>
        <v/>
      </c>
      <c r="AV38" s="2" t="str">
        <f>IFERROR(IFERROR(VLOOKUP($C38&amp;" "&amp;AV$1,Results!$F:$H,3,FALSE),-VLOOKUP($C38&amp;" "&amp;AV$1,Results!$G:$H,2,FALSE)),"")</f>
        <v/>
      </c>
      <c r="AW38" s="2" t="str">
        <f>IFERROR(IFERROR(VLOOKUP($C38&amp;" "&amp;AW$1,Results!$F:$H,3,FALSE),-VLOOKUP($C38&amp;" "&amp;AW$1,Results!$G:$H,2,FALSE)),"")</f>
        <v/>
      </c>
      <c r="AX38" s="2" t="str">
        <f>IFERROR(IFERROR(VLOOKUP($C38&amp;" "&amp;AX$1,Results!$F:$H,3,FALSE),-VLOOKUP($C38&amp;" "&amp;AX$1,Results!$G:$H,2,FALSE)),"")</f>
        <v/>
      </c>
      <c r="AY38" s="2" t="str">
        <f>IFERROR(IFERROR(VLOOKUP($C38&amp;" "&amp;AY$1,Results!$F:$H,3,FALSE),-VLOOKUP($C38&amp;" "&amp;AY$1,Results!$G:$H,2,FALSE)),"")</f>
        <v/>
      </c>
      <c r="AZ38" s="19" t="str">
        <f>IFERROR(IFERROR(VLOOKUP($C38&amp;" "&amp;AZ$1,Results!$F:$H,3,FALSE),-VLOOKUP($C38&amp;" "&amp;AZ$1,Results!$G:$H,2,FALSE)),"")</f>
        <v/>
      </c>
      <c r="BA38" s="19" t="str">
        <f>IFERROR(IFERROR(VLOOKUP($C38&amp;" "&amp;BA$1,Results!$F:$H,3,FALSE),-VLOOKUP($C38&amp;" "&amp;BA$1,Results!$G:$H,2,FALSE)),"")</f>
        <v/>
      </c>
      <c r="BB38" s="19" t="str">
        <f>IFERROR(IFERROR(VLOOKUP($C38&amp;" "&amp;BB$1,Results!$F:$H,3,FALSE),-VLOOKUP($C38&amp;" "&amp;BB$1,Results!$G:$H,2,FALSE)),"")</f>
        <v/>
      </c>
      <c r="BC38" s="19">
        <f>IFERROR(IFERROR(VLOOKUP($C38&amp;" "&amp;BC$1,Results!$F:$H,3,FALSE),-VLOOKUP($C38&amp;" "&amp;BC$1,Results!$G:$H,2,FALSE)),"")</f>
        <v>14</v>
      </c>
      <c r="BD38" s="51">
        <f>IFERROR(IFERROR(VLOOKUP($C38&amp;" "&amp;BD$1,Results!$F:$H,3,FALSE),-VLOOKUP($C38&amp;" "&amp;BD$1,Results!$G:$H,2,FALSE)),"")</f>
        <v>-40</v>
      </c>
      <c r="BE38" s="2">
        <f>IFERROR(IFERROR(VLOOKUP($C38&amp;" "&amp;BE$1,Results!$F:$H,3,FALSE),-VLOOKUP($C38&amp;" "&amp;BE$1,Results!$G:$H,2,FALSE)),"")</f>
        <v>60</v>
      </c>
      <c r="BF38" s="2" t="str">
        <f>IFERROR(IFERROR(VLOOKUP($C38&amp;" "&amp;BF$1,Results!$F:$H,3,FALSE),-VLOOKUP($C38&amp;" "&amp;BF$1,Results!$G:$H,2,FALSE)),"")</f>
        <v/>
      </c>
      <c r="BG38" s="56">
        <f>IFERROR(IFERROR(VLOOKUP($C38&amp;" "&amp;BG$1,Results!$F:$H,3,FALSE),-VLOOKUP($C38&amp;" "&amp;BG$1,Results!$G:$H,2,FALSE)),"")</f>
        <v>-28</v>
      </c>
      <c r="BH38" s="2">
        <f>IFERROR(IFERROR(VLOOKUP($C38&amp;" "&amp;BH$1,Results!$F:$H,3,FALSE),-VLOOKUP($C38&amp;" "&amp;BH$1,Results!$G:$H,2,FALSE)),"")</f>
        <v>-104</v>
      </c>
      <c r="BI38" s="2">
        <f>IFERROR(IFERROR(VLOOKUP($C38&amp;" "&amp;BI$1,Results!$F:$H,3,FALSE),-VLOOKUP($C38&amp;" "&amp;BI$1,Results!$G:$H,2,FALSE)),"")</f>
        <v>-28</v>
      </c>
      <c r="BJ38" s="15" t="str">
        <f>IFERROR(IFERROR(VLOOKUP($C38&amp;" "&amp;BJ$1,Results!$F:$H,3,FALSE),-VLOOKUP($C38&amp;" "&amp;BJ$1,Results!$G:$H,2,FALSE)),"")</f>
        <v/>
      </c>
      <c r="BK38" s="15" t="str">
        <f>IFERROR(IFERROR(VLOOKUP($C38&amp;" "&amp;BK$1,Results!$F:$H,3,FALSE),-VLOOKUP($C38&amp;" "&amp;BK$1,Results!$G:$H,2,FALSE)),"")</f>
        <v/>
      </c>
      <c r="BL38" s="15" t="str">
        <f>IFERROR(IFERROR(VLOOKUP($C38&amp;" "&amp;BL$1,Results!$F:$H,3,FALSE),-VLOOKUP($C38&amp;" "&amp;BL$1,Results!$G:$H,2,FALSE)),"")</f>
        <v/>
      </c>
      <c r="BM38" s="15" t="str">
        <f>IFERROR(IFERROR(VLOOKUP($C38&amp;" "&amp;BM$1,Results!$F:$H,3,FALSE),-VLOOKUP($C38&amp;" "&amp;BM$1,Results!$G:$H,2,FALSE)),"")</f>
        <v/>
      </c>
      <c r="BN38" s="15" t="str">
        <f>IFERROR(IFERROR(VLOOKUP($C38&amp;" "&amp;BN$1,Results!$F:$H,3,FALSE),-VLOOKUP($C38&amp;" "&amp;BN$1,Results!$G:$H,2,FALSE)),"")</f>
        <v/>
      </c>
      <c r="BO38" s="15" t="str">
        <f>IFERROR(IFERROR(VLOOKUP($C38&amp;" "&amp;BO$1,Results!$F:$H,3,FALSE),-VLOOKUP($C38&amp;" "&amp;BO$1,Results!$G:$H,2,FALSE)),"")</f>
        <v/>
      </c>
      <c r="BP38" s="15" t="str">
        <f>IFERROR(IFERROR(VLOOKUP($C38&amp;" "&amp;BP$1,Results!$F:$H,3,FALSE),-VLOOKUP($C38&amp;" "&amp;BP$1,Results!$G:$H,2,FALSE)),"")</f>
        <v/>
      </c>
      <c r="BQ38" s="15" t="str">
        <f>IFERROR(IFERROR(VLOOKUP($C38&amp;" "&amp;BQ$1,Results!$F:$H,3,FALSE),-VLOOKUP($C38&amp;" "&amp;BQ$1,Results!$G:$H,2,FALSE)),"")</f>
        <v/>
      </c>
      <c r="BR38" s="15" t="str">
        <f>IFERROR(IFERROR(VLOOKUP($C38&amp;" "&amp;BR$1,Results!$F:$H,3,FALSE),-VLOOKUP($C38&amp;" "&amp;BR$1,Results!$G:$H,2,FALSE)),"")</f>
        <v/>
      </c>
      <c r="BS38" s="15" t="str">
        <f>IFERROR(IFERROR(VLOOKUP($C38&amp;" "&amp;BS$1,Results!$F:$H,3,FALSE),-VLOOKUP($C38&amp;" "&amp;BS$1,Results!$G:$H,2,FALSE)),"")</f>
        <v/>
      </c>
      <c r="BT38" s="15" t="str">
        <f>IFERROR(IFERROR(VLOOKUP($C38&amp;" "&amp;BT$1,Results!$F:$H,3,FALSE),-VLOOKUP($C38&amp;" "&amp;BT$1,Results!$G:$H,2,FALSE)),"")</f>
        <v/>
      </c>
      <c r="BU38" s="15"/>
      <c r="BV38" s="15"/>
      <c r="BW38" s="82">
        <f t="shared" si="18"/>
        <v>-126</v>
      </c>
      <c r="BX38" s="5">
        <f t="shared" si="11"/>
        <v>1</v>
      </c>
      <c r="BY38" s="5">
        <f t="shared" si="19"/>
        <v>5</v>
      </c>
      <c r="BZ38" s="5">
        <f t="shared" si="12"/>
        <v>6</v>
      </c>
      <c r="CA38" s="65">
        <f t="shared" si="20"/>
        <v>0.16666666666666666</v>
      </c>
      <c r="CC38" s="8">
        <f t="shared" si="21"/>
        <v>-126</v>
      </c>
      <c r="CE38" s="5">
        <v>35</v>
      </c>
      <c r="CF38" s="5">
        <f t="shared" si="22"/>
        <v>36</v>
      </c>
      <c r="CG38" s="5">
        <f t="shared" si="23"/>
        <v>-1</v>
      </c>
    </row>
    <row r="39" spans="1:85" ht="12.75" customHeight="1" thickBot="1">
      <c r="A39" s="5">
        <v>32</v>
      </c>
      <c r="B39" s="5">
        <v>36</v>
      </c>
      <c r="C39" s="160" t="s">
        <v>38</v>
      </c>
      <c r="D39" s="5"/>
      <c r="E39" s="5">
        <f>IF(AND(BK39&gt;0,$A39&lt;VLOOKUP(BK$1,$C:$L,10,FALSE)),1,IF(AND(BK39&lt;0,$A39&gt;VLOOKUP(BK$1,$C:$L,10,FALSE)),1,0))</f>
        <v>1</v>
      </c>
      <c r="F39" s="5">
        <f>IF(AND(BL39&gt;0,$A39&lt;VLOOKUP(BL$1,$C:$L,10,FALSE)),1,IF(AND(BL39&lt;0,$A39&gt;VLOOKUP(BL$1,$C:$L,10,FALSE)),1,0))</f>
        <v>1</v>
      </c>
      <c r="G39" s="5">
        <f>IF(AND(BN39&gt;0,$A39&lt;VLOOKUP(BN$1,$C:$L,10,FALSE)),1,IF(AND(BN39&lt;0,$A39&gt;VLOOKUP(BN$1,$C:$L,10,FALSE)),1,0))</f>
        <v>1</v>
      </c>
      <c r="H39" s="5">
        <f>IF(AND(BO39&gt;0,$A39&lt;VLOOKUP(BO$1,$C:$L,10,FALSE)),1,IF(AND(BO39&lt;0,$A39&gt;VLOOKUP(BO$1,$C:$L,10,FALSE)),1,0))</f>
        <v>1</v>
      </c>
      <c r="I39" s="5">
        <f>IF(AND(BP39&gt;0,$A39&lt;VLOOKUP(BP$1,$C:$L,10,FALSE)),1,IF(AND(BP39&lt;0,$A39&gt;VLOOKUP(BP$1,$C:$L,10,FALSE)),1,0))</f>
        <v>1</v>
      </c>
      <c r="J39" s="5">
        <f>IF(AND(BS39&gt;0,$A39&lt;VLOOKUP(BS$1,$C:$L,10,FALSE)),1,IF(AND(BS39&lt;0,$A39&gt;VLOOKUP(BS$1,$C:$L,10,FALSE)),1,0))</f>
        <v>1</v>
      </c>
      <c r="K39" s="79" t="s">
        <v>134</v>
      </c>
      <c r="L39" s="125">
        <f t="shared" si="16"/>
        <v>36</v>
      </c>
      <c r="M39" s="2">
        <v>9</v>
      </c>
      <c r="N39" s="11">
        <f t="shared" si="1"/>
        <v>5</v>
      </c>
      <c r="O39" s="2">
        <f t="shared" si="2"/>
        <v>1</v>
      </c>
      <c r="P39" s="2">
        <f t="shared" si="3"/>
        <v>0</v>
      </c>
      <c r="Q39" s="12">
        <f>COUNTIF($BD39:$BG39,"&gt;0")</f>
        <v>3</v>
      </c>
      <c r="R39" s="13">
        <f>COUNTIF($BD39:$BG39,"&lt;0")</f>
        <v>0</v>
      </c>
      <c r="S39" s="14">
        <f>COUNTIF($BD39:$BG39,"=0")</f>
        <v>0</v>
      </c>
      <c r="T39" s="2">
        <f t="shared" si="17"/>
        <v>0</v>
      </c>
      <c r="U39" s="2"/>
      <c r="V39" s="2"/>
      <c r="W39" s="2"/>
      <c r="AR39" s="2" t="str">
        <f>IFERROR(IFERROR(VLOOKUP($C39&amp;" "&amp;AR$1,Results!$F:$H,3,FALSE),-VLOOKUP($C39&amp;" "&amp;AR$1,Results!$G:$H,2,FALSE)),"")</f>
        <v/>
      </c>
      <c r="AS39" s="2" t="str">
        <f>IFERROR(IFERROR(VLOOKUP($C39&amp;" "&amp;AS$1,Results!$F:$H,3,FALSE),-VLOOKUP($C39&amp;" "&amp;AS$1,Results!$G:$H,2,FALSE)),"")</f>
        <v/>
      </c>
      <c r="AT39" s="2" t="str">
        <f>IFERROR(IFERROR(VLOOKUP($C39&amp;" "&amp;AT$1,Results!$F:$H,3,FALSE),-VLOOKUP($C39&amp;" "&amp;AT$1,Results!$G:$H,2,FALSE)),"")</f>
        <v/>
      </c>
      <c r="AU39" s="2" t="str">
        <f>IFERROR(IFERROR(VLOOKUP($C39&amp;" "&amp;AU$1,Results!$F:$H,3,FALSE),-VLOOKUP($C39&amp;" "&amp;AU$1,Results!$G:$H,2,FALSE)),"")</f>
        <v/>
      </c>
      <c r="AV39" s="2" t="str">
        <f>IFERROR(IFERROR(VLOOKUP($C39&amp;" "&amp;AV$1,Results!$F:$H,3,FALSE),-VLOOKUP($C39&amp;" "&amp;AV$1,Results!$G:$H,2,FALSE)),"")</f>
        <v/>
      </c>
      <c r="AW39" s="2" t="str">
        <f>IFERROR(IFERROR(VLOOKUP($C39&amp;" "&amp;AW$1,Results!$F:$H,3,FALSE),-VLOOKUP($C39&amp;" "&amp;AW$1,Results!$G:$H,2,FALSE)),"")</f>
        <v/>
      </c>
      <c r="AX39" s="2" t="str">
        <f>IFERROR(IFERROR(VLOOKUP($C39&amp;" "&amp;AX$1,Results!$F:$H,3,FALSE),-VLOOKUP($C39&amp;" "&amp;AX$1,Results!$G:$H,2,FALSE)),"")</f>
        <v/>
      </c>
      <c r="AY39" s="2" t="str">
        <f>IFERROR(IFERROR(VLOOKUP($C39&amp;" "&amp;AY$1,Results!$F:$H,3,FALSE),-VLOOKUP($C39&amp;" "&amp;AY$1,Results!$G:$H,2,FALSE)),"")</f>
        <v/>
      </c>
      <c r="AZ39" s="2" t="str">
        <f>IFERROR(IFERROR(VLOOKUP($C39&amp;" "&amp;AZ$1,Results!$F:$H,3,FALSE),-VLOOKUP($C39&amp;" "&amp;AZ$1,Results!$G:$H,2,FALSE)),"")</f>
        <v/>
      </c>
      <c r="BA39" s="2" t="str">
        <f>IFERROR(IFERROR(VLOOKUP($C39&amp;" "&amp;BA$1,Results!$F:$H,3,FALSE),-VLOOKUP($C39&amp;" "&amp;BA$1,Results!$G:$H,2,FALSE)),"")</f>
        <v/>
      </c>
      <c r="BB39" s="2" t="str">
        <f>IFERROR(IFERROR(VLOOKUP($C39&amp;" "&amp;BB$1,Results!$F:$H,3,FALSE),-VLOOKUP($C39&amp;" "&amp;BB$1,Results!$G:$H,2,FALSE)),"")</f>
        <v/>
      </c>
      <c r="BC39" s="2" t="str">
        <f>IFERROR(IFERROR(VLOOKUP($C39&amp;" "&amp;BC$1,Results!$F:$H,3,FALSE),-VLOOKUP($C39&amp;" "&amp;BC$1,Results!$G:$H,2,FALSE)),"")</f>
        <v/>
      </c>
      <c r="BD39" s="52">
        <f>IFERROR(IFERROR(VLOOKUP($C39&amp;" "&amp;BD$1,Results!$F:$H,3,FALSE),-VLOOKUP($C39&amp;" "&amp;BD$1,Results!$G:$H,2,FALSE)),"")</f>
        <v>6</v>
      </c>
      <c r="BE39" s="57">
        <f>IFERROR(IFERROR(VLOOKUP($C39&amp;" "&amp;BE$1,Results!$F:$H,3,FALSE),-VLOOKUP($C39&amp;" "&amp;BE$1,Results!$G:$H,2,FALSE)),"")</f>
        <v>49</v>
      </c>
      <c r="BF39" s="57">
        <f>IFERROR(IFERROR(VLOOKUP($C39&amp;" "&amp;BF$1,Results!$F:$H,3,FALSE),-VLOOKUP($C39&amp;" "&amp;BF$1,Results!$G:$H,2,FALSE)),"")</f>
        <v>28</v>
      </c>
      <c r="BG39" s="58" t="str">
        <f>IFERROR(IFERROR(VLOOKUP($C39&amp;" "&amp;BG$1,Results!$F:$H,3,FALSE),-VLOOKUP($C39&amp;" "&amp;BG$1,Results!$G:$H,2,FALSE)),"")</f>
        <v/>
      </c>
      <c r="BH39" s="2">
        <f>IFERROR(IFERROR(VLOOKUP($C39&amp;" "&amp;BH$1,Results!$F:$H,3,FALSE),-VLOOKUP($C39&amp;" "&amp;BH$1,Results!$G:$H,2,FALSE)),"")</f>
        <v>-30</v>
      </c>
      <c r="BI39" s="2">
        <f>IFERROR(IFERROR(VLOOKUP($C39&amp;" "&amp;BI$1,Results!$F:$H,3,FALSE),-VLOOKUP($C39&amp;" "&amp;BI$1,Results!$G:$H,2,FALSE)),"")</f>
        <v>17</v>
      </c>
      <c r="BJ39" s="2">
        <f>IFERROR(IFERROR(VLOOKUP($C39&amp;" "&amp;BJ$1,Results!$F:$H,3,FALSE),-VLOOKUP($C39&amp;" "&amp;BJ$1,Results!$G:$H,2,FALSE)),"")</f>
        <v>61</v>
      </c>
      <c r="BK39" s="2" t="str">
        <f>IFERROR(IFERROR(VLOOKUP($C39&amp;" "&amp;BK$1,Results!$F:$H,3,FALSE),-VLOOKUP($C39&amp;" "&amp;BK$1,Results!$G:$H,2,FALSE)),"")</f>
        <v/>
      </c>
      <c r="BL39" s="2" t="str">
        <f>IFERROR(IFERROR(VLOOKUP($C39&amp;" "&amp;BL$1,Results!$F:$H,3,FALSE),-VLOOKUP($C39&amp;" "&amp;BL$1,Results!$G:$H,2,FALSE)),"")</f>
        <v/>
      </c>
      <c r="BM39" s="2" t="str">
        <f>IFERROR(IFERROR(VLOOKUP($C39&amp;" "&amp;BM$1,Results!$F:$H,3,FALSE),-VLOOKUP($C39&amp;" "&amp;BM$1,Results!$G:$H,2,FALSE)),"")</f>
        <v/>
      </c>
      <c r="BN39" s="2" t="str">
        <f>IFERROR(IFERROR(VLOOKUP($C39&amp;" "&amp;BN$1,Results!$F:$H,3,FALSE),-VLOOKUP($C39&amp;" "&amp;BN$1,Results!$G:$H,2,FALSE)),"")</f>
        <v/>
      </c>
      <c r="BO39" s="2" t="str">
        <f>IFERROR(IFERROR(VLOOKUP($C39&amp;" "&amp;BO$1,Results!$F:$H,3,FALSE),-VLOOKUP($C39&amp;" "&amp;BO$1,Results!$G:$H,2,FALSE)),"")</f>
        <v/>
      </c>
      <c r="BP39" s="2" t="str">
        <f>IFERROR(IFERROR(VLOOKUP($C39&amp;" "&amp;BP$1,Results!$F:$H,3,FALSE),-VLOOKUP($C39&amp;" "&amp;BP$1,Results!$G:$H,2,FALSE)),"")</f>
        <v/>
      </c>
      <c r="BQ39" s="2" t="str">
        <f>IFERROR(IFERROR(VLOOKUP($C39&amp;" "&amp;BQ$1,Results!$F:$H,3,FALSE),-VLOOKUP($C39&amp;" "&amp;BQ$1,Results!$G:$H,2,FALSE)),"")</f>
        <v/>
      </c>
      <c r="BR39" s="2" t="str">
        <f>IFERROR(IFERROR(VLOOKUP($C39&amp;" "&amp;BR$1,Results!$F:$H,3,FALSE),-VLOOKUP($C39&amp;" "&amp;BR$1,Results!$G:$H,2,FALSE)),"")</f>
        <v/>
      </c>
      <c r="BS39" s="2" t="str">
        <f>IFERROR(IFERROR(VLOOKUP($C39&amp;" "&amp;BS$1,Results!$F:$H,3,FALSE),-VLOOKUP($C39&amp;" "&amp;BS$1,Results!$G:$H,2,FALSE)),"")</f>
        <v/>
      </c>
      <c r="BT39" s="2" t="str">
        <f>IFERROR(IFERROR(VLOOKUP($C39&amp;" "&amp;BT$1,Results!$F:$H,3,FALSE),-VLOOKUP($C39&amp;" "&amp;BT$1,Results!$G:$H,2,FALSE)),"")</f>
        <v/>
      </c>
      <c r="BU39" s="2" t="str">
        <f>IFERROR(IFERROR(VLOOKUP($C39&amp;" "&amp;BU$1,Results!$F:$H,3,FALSE),-VLOOKUP($C39&amp;" "&amp;BU$1,Results!$G:$H,2,FALSE)),"")</f>
        <v/>
      </c>
      <c r="BV39" s="2" t="str">
        <f>IFERROR(IFERROR(VLOOKUP($C39&amp;" "&amp;BV$1,Results!$F:$H,3,FALSE),-VLOOKUP($C39&amp;" "&amp;BV$1,Results!$G:$H,2,FALSE)),"")</f>
        <v/>
      </c>
      <c r="BW39" s="82">
        <f t="shared" si="18"/>
        <v>131</v>
      </c>
      <c r="BX39" s="5">
        <f>COUNTIF(E39:I39,1)</f>
        <v>5</v>
      </c>
      <c r="BY39" s="5">
        <f t="shared" si="19"/>
        <v>0</v>
      </c>
      <c r="BZ39" s="5">
        <f t="shared" si="12"/>
        <v>6</v>
      </c>
      <c r="CA39" s="65">
        <f t="shared" si="20"/>
        <v>0.83333333333333337</v>
      </c>
      <c r="CC39" s="8">
        <f t="shared" si="21"/>
        <v>131</v>
      </c>
      <c r="CE39" s="5">
        <v>42</v>
      </c>
      <c r="CF39" s="5">
        <f t="shared" si="22"/>
        <v>32</v>
      </c>
      <c r="CG39" s="5">
        <f t="shared" si="23"/>
        <v>10</v>
      </c>
    </row>
    <row r="40" spans="1:85" ht="12.75" customHeight="1">
      <c r="A40" s="5">
        <v>31</v>
      </c>
      <c r="B40" s="5">
        <v>37</v>
      </c>
      <c r="C40" s="154" t="s">
        <v>83</v>
      </c>
      <c r="D40" s="5"/>
      <c r="E40" s="5">
        <f>IF(AND(BG40&gt;0,$A40&lt;VLOOKUP(BG$1,$C:$L,10,FALSE)),1,IF(AND(BG40&lt;0,$A40&gt;VLOOKUP(BG$1,$C:$L,10,FALSE)),1,0))</f>
        <v>1</v>
      </c>
      <c r="F40" s="5">
        <f>IF(AND(BH40&gt;0,$A40&lt;VLOOKUP(BH$1,$C:$L,10,FALSE)),1,IF(AND(BH40&lt;0,$A40&gt;VLOOKUP(BH$1,$C:$L,10,FALSE)),1,0))</f>
        <v>1</v>
      </c>
      <c r="G40" s="5">
        <f>IF(AND(BI40&gt;0,$A40&lt;VLOOKUP(BI$1,$C:$L,10,FALSE)),1,IF(AND(BI40&lt;0,$A40&gt;VLOOKUP(BI$1,$C:$L,10,FALSE)),1,0))</f>
        <v>1</v>
      </c>
      <c r="H40" s="5">
        <f>IF(AND(BK40&gt;0,$A40&lt;VLOOKUP(BK$1,$C:$L,10,FALSE)),1,IF(AND(BK40&lt;0,$A40&gt;VLOOKUP(BK$1,$C:$L,10,FALSE)),1,0))</f>
        <v>1</v>
      </c>
      <c r="I40" s="5">
        <f>IF(AND(BL40&gt;0,$A40&lt;VLOOKUP(BL$1,$C:$L,10,FALSE)),1,IF(AND(BL40&lt;0,$A40&gt;VLOOKUP(BL$1,$C:$L,10,FALSE)),1,0))</f>
        <v>1</v>
      </c>
      <c r="J40" s="5">
        <f>IF(AND(BN40&gt;0,$A40&lt;VLOOKUP(BN$1,$C:$L,10,FALSE)),1,IF(AND(BN40&lt;0,$A40&gt;VLOOKUP(BN$1,$C:$L,10,FALSE)),1,0))</f>
        <v>1</v>
      </c>
      <c r="K40" s="79" t="s">
        <v>134</v>
      </c>
      <c r="L40" s="125">
        <f t="shared" si="16"/>
        <v>37</v>
      </c>
      <c r="M40" s="2">
        <v>10</v>
      </c>
      <c r="N40" s="11">
        <f t="shared" si="1"/>
        <v>6</v>
      </c>
      <c r="O40" s="2">
        <f t="shared" si="2"/>
        <v>0</v>
      </c>
      <c r="P40" s="2">
        <f t="shared" si="3"/>
        <v>0</v>
      </c>
      <c r="Q40" s="12">
        <f>COUNTIF($BH40:$BK40,"&gt;0")</f>
        <v>3</v>
      </c>
      <c r="R40" s="13">
        <f>COUNTIF($BH40:$BK40,"&lt;0")</f>
        <v>0</v>
      </c>
      <c r="S40" s="14">
        <f t="shared" ref="S40:S46" si="27">COUNTIF($BH40:$BK40,"=0")</f>
        <v>0</v>
      </c>
      <c r="T40" s="2">
        <f t="shared" si="17"/>
        <v>0</v>
      </c>
      <c r="U40" s="2"/>
      <c r="V40" s="2"/>
      <c r="W40" s="2"/>
      <c r="AR40" s="2" t="str">
        <f>IFERROR(IFERROR(VLOOKUP($C40&amp;" "&amp;AR$1,Results!$F:$H,3,FALSE),-VLOOKUP($C40&amp;" "&amp;AR$1,Results!$G:$H,2,FALSE)),"")</f>
        <v/>
      </c>
      <c r="AS40" s="2" t="str">
        <f>IFERROR(IFERROR(VLOOKUP($C40&amp;" "&amp;AS$1,Results!$F:$H,3,FALSE),-VLOOKUP($C40&amp;" "&amp;AS$1,Results!$G:$H,2,FALSE)),"")</f>
        <v/>
      </c>
      <c r="AT40" s="2" t="str">
        <f>IFERROR(IFERROR(VLOOKUP($C40&amp;" "&amp;AT$1,Results!$F:$H,3,FALSE),-VLOOKUP($C40&amp;" "&amp;AT$1,Results!$G:$H,2,FALSE)),"")</f>
        <v/>
      </c>
      <c r="AU40" s="2" t="str">
        <f>IFERROR(IFERROR(VLOOKUP($C40&amp;" "&amp;AU$1,Results!$F:$H,3,FALSE),-VLOOKUP($C40&amp;" "&amp;AU$1,Results!$G:$H,2,FALSE)),"")</f>
        <v/>
      </c>
      <c r="AV40" s="2" t="str">
        <f>IFERROR(IFERROR(VLOOKUP($C40&amp;" "&amp;AV$1,Results!$F:$H,3,FALSE),-VLOOKUP($C40&amp;" "&amp;AV$1,Results!$G:$H,2,FALSE)),"")</f>
        <v/>
      </c>
      <c r="AW40" s="2" t="str">
        <f>IFERROR(IFERROR(VLOOKUP($C40&amp;" "&amp;AW$1,Results!$F:$H,3,FALSE),-VLOOKUP($C40&amp;" "&amp;AW$1,Results!$G:$H,2,FALSE)),"")</f>
        <v/>
      </c>
      <c r="AX40" s="2" t="str">
        <f>IFERROR(IFERROR(VLOOKUP($C40&amp;" "&amp;AX$1,Results!$F:$H,3,FALSE),-VLOOKUP($C40&amp;" "&amp;AX$1,Results!$G:$H,2,FALSE)),"")</f>
        <v/>
      </c>
      <c r="AY40" s="2" t="str">
        <f>IFERROR(IFERROR(VLOOKUP($C40&amp;" "&amp;AY$1,Results!$F:$H,3,FALSE),-VLOOKUP($C40&amp;" "&amp;AY$1,Results!$G:$H,2,FALSE)),"")</f>
        <v/>
      </c>
      <c r="AZ40" s="2" t="str">
        <f>IFERROR(IFERROR(VLOOKUP($C40&amp;" "&amp;AZ$1,Results!$F:$H,3,FALSE),-VLOOKUP($C40&amp;" "&amp;AZ$1,Results!$G:$H,2,FALSE)),"")</f>
        <v/>
      </c>
      <c r="BA40" s="2" t="str">
        <f>IFERROR(IFERROR(VLOOKUP($C40&amp;" "&amp;BA$1,Results!$F:$H,3,FALSE),-VLOOKUP($C40&amp;" "&amp;BA$1,Results!$G:$H,2,FALSE)),"")</f>
        <v/>
      </c>
      <c r="BB40" s="2" t="str">
        <f>IFERROR(IFERROR(VLOOKUP($C40&amp;" "&amp;BB$1,Results!$F:$H,3,FALSE),-VLOOKUP($C40&amp;" "&amp;BB$1,Results!$G:$H,2,FALSE)),"")</f>
        <v/>
      </c>
      <c r="BC40" s="2" t="str">
        <f>IFERROR(IFERROR(VLOOKUP($C40&amp;" "&amp;BC$1,Results!$F:$H,3,FALSE),-VLOOKUP($C40&amp;" "&amp;BC$1,Results!$G:$H,2,FALSE)),"")</f>
        <v/>
      </c>
      <c r="BD40" s="2" t="str">
        <f>IFERROR(IFERROR(VLOOKUP($C40&amp;" "&amp;BD$1,Results!$F:$H,3,FALSE),-VLOOKUP($C40&amp;" "&amp;BD$1,Results!$G:$H,2,FALSE)),"")</f>
        <v/>
      </c>
      <c r="BE40" s="2">
        <f>IFERROR(IFERROR(VLOOKUP($C40&amp;" "&amp;BE$1,Results!$F:$H,3,FALSE),-VLOOKUP($C40&amp;" "&amp;BE$1,Results!$G:$H,2,FALSE)),"")</f>
        <v>24</v>
      </c>
      <c r="BF40" s="2">
        <f>IFERROR(IFERROR(VLOOKUP($C40&amp;" "&amp;BF$1,Results!$F:$H,3,FALSE),-VLOOKUP($C40&amp;" "&amp;BF$1,Results!$G:$H,2,FALSE)),"")</f>
        <v>104</v>
      </c>
      <c r="BG40" s="2">
        <f>IFERROR(IFERROR(VLOOKUP($C40&amp;" "&amp;BG$1,Results!$F:$H,3,FALSE),-VLOOKUP($C40&amp;" "&amp;BG$1,Results!$G:$H,2,FALSE)),"")</f>
        <v>30</v>
      </c>
      <c r="BH40" s="35" t="str">
        <f>IFERROR(IFERROR(VLOOKUP($C40&amp;" "&amp;BH$1,Results!$F:$H,3,FALSE),-VLOOKUP($C40&amp;" "&amp;BH$1,Results!$G:$H,2,FALSE)),"")</f>
        <v/>
      </c>
      <c r="BI40" s="49">
        <f>IFERROR(IFERROR(VLOOKUP($C40&amp;" "&amp;BI$1,Results!$F:$H,3,FALSE),-VLOOKUP($C40&amp;" "&amp;BI$1,Results!$G:$H,2,FALSE)),"")</f>
        <v>75</v>
      </c>
      <c r="BJ40" s="49">
        <f>IFERROR(IFERROR(VLOOKUP($C40&amp;" "&amp;BJ$1,Results!$F:$H,3,FALSE),-VLOOKUP($C40&amp;" "&amp;BJ$1,Results!$G:$H,2,FALSE)),"")</f>
        <v>116</v>
      </c>
      <c r="BK40" s="55">
        <f>IFERROR(IFERROR(VLOOKUP($C40&amp;" "&amp;BK$1,Results!$F:$H,3,FALSE),-VLOOKUP($C40&amp;" "&amp;BK$1,Results!$G:$H,2,FALSE)),"")</f>
        <v>128</v>
      </c>
      <c r="BL40" s="2" t="str">
        <f>IFERROR(IFERROR(VLOOKUP($C40&amp;" "&amp;BL$1,Results!$F:$H,3,FALSE),-VLOOKUP($C40&amp;" "&amp;BL$1,Results!$G:$H,2,FALSE)),"")</f>
        <v/>
      </c>
      <c r="BM40" s="2" t="str">
        <f>IFERROR(IFERROR(VLOOKUP($C40&amp;" "&amp;BM$1,Results!$F:$H,3,FALSE),-VLOOKUP($C40&amp;" "&amp;BM$1,Results!$G:$H,2,FALSE)),"")</f>
        <v/>
      </c>
      <c r="BN40" s="2" t="str">
        <f>IFERROR(IFERROR(VLOOKUP($C40&amp;" "&amp;BN$1,Results!$F:$H,3,FALSE),-VLOOKUP($C40&amp;" "&amp;BN$1,Results!$G:$H,2,FALSE)),"")</f>
        <v/>
      </c>
      <c r="BO40" s="2" t="str">
        <f>IFERROR(IFERROR(VLOOKUP($C40&amp;" "&amp;BO$1,Results!$F:$H,3,FALSE),-VLOOKUP($C40&amp;" "&amp;BO$1,Results!$G:$H,2,FALSE)),"")</f>
        <v/>
      </c>
      <c r="BP40" s="2" t="str">
        <f>IFERROR(IFERROR(VLOOKUP($C40&amp;" "&amp;BP$1,Results!$F:$H,3,FALSE),-VLOOKUP($C40&amp;" "&amp;BP$1,Results!$G:$H,2,FALSE)),"")</f>
        <v/>
      </c>
      <c r="BQ40" s="2" t="str">
        <f>IFERROR(IFERROR(VLOOKUP($C40&amp;" "&amp;BQ$1,Results!$F:$H,3,FALSE),-VLOOKUP($C40&amp;" "&amp;BQ$1,Results!$G:$H,2,FALSE)),"")</f>
        <v/>
      </c>
      <c r="BR40" s="2" t="str">
        <f>IFERROR(IFERROR(VLOOKUP($C40&amp;" "&amp;BR$1,Results!$F:$H,3,FALSE),-VLOOKUP($C40&amp;" "&amp;BR$1,Results!$G:$H,2,FALSE)),"")</f>
        <v/>
      </c>
      <c r="BS40" s="2" t="str">
        <f>IFERROR(IFERROR(VLOOKUP($C40&amp;" "&amp;BS$1,Results!$F:$H,3,FALSE),-VLOOKUP($C40&amp;" "&amp;BS$1,Results!$G:$H,2,FALSE)),"")</f>
        <v/>
      </c>
      <c r="BT40" s="2" t="str">
        <f>IFERROR(IFERROR(VLOOKUP($C40&amp;" "&amp;BT$1,Results!$F:$H,3,FALSE),-VLOOKUP($C40&amp;" "&amp;BT$1,Results!$G:$H,2,FALSE)),"")</f>
        <v/>
      </c>
      <c r="BU40" s="2"/>
      <c r="BV40" s="2"/>
      <c r="BW40" s="82">
        <f t="shared" si="18"/>
        <v>477</v>
      </c>
      <c r="BX40" s="5">
        <f>COUNTIF(E40:J40,1)</f>
        <v>6</v>
      </c>
      <c r="BY40" s="5">
        <f t="shared" si="19"/>
        <v>0</v>
      </c>
      <c r="BZ40" s="5">
        <f t="shared" si="12"/>
        <v>6</v>
      </c>
      <c r="CA40" s="65">
        <f t="shared" si="20"/>
        <v>1</v>
      </c>
      <c r="CC40" s="8">
        <f t="shared" si="21"/>
        <v>477</v>
      </c>
      <c r="CE40" s="5">
        <v>36</v>
      </c>
      <c r="CF40" s="5">
        <f t="shared" si="22"/>
        <v>31</v>
      </c>
      <c r="CG40" s="5">
        <f t="shared" si="23"/>
        <v>5</v>
      </c>
    </row>
    <row r="41" spans="1:85">
      <c r="A41" s="5">
        <v>35</v>
      </c>
      <c r="B41" s="5">
        <v>38</v>
      </c>
      <c r="C41" s="10" t="s">
        <v>23</v>
      </c>
      <c r="D41" s="5"/>
      <c r="E41" s="5">
        <f>IF(AND(BJ41&gt;0,$A41&lt;VLOOKUP(BJ$1,$C:$L,10,FALSE)),1,IF(AND(BJ41&lt;0,$A41&gt;VLOOKUP(BJ$1,$C:$L,10,FALSE)),1,0))</f>
        <v>1</v>
      </c>
      <c r="F41" s="5">
        <f>IF(AND(BL41&gt;0,$A41&lt;VLOOKUP(BL$1,$C:$L,10,FALSE)),1,IF(AND(BL41&lt;0,$A41&gt;VLOOKUP(BL$1,$C:$L,10,FALSE)),1,0))</f>
        <v>1</v>
      </c>
      <c r="G41" s="5">
        <f>IF(AND(BM41&gt;0,$A41&lt;VLOOKUP(BM$1,$C:$L,10,FALSE)),1,IF(AND(BM41&lt;0,$A41&gt;VLOOKUP(BM$1,$C:$L,10,FALSE)),1,0))</f>
        <v>1</v>
      </c>
      <c r="H41" s="5">
        <f>IF(AND(BQ41&gt;0,$A41&lt;VLOOKUP(BQ$1,$C:$L,10,FALSE)),1,IF(AND(BQ41&lt;0,$A41&gt;VLOOKUP(BQ$1,$C:$L,10,FALSE)),1,0))</f>
        <v>1</v>
      </c>
      <c r="I41" s="5">
        <f>IF(AND(BS41&gt;0,$A41&lt;VLOOKUP(BS$1,$C:$L,10,FALSE)),1,IF(AND(BS41&lt;0,$A41&gt;VLOOKUP(BS$1,$C:$L,10,FALSE)),1,0))</f>
        <v>1</v>
      </c>
      <c r="J41" s="5">
        <f>IF(AND(BT41&gt;0,$A41&lt;VLOOKUP(BT$1,$C:$L,10,FALSE)),1,IF(AND(BT41&lt;0,$A41&gt;VLOOKUP(BT$1,$C:$L,10,FALSE)),1,0))</f>
        <v>1</v>
      </c>
      <c r="K41" s="79" t="s">
        <v>134</v>
      </c>
      <c r="L41" s="125">
        <f t="shared" si="16"/>
        <v>38</v>
      </c>
      <c r="M41" s="2">
        <v>10</v>
      </c>
      <c r="N41" s="11">
        <f t="shared" si="1"/>
        <v>4</v>
      </c>
      <c r="O41" s="2">
        <f t="shared" si="2"/>
        <v>2</v>
      </c>
      <c r="P41" s="2">
        <f t="shared" si="3"/>
        <v>0</v>
      </c>
      <c r="Q41" s="12">
        <f>COUNTIF($BH41:$BK41,"&gt;0")</f>
        <v>2</v>
      </c>
      <c r="R41" s="13">
        <f>COUNTIF($BH41:$BK41,"&lt;0")</f>
        <v>1</v>
      </c>
      <c r="S41" s="14">
        <f t="shared" si="27"/>
        <v>0</v>
      </c>
      <c r="T41" s="2">
        <f t="shared" si="17"/>
        <v>0</v>
      </c>
      <c r="U41" s="2"/>
      <c r="V41" s="2"/>
      <c r="W41" s="2"/>
      <c r="AR41" s="2" t="str">
        <f>IFERROR(IFERROR(VLOOKUP($C41&amp;" "&amp;AR$1,Results!$F:$H,3,FALSE),-VLOOKUP($C41&amp;" "&amp;AR$1,Results!$G:$H,2,FALSE)),"")</f>
        <v/>
      </c>
      <c r="AS41" s="2" t="str">
        <f>IFERROR(IFERROR(VLOOKUP($C41&amp;" "&amp;AS$1,Results!$F:$H,3,FALSE),-VLOOKUP($C41&amp;" "&amp;AS$1,Results!$G:$H,2,FALSE)),"")</f>
        <v/>
      </c>
      <c r="AT41" s="2" t="str">
        <f>IFERROR(IFERROR(VLOOKUP($C41&amp;" "&amp;AT$1,Results!$F:$H,3,FALSE),-VLOOKUP($C41&amp;" "&amp;AT$1,Results!$G:$H,2,FALSE)),"")</f>
        <v/>
      </c>
      <c r="AU41" s="2" t="str">
        <f>IFERROR(IFERROR(VLOOKUP($C41&amp;" "&amp;AU$1,Results!$F:$H,3,FALSE),-VLOOKUP($C41&amp;" "&amp;AU$1,Results!$G:$H,2,FALSE)),"")</f>
        <v/>
      </c>
      <c r="AV41" s="2" t="str">
        <f>IFERROR(IFERROR(VLOOKUP($C41&amp;" "&amp;AV$1,Results!$F:$H,3,FALSE),-VLOOKUP($C41&amp;" "&amp;AV$1,Results!$G:$H,2,FALSE)),"")</f>
        <v/>
      </c>
      <c r="AW41" s="2" t="str">
        <f>IFERROR(IFERROR(VLOOKUP($C41&amp;" "&amp;AW$1,Results!$F:$H,3,FALSE),-VLOOKUP($C41&amp;" "&amp;AW$1,Results!$G:$H,2,FALSE)),"")</f>
        <v/>
      </c>
      <c r="AX41" s="2" t="str">
        <f>IFERROR(IFERROR(VLOOKUP($C41&amp;" "&amp;AX$1,Results!$F:$H,3,FALSE),-VLOOKUP($C41&amp;" "&amp;AX$1,Results!$G:$H,2,FALSE)),"")</f>
        <v/>
      </c>
      <c r="AY41" s="2" t="str">
        <f>IFERROR(IFERROR(VLOOKUP($C41&amp;" "&amp;AY$1,Results!$F:$H,3,FALSE),-VLOOKUP($C41&amp;" "&amp;AY$1,Results!$G:$H,2,FALSE)),"")</f>
        <v/>
      </c>
      <c r="AZ41" s="2" t="str">
        <f>IFERROR(IFERROR(VLOOKUP($C41&amp;" "&amp;AZ$1,Results!$F:$H,3,FALSE),-VLOOKUP($C41&amp;" "&amp;AZ$1,Results!$G:$H,2,FALSE)),"")</f>
        <v/>
      </c>
      <c r="BA41" s="2" t="str">
        <f>IFERROR(IFERROR(VLOOKUP($C41&amp;" "&amp;BA$1,Results!$F:$H,3,FALSE),-VLOOKUP($C41&amp;" "&amp;BA$1,Results!$G:$H,2,FALSE)),"")</f>
        <v/>
      </c>
      <c r="BB41" s="2" t="str">
        <f>IFERROR(IFERROR(VLOOKUP($C41&amp;" "&amp;BB$1,Results!$F:$H,3,FALSE),-VLOOKUP($C41&amp;" "&amp;BB$1,Results!$G:$H,2,FALSE)),"")</f>
        <v/>
      </c>
      <c r="BC41" s="2" t="str">
        <f>IFERROR(IFERROR(VLOOKUP($C41&amp;" "&amp;BC$1,Results!$F:$H,3,FALSE),-VLOOKUP($C41&amp;" "&amp;BC$1,Results!$G:$H,2,FALSE)),"")</f>
        <v/>
      </c>
      <c r="BD41" s="2" t="str">
        <f>IFERROR(IFERROR(VLOOKUP($C41&amp;" "&amp;BD$1,Results!$F:$H,3,FALSE),-VLOOKUP($C41&amp;" "&amp;BD$1,Results!$G:$H,2,FALSE)),"")</f>
        <v/>
      </c>
      <c r="BE41" s="2" t="str">
        <f>IFERROR(IFERROR(VLOOKUP($C41&amp;" "&amp;BE$1,Results!$F:$H,3,FALSE),-VLOOKUP($C41&amp;" "&amp;BE$1,Results!$G:$H,2,FALSE)),"")</f>
        <v/>
      </c>
      <c r="BF41" s="2">
        <f>IFERROR(IFERROR(VLOOKUP($C41&amp;" "&amp;BF$1,Results!$F:$H,3,FALSE),-VLOOKUP($C41&amp;" "&amp;BF$1,Results!$G:$H,2,FALSE)),"")</f>
        <v>28</v>
      </c>
      <c r="BG41" s="2">
        <f>IFERROR(IFERROR(VLOOKUP($C41&amp;" "&amp;BG$1,Results!$F:$H,3,FALSE),-VLOOKUP($C41&amp;" "&amp;BG$1,Results!$G:$H,2,FALSE)),"")</f>
        <v>-17</v>
      </c>
      <c r="BH41" s="51">
        <f>IFERROR(IFERROR(VLOOKUP($C41&amp;" "&amp;BH$1,Results!$F:$H,3,FALSE),-VLOOKUP($C41&amp;" "&amp;BH$1,Results!$G:$H,2,FALSE)),"")</f>
        <v>-75</v>
      </c>
      <c r="BI41" s="2" t="str">
        <f>IFERROR(IFERROR(VLOOKUP($C41&amp;" "&amp;BI$1,Results!$F:$H,3,FALSE),-VLOOKUP($C41&amp;" "&amp;BI$1,Results!$G:$H,2,FALSE)),"")</f>
        <v/>
      </c>
      <c r="BJ41" s="2">
        <f>IFERROR(IFERROR(VLOOKUP($C41&amp;" "&amp;BJ$1,Results!$F:$H,3,FALSE),-VLOOKUP($C41&amp;" "&amp;BJ$1,Results!$G:$H,2,FALSE)),"")</f>
        <v>110</v>
      </c>
      <c r="BK41" s="56">
        <f>IFERROR(IFERROR(VLOOKUP($C41&amp;" "&amp;BK$1,Results!$F:$H,3,FALSE),-VLOOKUP($C41&amp;" "&amp;BK$1,Results!$G:$H,2,FALSE)),"")</f>
        <v>140</v>
      </c>
      <c r="BL41" s="2">
        <f>IFERROR(IFERROR(VLOOKUP($C41&amp;" "&amp;BL$1,Results!$F:$H,3,FALSE),-VLOOKUP($C41&amp;" "&amp;BL$1,Results!$G:$H,2,FALSE)),"")</f>
        <v>83</v>
      </c>
      <c r="BM41" s="2" t="str">
        <f>IFERROR(IFERROR(VLOOKUP($C41&amp;" "&amp;BM$1,Results!$F:$H,3,FALSE),-VLOOKUP($C41&amp;" "&amp;BM$1,Results!$G:$H,2,FALSE)),"")</f>
        <v/>
      </c>
      <c r="BN41" s="2" t="str">
        <f>IFERROR(IFERROR(VLOOKUP($C41&amp;" "&amp;BN$1,Results!$F:$H,3,FALSE),-VLOOKUP($C41&amp;" "&amp;BN$1,Results!$G:$H,2,FALSE)),"")</f>
        <v/>
      </c>
      <c r="BO41" s="2" t="str">
        <f>IFERROR(IFERROR(VLOOKUP($C41&amp;" "&amp;BO$1,Results!$F:$H,3,FALSE),-VLOOKUP($C41&amp;" "&amp;BO$1,Results!$G:$H,2,FALSE)),"")</f>
        <v/>
      </c>
      <c r="BP41" s="2" t="str">
        <f>IFERROR(IFERROR(VLOOKUP($C41&amp;" "&amp;BP$1,Results!$F:$H,3,FALSE),-VLOOKUP($C41&amp;" "&amp;BP$1,Results!$G:$H,2,FALSE)),"")</f>
        <v/>
      </c>
      <c r="BQ41" s="2" t="str">
        <f>IFERROR(IFERROR(VLOOKUP($C41&amp;" "&amp;BQ$1,Results!$F:$H,3,FALSE),-VLOOKUP($C41&amp;" "&amp;BQ$1,Results!$G:$H,2,FALSE)),"")</f>
        <v/>
      </c>
      <c r="BR41" s="2" t="str">
        <f>IFERROR(IFERROR(VLOOKUP($C41&amp;" "&amp;BR$1,Results!$F:$H,3,FALSE),-VLOOKUP($C41&amp;" "&amp;BR$1,Results!$G:$H,2,FALSE)),"")</f>
        <v/>
      </c>
      <c r="BS41" s="2" t="str">
        <f>IFERROR(IFERROR(VLOOKUP($C41&amp;" "&amp;BS$1,Results!$F:$H,3,FALSE),-VLOOKUP($C41&amp;" "&amp;BS$1,Results!$G:$H,2,FALSE)),"")</f>
        <v/>
      </c>
      <c r="BT41" s="2" t="str">
        <f>IFERROR(IFERROR(VLOOKUP($C41&amp;" "&amp;BT$1,Results!$F:$H,3,FALSE),-VLOOKUP($C41&amp;" "&amp;BT$1,Results!$G:$H,2,FALSE)),"")</f>
        <v/>
      </c>
      <c r="BU41" s="2" t="str">
        <f>IFERROR(IFERROR(VLOOKUP($C41&amp;" "&amp;BU$1,Results!$F:$H,3,FALSE),-VLOOKUP($C41&amp;" "&amp;BU$1,Results!$G:$H,2,FALSE)),"")</f>
        <v/>
      </c>
      <c r="BV41" s="2" t="str">
        <f>IFERROR(IFERROR(VLOOKUP($C41&amp;" "&amp;BV$1,Results!$F:$H,3,FALSE),-VLOOKUP($C41&amp;" "&amp;BV$1,Results!$G:$H,2,FALSE)),"")</f>
        <v/>
      </c>
      <c r="BW41" s="82">
        <f t="shared" si="18"/>
        <v>269</v>
      </c>
      <c r="BX41" s="5">
        <f>COUNTIF(E41:I41,1)</f>
        <v>5</v>
      </c>
      <c r="BY41" s="5">
        <f t="shared" si="19"/>
        <v>0</v>
      </c>
      <c r="BZ41" s="5">
        <f t="shared" si="12"/>
        <v>6</v>
      </c>
      <c r="CA41" s="65">
        <f t="shared" si="20"/>
        <v>0.83333333333333337</v>
      </c>
      <c r="CC41" s="8">
        <f t="shared" si="21"/>
        <v>269</v>
      </c>
      <c r="CE41" s="5">
        <v>40</v>
      </c>
      <c r="CF41" s="5">
        <f t="shared" si="22"/>
        <v>35</v>
      </c>
      <c r="CG41" s="5">
        <f t="shared" si="23"/>
        <v>5</v>
      </c>
    </row>
    <row r="42" spans="1:85" ht="12.75" customHeight="1">
      <c r="A42" s="5">
        <v>42</v>
      </c>
      <c r="B42" s="5">
        <v>39</v>
      </c>
      <c r="C42" s="158" t="s">
        <v>95</v>
      </c>
      <c r="D42" s="5"/>
      <c r="E42" s="5">
        <f>IF(AND(BD42&gt;0,$A42&lt;VLOOKUP(BD$1,$C:$L,10,FALSE)),1,IF(AND(BD42&lt;0,$A42&gt;VLOOKUP(BD$1,$C:$L,10,FALSE)),1,0))</f>
        <v>0</v>
      </c>
      <c r="F42" s="5">
        <f>IF(AND(BE42&gt;0,$A42&lt;VLOOKUP(BE$1,$C:$L,10,FALSE)),1,IF(AND(BE42&lt;0,$A42&gt;VLOOKUP(BE$1,$C:$L,10,FALSE)),1,0))</f>
        <v>0</v>
      </c>
      <c r="G42" s="5">
        <f>IF(AND(BF42&gt;0,$A42&lt;VLOOKUP(BF$1,$C:$L,10,FALSE)),1,IF(AND(BF42&lt;0,$A42&gt;VLOOKUP(BF$1,$C:$L,10,FALSE)),1,0))</f>
        <v>0</v>
      </c>
      <c r="H42" s="5">
        <f>IF(AND(BH42&gt;0,$A42&lt;VLOOKUP(BH$1,$C:$L,10,FALSE)),1,IF(AND(BH42&lt;0,$A42&gt;VLOOKUP(BH$1,$C:$L,10,FALSE)),1,0))</f>
        <v>1</v>
      </c>
      <c r="I42" s="5">
        <f>IF(AND(BI42&gt;0,$A42&lt;VLOOKUP(BI$1,$C:$L,10,FALSE)),1,IF(AND(BI42&lt;0,$A42&gt;VLOOKUP(BI$1,$C:$L,10,FALSE)),1,0))</f>
        <v>1</v>
      </c>
      <c r="J42" s="5">
        <f>IF(AND(BJ42&gt;0,$A42&lt;VLOOKUP(BJ$1,$C:$L,10,FALSE)),1,IF(AND(BJ42&lt;0,$A42&gt;VLOOKUP(BJ$1,$C:$L,10,FALSE)),1,0))</f>
        <v>0</v>
      </c>
      <c r="K42" s="79" t="s">
        <v>134</v>
      </c>
      <c r="L42" s="125">
        <f t="shared" si="16"/>
        <v>39</v>
      </c>
      <c r="M42" s="2">
        <v>10</v>
      </c>
      <c r="N42" s="11">
        <f t="shared" si="1"/>
        <v>1</v>
      </c>
      <c r="O42" s="2">
        <f t="shared" si="2"/>
        <v>5</v>
      </c>
      <c r="P42" s="2">
        <f t="shared" si="3"/>
        <v>0</v>
      </c>
      <c r="Q42" s="12">
        <f>COUNTIF($BH42:$BK42,"&gt;0")</f>
        <v>0</v>
      </c>
      <c r="R42" s="13">
        <f>COUNTIF($BH42:$BK42,"&lt;0")</f>
        <v>3</v>
      </c>
      <c r="S42" s="14">
        <f t="shared" si="27"/>
        <v>0</v>
      </c>
      <c r="T42" s="2">
        <f t="shared" si="17"/>
        <v>0</v>
      </c>
      <c r="U42" s="2"/>
      <c r="V42" s="2"/>
      <c r="W42" s="2"/>
      <c r="AR42" s="2" t="str">
        <f>IFERROR(IFERROR(VLOOKUP($C42&amp;" "&amp;AR$1,Results!$F:$H,3,FALSE),-VLOOKUP($C42&amp;" "&amp;AR$1,Results!$G:$H,2,FALSE)),"")</f>
        <v/>
      </c>
      <c r="AS42" s="2" t="str">
        <f>IFERROR(IFERROR(VLOOKUP($C42&amp;" "&amp;AS$1,Results!$F:$H,3,FALSE),-VLOOKUP($C42&amp;" "&amp;AS$1,Results!$G:$H,2,FALSE)),"")</f>
        <v/>
      </c>
      <c r="AT42" s="2" t="str">
        <f>IFERROR(IFERROR(VLOOKUP($C42&amp;" "&amp;AT$1,Results!$F:$H,3,FALSE),-VLOOKUP($C42&amp;" "&amp;AT$1,Results!$G:$H,2,FALSE)),"")</f>
        <v/>
      </c>
      <c r="AU42" s="2" t="str">
        <f>IFERROR(IFERROR(VLOOKUP($C42&amp;" "&amp;AU$1,Results!$F:$H,3,FALSE),-VLOOKUP($C42&amp;" "&amp;AU$1,Results!$G:$H,2,FALSE)),"")</f>
        <v/>
      </c>
      <c r="AV42" s="2" t="str">
        <f>IFERROR(IFERROR(VLOOKUP($C42&amp;" "&amp;AV$1,Results!$F:$H,3,FALSE),-VLOOKUP($C42&amp;" "&amp;AV$1,Results!$G:$H,2,FALSE)),"")</f>
        <v/>
      </c>
      <c r="AW42" s="2" t="str">
        <f>IFERROR(IFERROR(VLOOKUP($C42&amp;" "&amp;AW$1,Results!$F:$H,3,FALSE),-VLOOKUP($C42&amp;" "&amp;AW$1,Results!$G:$H,2,FALSE)),"")</f>
        <v/>
      </c>
      <c r="AX42" s="2" t="str">
        <f>IFERROR(IFERROR(VLOOKUP($C42&amp;" "&amp;AX$1,Results!$F:$H,3,FALSE),-VLOOKUP($C42&amp;" "&amp;AX$1,Results!$G:$H,2,FALSE)),"")</f>
        <v/>
      </c>
      <c r="AY42" s="2" t="str">
        <f>IFERROR(IFERROR(VLOOKUP($C42&amp;" "&amp;AY$1,Results!$F:$H,3,FALSE),-VLOOKUP($C42&amp;" "&amp;AY$1,Results!$G:$H,2,FALSE)),"")</f>
        <v/>
      </c>
      <c r="AZ42" s="2" t="str">
        <f>IFERROR(IFERROR(VLOOKUP($C42&amp;" "&amp;AZ$1,Results!$F:$H,3,FALSE),-VLOOKUP($C42&amp;" "&amp;AZ$1,Results!$G:$H,2,FALSE)),"")</f>
        <v/>
      </c>
      <c r="BA42" s="2" t="str">
        <f>IFERROR(IFERROR(VLOOKUP($C42&amp;" "&amp;BA$1,Results!$F:$H,3,FALSE),-VLOOKUP($C42&amp;" "&amp;BA$1,Results!$G:$H,2,FALSE)),"")</f>
        <v/>
      </c>
      <c r="BB42" s="2" t="str">
        <f>IFERROR(IFERROR(VLOOKUP($C42&amp;" "&amp;BB$1,Results!$F:$H,3,FALSE),-VLOOKUP($C42&amp;" "&amp;BB$1,Results!$G:$H,2,FALSE)),"")</f>
        <v/>
      </c>
      <c r="BC42" s="2" t="str">
        <f>IFERROR(IFERROR(VLOOKUP($C42&amp;" "&amp;BC$1,Results!$F:$H,3,FALSE),-VLOOKUP($C42&amp;" "&amp;BC$1,Results!$G:$H,2,FALSE)),"")</f>
        <v/>
      </c>
      <c r="BD42" s="19" t="str">
        <f>IFERROR(IFERROR(VLOOKUP($C42&amp;" "&amp;BD$1,Results!$F:$H,3,FALSE),-VLOOKUP($C42&amp;" "&amp;BD$1,Results!$G:$H,2,FALSE)),"")</f>
        <v/>
      </c>
      <c r="BE42" s="149" t="str">
        <f>IFERROR(IFERROR(VLOOKUP($C42&amp;" "&amp;BE$1,Results!$F:$H,3,FALSE),-VLOOKUP($C42&amp;" "&amp;BE$1,Results!$G:$H,2,FALSE)),"")</f>
        <v/>
      </c>
      <c r="BF42" s="19" t="str">
        <f>IFERROR(IFERROR(VLOOKUP($C42&amp;" "&amp;BF$1,Results!$F:$H,3,FALSE),-VLOOKUP($C42&amp;" "&amp;BF$1,Results!$G:$H,2,FALSE)),"")</f>
        <v/>
      </c>
      <c r="BG42" s="19">
        <f>IFERROR(IFERROR(VLOOKUP($C42&amp;" "&amp;BG$1,Results!$F:$H,3,FALSE),-VLOOKUP($C42&amp;" "&amp;BG$1,Results!$G:$H,2,FALSE)),"")</f>
        <v>-61</v>
      </c>
      <c r="BH42" s="51">
        <f>IFERROR(IFERROR(VLOOKUP($C42&amp;" "&amp;BH$1,Results!$F:$H,3,FALSE),-VLOOKUP($C42&amp;" "&amp;BH$1,Results!$G:$H,2,FALSE)),"")</f>
        <v>-116</v>
      </c>
      <c r="BI42" s="2">
        <f>IFERROR(IFERROR(VLOOKUP($C42&amp;" "&amp;BI$1,Results!$F:$H,3,FALSE),-VLOOKUP($C42&amp;" "&amp;BI$1,Results!$G:$H,2,FALSE)),"")</f>
        <v>-110</v>
      </c>
      <c r="BJ42" s="2" t="str">
        <f>IFERROR(IFERROR(VLOOKUP($C42&amp;" "&amp;BJ$1,Results!$F:$H,3,FALSE),-VLOOKUP($C42&amp;" "&amp;BJ$1,Results!$G:$H,2,FALSE)),"")</f>
        <v/>
      </c>
      <c r="BK42" s="56">
        <f>IFERROR(IFERROR(VLOOKUP($C42&amp;" "&amp;BK$1,Results!$F:$H,3,FALSE),-VLOOKUP($C42&amp;" "&amp;BK$1,Results!$G:$H,2,FALSE)),"")</f>
        <v>-49</v>
      </c>
      <c r="BL42" s="2">
        <f>IFERROR(IFERROR(VLOOKUP($C42&amp;" "&amp;BL$1,Results!$F:$H,3,FALSE),-VLOOKUP($C42&amp;" "&amp;BL$1,Results!$G:$H,2,FALSE)),"")</f>
        <v>-21</v>
      </c>
      <c r="BM42" s="2">
        <f>IFERROR(IFERROR(VLOOKUP($C42&amp;" "&amp;BM$1,Results!$F:$H,3,FALSE),-VLOOKUP($C42&amp;" "&amp;BM$1,Results!$G:$H,2,FALSE)),"")</f>
        <v>24</v>
      </c>
      <c r="BN42" s="2" t="str">
        <f>IFERROR(IFERROR(VLOOKUP($C42&amp;" "&amp;BN$1,Results!$F:$H,3,FALSE),-VLOOKUP($C42&amp;" "&amp;BN$1,Results!$G:$H,2,FALSE)),"")</f>
        <v/>
      </c>
      <c r="BO42" s="2" t="str">
        <f>IFERROR(IFERROR(VLOOKUP($C42&amp;" "&amp;BO$1,Results!$F:$H,3,FALSE),-VLOOKUP($C42&amp;" "&amp;BO$1,Results!$G:$H,2,FALSE)),"")</f>
        <v/>
      </c>
      <c r="BP42" s="2" t="str">
        <f>IFERROR(IFERROR(VLOOKUP($C42&amp;" "&amp;BP$1,Results!$F:$H,3,FALSE),-VLOOKUP($C42&amp;" "&amp;BP$1,Results!$G:$H,2,FALSE)),"")</f>
        <v/>
      </c>
      <c r="BQ42" s="2" t="str">
        <f>IFERROR(IFERROR(VLOOKUP($C42&amp;" "&amp;BQ$1,Results!$F:$H,3,FALSE),-VLOOKUP($C42&amp;" "&amp;BQ$1,Results!$G:$H,2,FALSE)),"")</f>
        <v/>
      </c>
      <c r="BR42" s="2" t="str">
        <f>IFERROR(IFERROR(VLOOKUP($C42&amp;" "&amp;BR$1,Results!$F:$H,3,FALSE),-VLOOKUP($C42&amp;" "&amp;BR$1,Results!$G:$H,2,FALSE)),"")</f>
        <v/>
      </c>
      <c r="BS42" s="2" t="str">
        <f>IFERROR(IFERROR(VLOOKUP($C42&amp;" "&amp;BS$1,Results!$F:$H,3,FALSE),-VLOOKUP($C42&amp;" "&amp;BS$1,Results!$G:$H,2,FALSE)),"")</f>
        <v/>
      </c>
      <c r="BT42" s="2" t="str">
        <f>IFERROR(IFERROR(VLOOKUP($C42&amp;" "&amp;BT$1,Results!$F:$H,3,FALSE),-VLOOKUP($C42&amp;" "&amp;BT$1,Results!$G:$H,2,FALSE)),"")</f>
        <v/>
      </c>
      <c r="BU42" s="2"/>
      <c r="BV42" s="2"/>
      <c r="BW42" s="82">
        <f t="shared" si="18"/>
        <v>-333</v>
      </c>
      <c r="BX42" s="5">
        <f t="shared" ref="BX42:BX50" si="28">COUNTIF(E42:J42,1)</f>
        <v>2</v>
      </c>
      <c r="BY42" s="5">
        <f t="shared" si="19"/>
        <v>4</v>
      </c>
      <c r="BZ42" s="5">
        <f t="shared" si="12"/>
        <v>6</v>
      </c>
      <c r="CA42" s="65">
        <f t="shared" si="20"/>
        <v>0.33333333333333331</v>
      </c>
      <c r="CC42" s="8">
        <f t="shared" si="21"/>
        <v>-333</v>
      </c>
      <c r="CE42" s="5">
        <v>39</v>
      </c>
      <c r="CF42" s="5">
        <f t="shared" si="22"/>
        <v>42</v>
      </c>
      <c r="CG42" s="5">
        <f t="shared" si="23"/>
        <v>-3</v>
      </c>
    </row>
    <row r="43" spans="1:85" ht="12.75" customHeight="1" thickBot="1">
      <c r="A43" s="5">
        <v>39</v>
      </c>
      <c r="B43" s="5">
        <v>40</v>
      </c>
      <c r="C43" s="10" t="s">
        <v>31</v>
      </c>
      <c r="D43" s="38"/>
      <c r="E43" s="5">
        <f>IF(AND(BL43&gt;0,$A43&lt;VLOOKUP(BL$1,$C:$L,10,FALSE)),1,IF(AND(BL43&lt;0,$A43&gt;VLOOKUP(BL$1,$C:$L,10,FALSE)),1,0))</f>
        <v>1</v>
      </c>
      <c r="F43" s="5">
        <f>IF(AND(BM43&gt;0,$A43&lt;VLOOKUP(BM$1,$C:$L,10,FALSE)),1,IF(AND(BM43&lt;0,$A43&gt;VLOOKUP(BM$1,$C:$L,10,FALSE)),1,0))</f>
        <v>1</v>
      </c>
      <c r="G43" s="5" t="s">
        <v>157</v>
      </c>
      <c r="H43" s="5">
        <f>IF(AND(BP43&gt;0,$A43&lt;VLOOKUP(BP$1,$C:$L,10,FALSE)),1,IF(AND(BP43&lt;0,$A43&gt;VLOOKUP(BP$1,$C:$L,10,FALSE)),1,0))</f>
        <v>1</v>
      </c>
      <c r="I43" s="5">
        <f>IF(AND(BQ43&gt;0,$A43&lt;VLOOKUP(BQ$1,$C:$L,10,FALSE)),1,IF(AND(BQ43&lt;0,$A43&gt;VLOOKUP(BQ$1,$C:$L,10,FALSE)),1,0))</f>
        <v>1</v>
      </c>
      <c r="J43" s="5">
        <f>IF(AND(BT43&gt;0,$A43&lt;VLOOKUP(BT$1,$C:$L,10,FALSE)),1,IF(AND(BT43&lt;0,$A43&gt;VLOOKUP(BT$1,$C:$L,10,FALSE)),1,0))</f>
        <v>1</v>
      </c>
      <c r="K43" s="79" t="s">
        <v>134</v>
      </c>
      <c r="L43" s="125">
        <f t="shared" si="16"/>
        <v>40</v>
      </c>
      <c r="M43" s="2">
        <v>10</v>
      </c>
      <c r="N43" s="11">
        <f>COUNTIF($U43:$BU43,"&gt;0")</f>
        <v>4</v>
      </c>
      <c r="O43" s="2">
        <f>COUNTIF($U43:$BU43,"&lt;0")</f>
        <v>2</v>
      </c>
      <c r="P43" s="2">
        <f>COUNTIF($U43:$BU43,"=0")</f>
        <v>0</v>
      </c>
      <c r="Q43" s="12">
        <f>COUNTIF($BH43:$BK43,"&gt;0")</f>
        <v>1</v>
      </c>
      <c r="R43" s="13">
        <f>COUNTIF($BH43:$BK43,"&lt;0")</f>
        <v>2</v>
      </c>
      <c r="S43" s="14">
        <f t="shared" si="27"/>
        <v>0</v>
      </c>
      <c r="T43" s="2">
        <f t="shared" si="17"/>
        <v>0</v>
      </c>
      <c r="AR43" s="2" t="str">
        <f>IFERROR(IFERROR(VLOOKUP($C43&amp;" "&amp;AR$1,Results!$F:$H,3,FALSE),-VLOOKUP($C43&amp;" "&amp;AR$1,Results!$G:$H,2,FALSE)),"")</f>
        <v/>
      </c>
      <c r="AS43" s="2" t="str">
        <f>IFERROR(IFERROR(VLOOKUP($C43&amp;" "&amp;AS$1,Results!$F:$H,3,FALSE),-VLOOKUP($C43&amp;" "&amp;AS$1,Results!$G:$H,2,FALSE)),"")</f>
        <v/>
      </c>
      <c r="AT43" s="2" t="str">
        <f>IFERROR(IFERROR(VLOOKUP($C43&amp;" "&amp;AT$1,Results!$F:$H,3,FALSE),-VLOOKUP($C43&amp;" "&amp;AT$1,Results!$G:$H,2,FALSE)),"")</f>
        <v/>
      </c>
      <c r="AU43" s="2" t="str">
        <f>IFERROR(IFERROR(VLOOKUP($C43&amp;" "&amp;AU$1,Results!$F:$H,3,FALSE),-VLOOKUP($C43&amp;" "&amp;AU$1,Results!$G:$H,2,FALSE)),"")</f>
        <v/>
      </c>
      <c r="AV43" s="2" t="str">
        <f>IFERROR(IFERROR(VLOOKUP($C43&amp;" "&amp;AV$1,Results!$F:$H,3,FALSE),-VLOOKUP($C43&amp;" "&amp;AV$1,Results!$G:$H,2,FALSE)),"")</f>
        <v/>
      </c>
      <c r="AW43" s="2" t="str">
        <f>IFERROR(IFERROR(VLOOKUP($C43&amp;" "&amp;AW$1,Results!$F:$H,3,FALSE),-VLOOKUP($C43&amp;" "&amp;AW$1,Results!$G:$H,2,FALSE)),"")</f>
        <v/>
      </c>
      <c r="AX43" s="2" t="str">
        <f>IFERROR(IFERROR(VLOOKUP($C43&amp;" "&amp;AX$1,Results!$F:$H,3,FALSE),-VLOOKUP($C43&amp;" "&amp;AX$1,Results!$G:$H,2,FALSE)),"")</f>
        <v/>
      </c>
      <c r="AY43" s="2" t="str">
        <f>IFERROR(IFERROR(VLOOKUP($C43&amp;" "&amp;AY$1,Results!$F:$H,3,FALSE),-VLOOKUP($C43&amp;" "&amp;AY$1,Results!$G:$H,2,FALSE)),"")</f>
        <v/>
      </c>
      <c r="AZ43" s="2" t="str">
        <f>IFERROR(IFERROR(VLOOKUP($C43&amp;" "&amp;AZ$1,Results!$F:$H,3,FALSE),-VLOOKUP($C43&amp;" "&amp;AZ$1,Results!$G:$H,2,FALSE)),"")</f>
        <v/>
      </c>
      <c r="BA43" s="2" t="str">
        <f>IFERROR(IFERROR(VLOOKUP($C43&amp;" "&amp;BA$1,Results!$F:$H,3,FALSE),-VLOOKUP($C43&amp;" "&amp;BA$1,Results!$G:$H,2,FALSE)),"")</f>
        <v/>
      </c>
      <c r="BB43" s="2" t="str">
        <f>IFERROR(IFERROR(VLOOKUP($C43&amp;" "&amp;BB$1,Results!$F:$H,3,FALSE),-VLOOKUP($C43&amp;" "&amp;BB$1,Results!$G:$H,2,FALSE)),"")</f>
        <v/>
      </c>
      <c r="BC43" s="2" t="str">
        <f>IFERROR(IFERROR(VLOOKUP($C43&amp;" "&amp;BC$1,Results!$F:$H,3,FALSE),-VLOOKUP($C43&amp;" "&amp;BC$1,Results!$G:$H,2,FALSE)),"")</f>
        <v/>
      </c>
      <c r="BD43" s="2" t="str">
        <f>IFERROR(IFERROR(VLOOKUP($C43&amp;" "&amp;BD$1,Results!$F:$H,3,FALSE),-VLOOKUP($C43&amp;" "&amp;BD$1,Results!$G:$H,2,FALSE)),"")</f>
        <v/>
      </c>
      <c r="BE43" s="2" t="str">
        <f>IFERROR(IFERROR(VLOOKUP($C43&amp;" "&amp;BE$1,Results!$F:$H,3,FALSE),-VLOOKUP($C43&amp;" "&amp;BE$1,Results!$G:$H,2,FALSE)),"")</f>
        <v/>
      </c>
      <c r="BF43" s="2" t="str">
        <f>IFERROR(IFERROR(VLOOKUP($C43&amp;" "&amp;BF$1,Results!$F:$H,3,FALSE),-VLOOKUP($C43&amp;" "&amp;BF$1,Results!$G:$H,2,FALSE)),"")</f>
        <v/>
      </c>
      <c r="BG43" s="2" t="str">
        <f>IFERROR(IFERROR(VLOOKUP($C43&amp;" "&amp;BG$1,Results!$F:$H,3,FALSE),-VLOOKUP($C43&amp;" "&amp;BG$1,Results!$G:$H,2,FALSE)),"")</f>
        <v/>
      </c>
      <c r="BH43" s="78">
        <f>IFERROR(IFERROR(VLOOKUP($C43&amp;" "&amp;BH$1,Results!$F:$H,3,FALSE),-VLOOKUP($C43&amp;" "&amp;BH$1,Results!$G:$H,2,FALSE)),"")</f>
        <v>-128</v>
      </c>
      <c r="BI43" s="57">
        <f>IFERROR(IFERROR(VLOOKUP($C43&amp;" "&amp;BI$1,Results!$F:$H,3,FALSE),-VLOOKUP($C43&amp;" "&amp;BI$1,Results!$G:$H,2,FALSE)),"")</f>
        <v>-140</v>
      </c>
      <c r="BJ43" s="57">
        <f>IFERROR(IFERROR(VLOOKUP($C43&amp;" "&amp;BJ$1,Results!$F:$H,3,FALSE),-VLOOKUP($C43&amp;" "&amp;BJ$1,Results!$G:$H,2,FALSE)),"")</f>
        <v>49</v>
      </c>
      <c r="BK43" s="58" t="str">
        <f>IFERROR(IFERROR(VLOOKUP($C43&amp;" "&amp;BK$1,Results!$F:$H,3,FALSE),-VLOOKUP($C43&amp;" "&amp;BK$1,Results!$G:$H,2,FALSE)),"")</f>
        <v/>
      </c>
      <c r="BL43" s="2">
        <f>IFERROR(IFERROR(VLOOKUP($C43&amp;" "&amp;BL$1,Results!$F:$H,3,FALSE),-VLOOKUP($C43&amp;" "&amp;BL$1,Results!$G:$H,2,FALSE)),"")</f>
        <v>53</v>
      </c>
      <c r="BM43" s="2">
        <f>IFERROR(IFERROR(VLOOKUP($C43&amp;" "&amp;BM$1,Results!$F:$H,3,FALSE),-VLOOKUP($C43&amp;" "&amp;BM$1,Results!$G:$H,2,FALSE)),"")</f>
        <v>165</v>
      </c>
      <c r="BN43" s="2">
        <f>IFERROR(IFERROR(VLOOKUP($C43&amp;" "&amp;BN$1,Results!$F:$H,3,FALSE),-VLOOKUP($C43&amp;" "&amp;BN$1,Results!$G:$H,2,FALSE)),"")</f>
        <v>195</v>
      </c>
      <c r="BO43" s="2" t="str">
        <f>IFERROR(IFERROR(VLOOKUP($C43&amp;" "&amp;BO$1,Results!$F:$H,3,FALSE),-VLOOKUP($C43&amp;" "&amp;BO$1,Results!$G:$H,2,FALSE)),"")</f>
        <v/>
      </c>
      <c r="BP43" s="2" t="str">
        <f>IFERROR(IFERROR(VLOOKUP($C43&amp;" "&amp;BP$1,Results!$F:$H,3,FALSE),-VLOOKUP($C43&amp;" "&amp;BP$1,Results!$G:$H,2,FALSE)),"")</f>
        <v/>
      </c>
      <c r="BQ43" s="2" t="str">
        <f>IFERROR(IFERROR(VLOOKUP($C43&amp;" "&amp;BQ$1,Results!$F:$H,3,FALSE),-VLOOKUP($C43&amp;" "&amp;BQ$1,Results!$G:$H,2,FALSE)),"")</f>
        <v/>
      </c>
      <c r="BR43" s="2" t="str">
        <f>IFERROR(IFERROR(VLOOKUP($C43&amp;" "&amp;BR$1,Results!$F:$H,3,FALSE),-VLOOKUP($C43&amp;" "&amp;BR$1,Results!$G:$H,2,FALSE)),"")</f>
        <v/>
      </c>
      <c r="BS43" s="2" t="str">
        <f>IFERROR(IFERROR(VLOOKUP($C43&amp;" "&amp;BS$1,Results!$F:$H,3,FALSE),-VLOOKUP($C43&amp;" "&amp;BS$1,Results!$G:$H,2,FALSE)),"")</f>
        <v/>
      </c>
      <c r="BT43" s="2" t="str">
        <f>IFERROR(IFERROR(VLOOKUP($C43&amp;" "&amp;BT$1,Results!$F:$H,3,FALSE),-VLOOKUP($C43&amp;" "&amp;BT$1,Results!$G:$H,2,FALSE)),"")</f>
        <v/>
      </c>
      <c r="BU43" s="2" t="str">
        <f>IFERROR(IFERROR(VLOOKUP($C43&amp;" "&amp;BU$1,Results!$F:$H,3,FALSE),-VLOOKUP($C43&amp;" "&amp;BU$1,Results!$G:$H,2,FALSE)),"")</f>
        <v/>
      </c>
      <c r="BV43" s="2" t="str">
        <f>IFERROR(IFERROR(VLOOKUP($C43&amp;" "&amp;BV$1,Results!$F:$H,3,FALSE),-VLOOKUP($C43&amp;" "&amp;BV$1,Results!$G:$H,2,FALSE)),"")</f>
        <v/>
      </c>
      <c r="BW43" s="82">
        <f t="shared" si="18"/>
        <v>194</v>
      </c>
      <c r="BX43" s="5">
        <f t="shared" si="28"/>
        <v>5</v>
      </c>
      <c r="BY43" s="5">
        <f t="shared" si="19"/>
        <v>0</v>
      </c>
      <c r="BZ43" s="5">
        <f t="shared" si="12"/>
        <v>5</v>
      </c>
      <c r="CA43" s="65">
        <f t="shared" si="20"/>
        <v>1</v>
      </c>
      <c r="CC43" s="8">
        <f t="shared" si="21"/>
        <v>194</v>
      </c>
      <c r="CE43" s="5">
        <v>48</v>
      </c>
      <c r="CF43" s="5">
        <f t="shared" si="22"/>
        <v>39</v>
      </c>
      <c r="CG43" s="5">
        <f t="shared" si="23"/>
        <v>9</v>
      </c>
    </row>
    <row r="44" spans="1:85" ht="12.75" customHeight="1">
      <c r="A44" s="5">
        <v>40</v>
      </c>
      <c r="B44" s="5">
        <v>41</v>
      </c>
      <c r="C44" s="160" t="s">
        <v>28</v>
      </c>
      <c r="D44" s="5"/>
      <c r="E44" s="5">
        <f>IF(AND(BH44&gt;0,$A44&lt;VLOOKUP(BH$1,$C:$L,10,FALSE)),1,IF(AND(BH44&lt;0,$A44&gt;VLOOKUP(BH$1,$C:$L,10,FALSE)),1,0))</f>
        <v>0</v>
      </c>
      <c r="F44" s="5">
        <f>IF(AND(BI44&gt;0,$A44&lt;VLOOKUP(BI$1,$C:$L,10,FALSE)),1,IF(AND(BI44&lt;0,$A44&gt;VLOOKUP(BI$1,$C:$L,10,FALSE)),1,0))</f>
        <v>1</v>
      </c>
      <c r="G44" s="5">
        <f>IF(AND(BJ44&gt;0,$A44&lt;VLOOKUP(BJ$1,$C:$L,10,FALSE)),1,IF(AND(BJ44&lt;0,$A44&gt;VLOOKUP(BJ$1,$C:$L,10,FALSE)),1,0))</f>
        <v>0</v>
      </c>
      <c r="H44" s="5">
        <f>IF(AND(BM44&gt;0,$A44&lt;VLOOKUP(BM$1,$C:$L,10,FALSE)),1,IF(AND(BM44&lt;0,$A44&gt;VLOOKUP(BM$1,$C:$L,10,FALSE)),1,0))</f>
        <v>1</v>
      </c>
      <c r="I44" s="5">
        <f>IF(AND(BQ44&gt;0,$A44&lt;VLOOKUP(BQ$1,$C:$L,10,FALSE)),1,IF(AND(BQ44&lt;0,$A44&gt;VLOOKUP(BQ$1,$C:$L,10,FALSE)),1,0))</f>
        <v>1</v>
      </c>
      <c r="J44" s="5">
        <f>IF(AND(BR44&gt;0,$A44&lt;VLOOKUP(BR$1,$C:$L,10,FALSE)),1,IF(AND(BR44&lt;0,$A44&gt;VLOOKUP(BR$1,$C:$L,10,FALSE)),1,0))</f>
        <v>1</v>
      </c>
      <c r="K44" s="79" t="s">
        <v>134</v>
      </c>
      <c r="L44" s="125">
        <f t="shared" si="16"/>
        <v>41</v>
      </c>
      <c r="M44" s="2">
        <v>11</v>
      </c>
      <c r="N44" s="11">
        <f>COUNTIF($U44:$BT44,"&gt;0")</f>
        <v>4</v>
      </c>
      <c r="O44" s="2">
        <f>COUNTIF($U44:$BT44,"&lt;0")</f>
        <v>2</v>
      </c>
      <c r="P44" s="2">
        <f>COUNTIF($U44:$BT44,"=0")</f>
        <v>0</v>
      </c>
      <c r="Q44" s="12">
        <f>COUNTIF($BL44:$BO44,"&gt;0")</f>
        <v>3</v>
      </c>
      <c r="R44" s="13">
        <f>COUNTIF($BL44:$BO44,"&lt;0")</f>
        <v>0</v>
      </c>
      <c r="S44" s="14">
        <f t="shared" si="27"/>
        <v>0</v>
      </c>
      <c r="T44" s="2">
        <f t="shared" si="17"/>
        <v>0</v>
      </c>
      <c r="U44" s="2"/>
      <c r="V44" s="2"/>
      <c r="W44" s="2"/>
      <c r="AR44" s="2" t="str">
        <f>IFERROR(IFERROR(VLOOKUP($C44&amp;" "&amp;AR$1,Results!$F:$H,3,FALSE),-VLOOKUP($C44&amp;" "&amp;AR$1,Results!$G:$H,2,FALSE)),"")</f>
        <v/>
      </c>
      <c r="AS44" s="2" t="str">
        <f>IFERROR(IFERROR(VLOOKUP($C44&amp;" "&amp;AS$1,Results!$F:$H,3,FALSE),-VLOOKUP($C44&amp;" "&amp;AS$1,Results!$G:$H,2,FALSE)),"")</f>
        <v/>
      </c>
      <c r="AT44" s="2" t="str">
        <f>IFERROR(IFERROR(VLOOKUP($C44&amp;" "&amp;AT$1,Results!$F:$H,3,FALSE),-VLOOKUP($C44&amp;" "&amp;AT$1,Results!$G:$H,2,FALSE)),"")</f>
        <v/>
      </c>
      <c r="AU44" s="2" t="str">
        <f>IFERROR(IFERROR(VLOOKUP($C44&amp;" "&amp;AU$1,Results!$F:$H,3,FALSE),-VLOOKUP($C44&amp;" "&amp;AU$1,Results!$G:$H,2,FALSE)),"")</f>
        <v/>
      </c>
      <c r="AV44" s="2" t="str">
        <f>IFERROR(IFERROR(VLOOKUP($C44&amp;" "&amp;AV$1,Results!$F:$H,3,FALSE),-VLOOKUP($C44&amp;" "&amp;AV$1,Results!$G:$H,2,FALSE)),"")</f>
        <v/>
      </c>
      <c r="AW44" s="2" t="str">
        <f>IFERROR(IFERROR(VLOOKUP($C44&amp;" "&amp;AW$1,Results!$F:$H,3,FALSE),-VLOOKUP($C44&amp;" "&amp;AW$1,Results!$G:$H,2,FALSE)),"")</f>
        <v/>
      </c>
      <c r="AX44" s="2" t="str">
        <f>IFERROR(IFERROR(VLOOKUP($C44&amp;" "&amp;AX$1,Results!$F:$H,3,FALSE),-VLOOKUP($C44&amp;" "&amp;AX$1,Results!$G:$H,2,FALSE)),"")</f>
        <v/>
      </c>
      <c r="AY44" s="2" t="str">
        <f>IFERROR(IFERROR(VLOOKUP($C44&amp;" "&amp;AY$1,Results!$F:$H,3,FALSE),-VLOOKUP($C44&amp;" "&amp;AY$1,Results!$G:$H,2,FALSE)),"")</f>
        <v/>
      </c>
      <c r="AZ44" s="2" t="str">
        <f>IFERROR(IFERROR(VLOOKUP($C44&amp;" "&amp;AZ$1,Results!$F:$H,3,FALSE),-VLOOKUP($C44&amp;" "&amp;AZ$1,Results!$G:$H,2,FALSE)),"")</f>
        <v/>
      </c>
      <c r="BA44" s="2" t="str">
        <f>IFERROR(IFERROR(VLOOKUP($C44&amp;" "&amp;BA$1,Results!$F:$H,3,FALSE),-VLOOKUP($C44&amp;" "&amp;BA$1,Results!$G:$H,2,FALSE)),"")</f>
        <v/>
      </c>
      <c r="BB44" s="2" t="str">
        <f>IFERROR(IFERROR(VLOOKUP($C44&amp;" "&amp;BB$1,Results!$F:$H,3,FALSE),-VLOOKUP($C44&amp;" "&amp;BB$1,Results!$G:$H,2,FALSE)),"")</f>
        <v/>
      </c>
      <c r="BC44" s="2" t="str">
        <f>IFERROR(IFERROR(VLOOKUP($C44&amp;" "&amp;BC$1,Results!$F:$H,3,FALSE),-VLOOKUP($C44&amp;" "&amp;BC$1,Results!$G:$H,2,FALSE)),"")</f>
        <v/>
      </c>
      <c r="BD44" s="2" t="str">
        <f>IFERROR(IFERROR(VLOOKUP($C44&amp;" "&amp;BD$1,Results!$F:$H,3,FALSE),-VLOOKUP($C44&amp;" "&amp;BD$1,Results!$G:$H,2,FALSE)),"")</f>
        <v/>
      </c>
      <c r="BE44" s="2" t="str">
        <f>IFERROR(IFERROR(VLOOKUP($C44&amp;" "&amp;BE$1,Results!$F:$H,3,FALSE),-VLOOKUP($C44&amp;" "&amp;BE$1,Results!$G:$H,2,FALSE)),"")</f>
        <v/>
      </c>
      <c r="BF44" s="2" t="str">
        <f>IFERROR(IFERROR(VLOOKUP($C44&amp;" "&amp;BF$1,Results!$F:$H,3,FALSE),-VLOOKUP($C44&amp;" "&amp;BF$1,Results!$G:$H,2,FALSE)),"")</f>
        <v/>
      </c>
      <c r="BG44" s="2" t="str">
        <f>IFERROR(IFERROR(VLOOKUP($C44&amp;" "&amp;BG$1,Results!$F:$H,3,FALSE),-VLOOKUP($C44&amp;" "&amp;BG$1,Results!$G:$H,2,FALSE)),"")</f>
        <v/>
      </c>
      <c r="BH44" s="2" t="str">
        <f>IFERROR(IFERROR(VLOOKUP($C44&amp;" "&amp;BH$1,Results!$F:$H,3,FALSE),-VLOOKUP($C44&amp;" "&amp;BH$1,Results!$G:$H,2,FALSE)),"")</f>
        <v/>
      </c>
      <c r="BI44" s="2">
        <f>IFERROR(IFERROR(VLOOKUP($C44&amp;" "&amp;BI$1,Results!$F:$H,3,FALSE),-VLOOKUP($C44&amp;" "&amp;BI$1,Results!$G:$H,2,FALSE)),"")</f>
        <v>-83</v>
      </c>
      <c r="BJ44" s="2">
        <f>IFERROR(IFERROR(VLOOKUP($C44&amp;" "&amp;BJ$1,Results!$F:$H,3,FALSE),-VLOOKUP($C44&amp;" "&amp;BJ$1,Results!$G:$H,2,FALSE)),"")</f>
        <v>21</v>
      </c>
      <c r="BK44" s="2">
        <f>IFERROR(IFERROR(VLOOKUP($C44&amp;" "&amp;BK$1,Results!$F:$H,3,FALSE),-VLOOKUP($C44&amp;" "&amp;BK$1,Results!$G:$H,2,FALSE)),"")</f>
        <v>-53</v>
      </c>
      <c r="BL44" s="35" t="str">
        <f>IFERROR(IFERROR(VLOOKUP($C44&amp;" "&amp;BL$1,Results!$F:$H,3,FALSE),-VLOOKUP($C44&amp;" "&amp;BL$1,Results!$G:$H,2,FALSE)),"")</f>
        <v/>
      </c>
      <c r="BM44" s="49">
        <f>IFERROR(IFERROR(VLOOKUP($C44&amp;" "&amp;BM$1,Results!$F:$H,3,FALSE),-VLOOKUP($C44&amp;" "&amp;BM$1,Results!$G:$H,2,FALSE)),"")</f>
        <v>191</v>
      </c>
      <c r="BN44" s="49">
        <f>IFERROR(IFERROR(VLOOKUP($C44&amp;" "&amp;BN$1,Results!$F:$H,3,FALSE),-VLOOKUP($C44&amp;" "&amp;BN$1,Results!$G:$H,2,FALSE)),"")</f>
        <v>64</v>
      </c>
      <c r="BO44" s="55">
        <f>IFERROR(IFERROR(VLOOKUP($C44&amp;" "&amp;BO$1,Results!$F:$H,3,FALSE),-VLOOKUP($C44&amp;" "&amp;BO$1,Results!$G:$H,2,FALSE)),"")</f>
        <v>109</v>
      </c>
      <c r="BP44" s="2" t="str">
        <f>IFERROR(IFERROR(VLOOKUP($C44&amp;" "&amp;BP$1,Results!$F:$H,3,FALSE),-VLOOKUP($C44&amp;" "&amp;BP$1,Results!$G:$H,2,FALSE)),"")</f>
        <v/>
      </c>
      <c r="BQ44" s="2" t="str">
        <f>IFERROR(IFERROR(VLOOKUP($C44&amp;" "&amp;BQ$1,Results!$F:$H,3,FALSE),-VLOOKUP($C44&amp;" "&amp;BQ$1,Results!$G:$H,2,FALSE)),"")</f>
        <v/>
      </c>
      <c r="BR44" s="2" t="str">
        <f>IFERROR(IFERROR(VLOOKUP($C44&amp;" "&amp;BR$1,Results!$F:$H,3,FALSE),-VLOOKUP($C44&amp;" "&amp;BR$1,Results!$G:$H,2,FALSE)),"")</f>
        <v/>
      </c>
      <c r="BS44" s="2" t="str">
        <f>IFERROR(IFERROR(VLOOKUP($C44&amp;" "&amp;BS$1,Results!$F:$H,3,FALSE),-VLOOKUP($C44&amp;" "&amp;BS$1,Results!$G:$H,2,FALSE)),"")</f>
        <v/>
      </c>
      <c r="BT44" s="2" t="str">
        <f>IFERROR(IFERROR(VLOOKUP($C44&amp;" "&amp;BT$1,Results!$F:$H,3,FALSE),-VLOOKUP($C44&amp;" "&amp;BT$1,Results!$G:$H,2,FALSE)),"")</f>
        <v/>
      </c>
      <c r="BU44" s="2"/>
      <c r="BV44" s="2"/>
      <c r="BW44" s="82">
        <f t="shared" si="18"/>
        <v>249</v>
      </c>
      <c r="BX44" s="5">
        <f t="shared" si="28"/>
        <v>4</v>
      </c>
      <c r="BY44" s="5">
        <f t="shared" si="19"/>
        <v>2</v>
      </c>
      <c r="BZ44" s="5">
        <f t="shared" si="12"/>
        <v>6</v>
      </c>
      <c r="CA44" s="65">
        <f t="shared" si="20"/>
        <v>0.66666666666666663</v>
      </c>
      <c r="CC44" s="8">
        <f t="shared" si="21"/>
        <v>249</v>
      </c>
      <c r="CE44" s="5">
        <v>41</v>
      </c>
      <c r="CF44" s="5">
        <f t="shared" si="22"/>
        <v>40</v>
      </c>
      <c r="CG44" s="5">
        <f t="shared" si="23"/>
        <v>1</v>
      </c>
    </row>
    <row r="45" spans="1:85" ht="12.75" customHeight="1">
      <c r="A45" s="5">
        <v>48</v>
      </c>
      <c r="B45" s="5">
        <v>42</v>
      </c>
      <c r="C45" s="158" t="s">
        <v>113</v>
      </c>
      <c r="D45" s="5"/>
      <c r="E45" s="5">
        <f>IF(AND(BF45&gt;0,$A45&lt;VLOOKUP(BF$1,$C:$L,10,FALSE)),1,IF(AND(BF45&lt;0,$A45&gt;VLOOKUP(BF$1,$C:$L,10,FALSE)),1,0))</f>
        <v>0</v>
      </c>
      <c r="F45" s="5">
        <f>IF(AND(BG45&gt;0,$A45&lt;VLOOKUP(BG$1,$C:$L,10,FALSE)),1,IF(AND(BG45&lt;0,$A45&gt;VLOOKUP(BG$1,$C:$L,10,FALSE)),1,0))</f>
        <v>0</v>
      </c>
      <c r="G45" s="5">
        <f>IF(AND(BH45&gt;0,$A45&lt;VLOOKUP(BH$1,$C:$L,10,FALSE)),1,IF(AND(BH45&lt;0,$A45&gt;VLOOKUP(BH$1,$C:$L,10,FALSE)),1,0))</f>
        <v>0</v>
      </c>
      <c r="H45" s="5">
        <f>IF(AND(BJ45&gt;0,$A45&lt;VLOOKUP(BJ$1,$C:$L,10,FALSE)),1,IF(AND(BJ45&lt;0,$A45&gt;VLOOKUP(BJ$1,$C:$L,10,FALSE)),1,0))</f>
        <v>1</v>
      </c>
      <c r="I45" s="5">
        <f>IF(AND(BK45&gt;0,$A45&lt;VLOOKUP(BK$1,$C:$L,10,FALSE)),1,IF(AND(BK45&lt;0,$A45&gt;VLOOKUP(BK$1,$C:$L,10,FALSE)),1,0))</f>
        <v>1</v>
      </c>
      <c r="J45" s="5">
        <f>IF(AND(BL45&gt;0,$A45&lt;VLOOKUP(BL$1,$C:$L,10,FALSE)),1,IF(AND(BL45&lt;0,$A45&gt;VLOOKUP(BL$1,$C:$L,10,FALSE)),1,0))</f>
        <v>1</v>
      </c>
      <c r="K45" s="79" t="s">
        <v>134</v>
      </c>
      <c r="L45" s="125">
        <f t="shared" si="16"/>
        <v>42</v>
      </c>
      <c r="M45" s="2">
        <v>11</v>
      </c>
      <c r="N45" s="11">
        <f>COUNTIF($U45:$BT45,"&gt;0")</f>
        <v>0</v>
      </c>
      <c r="O45" s="2">
        <f>COUNTIF($U45:$BT45,"&lt;0")</f>
        <v>6</v>
      </c>
      <c r="P45" s="2">
        <f>COUNTIF($U45:$BT45,"=0")</f>
        <v>0</v>
      </c>
      <c r="Q45" s="12">
        <f>COUNTIF($BL45:$BO45,"&gt;0")</f>
        <v>0</v>
      </c>
      <c r="R45" s="13">
        <f>COUNTIF($BL45:$BO45,"&lt;0")</f>
        <v>3</v>
      </c>
      <c r="S45" s="14">
        <f t="shared" si="27"/>
        <v>0</v>
      </c>
      <c r="T45" s="2">
        <f t="shared" si="17"/>
        <v>0</v>
      </c>
      <c r="U45" s="2"/>
      <c r="V45" s="2"/>
      <c r="W45" s="2"/>
      <c r="AR45" s="2" t="str">
        <f>IFERROR(IFERROR(VLOOKUP($C45&amp;" "&amp;AR$1,Results!$F:$H,3,FALSE),-VLOOKUP($C45&amp;" "&amp;AR$1,Results!$G:$H,2,FALSE)),"")</f>
        <v/>
      </c>
      <c r="AS45" s="2" t="str">
        <f>IFERROR(IFERROR(VLOOKUP($C45&amp;" "&amp;AS$1,Results!$F:$H,3,FALSE),-VLOOKUP($C45&amp;" "&amp;AS$1,Results!$G:$H,2,FALSE)),"")</f>
        <v/>
      </c>
      <c r="AT45" s="2" t="str">
        <f>IFERROR(IFERROR(VLOOKUP($C45&amp;" "&amp;AT$1,Results!$F:$H,3,FALSE),-VLOOKUP($C45&amp;" "&amp;AT$1,Results!$G:$H,2,FALSE)),"")</f>
        <v/>
      </c>
      <c r="AU45" s="2" t="str">
        <f>IFERROR(IFERROR(VLOOKUP($C45&amp;" "&amp;AU$1,Results!$F:$H,3,FALSE),-VLOOKUP($C45&amp;" "&amp;AU$1,Results!$G:$H,2,FALSE)),"")</f>
        <v/>
      </c>
      <c r="AV45" s="2" t="str">
        <f>IFERROR(IFERROR(VLOOKUP($C45&amp;" "&amp;AV$1,Results!$F:$H,3,FALSE),-VLOOKUP($C45&amp;" "&amp;AV$1,Results!$G:$H,2,FALSE)),"")</f>
        <v/>
      </c>
      <c r="AW45" s="2" t="str">
        <f>IFERROR(IFERROR(VLOOKUP($C45&amp;" "&amp;AW$1,Results!$F:$H,3,FALSE),-VLOOKUP($C45&amp;" "&amp;AW$1,Results!$G:$H,2,FALSE)),"")</f>
        <v/>
      </c>
      <c r="AX45" s="2" t="str">
        <f>IFERROR(IFERROR(VLOOKUP($C45&amp;" "&amp;AX$1,Results!$F:$H,3,FALSE),-VLOOKUP($C45&amp;" "&amp;AX$1,Results!$G:$H,2,FALSE)),"")</f>
        <v/>
      </c>
      <c r="AY45" s="2" t="str">
        <f>IFERROR(IFERROR(VLOOKUP($C45&amp;" "&amp;AY$1,Results!$F:$H,3,FALSE),-VLOOKUP($C45&amp;" "&amp;AY$1,Results!$G:$H,2,FALSE)),"")</f>
        <v/>
      </c>
      <c r="AZ45" s="2" t="str">
        <f>IFERROR(IFERROR(VLOOKUP($C45&amp;" "&amp;AZ$1,Results!$F:$H,3,FALSE),-VLOOKUP($C45&amp;" "&amp;AZ$1,Results!$G:$H,2,FALSE)),"")</f>
        <v/>
      </c>
      <c r="BA45" s="2" t="str">
        <f>IFERROR(IFERROR(VLOOKUP($C45&amp;" "&amp;BA$1,Results!$F:$H,3,FALSE),-VLOOKUP($C45&amp;" "&amp;BA$1,Results!$G:$H,2,FALSE)),"")</f>
        <v/>
      </c>
      <c r="BB45" s="2" t="str">
        <f>IFERROR(IFERROR(VLOOKUP($C45&amp;" "&amp;BB$1,Results!$F:$H,3,FALSE),-VLOOKUP($C45&amp;" "&amp;BB$1,Results!$G:$H,2,FALSE)),"")</f>
        <v/>
      </c>
      <c r="BC45" s="2" t="str">
        <f>IFERROR(IFERROR(VLOOKUP($C45&amp;" "&amp;BC$1,Results!$F:$H,3,FALSE),-VLOOKUP($C45&amp;" "&amp;BC$1,Results!$G:$H,2,FALSE)),"")</f>
        <v/>
      </c>
      <c r="BD45" s="2" t="str">
        <f>IFERROR(IFERROR(VLOOKUP($C45&amp;" "&amp;BD$1,Results!$F:$H,3,FALSE),-VLOOKUP($C45&amp;" "&amp;BD$1,Results!$G:$H,2,FALSE)),"")</f>
        <v/>
      </c>
      <c r="BE45" s="2" t="str">
        <f>IFERROR(IFERROR(VLOOKUP($C45&amp;" "&amp;BE$1,Results!$F:$H,3,FALSE),-VLOOKUP($C45&amp;" "&amp;BE$1,Results!$G:$H,2,FALSE)),"")</f>
        <v/>
      </c>
      <c r="BF45" s="2" t="str">
        <f>IFERROR(IFERROR(VLOOKUP($C45&amp;" "&amp;BF$1,Results!$F:$H,3,FALSE),-VLOOKUP($C45&amp;" "&amp;BF$1,Results!$G:$H,2,FALSE)),"")</f>
        <v/>
      </c>
      <c r="BG45" s="2" t="str">
        <f>IFERROR(IFERROR(VLOOKUP($C45&amp;" "&amp;BG$1,Results!$F:$H,3,FALSE),-VLOOKUP($C45&amp;" "&amp;BG$1,Results!$G:$H,2,FALSE)),"")</f>
        <v/>
      </c>
      <c r="BH45" s="2" t="str">
        <f>IFERROR(IFERROR(VLOOKUP($C45&amp;" "&amp;BH$1,Results!$F:$H,3,FALSE),-VLOOKUP($C45&amp;" "&amp;BH$1,Results!$G:$H,2,FALSE)),"")</f>
        <v/>
      </c>
      <c r="BI45" s="2" t="str">
        <f>IFERROR(IFERROR(VLOOKUP($C45&amp;" "&amp;BI$1,Results!$F:$H,3,FALSE),-VLOOKUP($C45&amp;" "&amp;BI$1,Results!$G:$H,2,FALSE)),"")</f>
        <v/>
      </c>
      <c r="BJ45" s="2">
        <f>IFERROR(IFERROR(VLOOKUP($C45&amp;" "&amp;BJ$1,Results!$F:$H,3,FALSE),-VLOOKUP($C45&amp;" "&amp;BJ$1,Results!$G:$H,2,FALSE)),"")</f>
        <v>-24</v>
      </c>
      <c r="BK45" s="2">
        <f>IFERROR(IFERROR(VLOOKUP($C45&amp;" "&amp;BK$1,Results!$F:$H,3,FALSE),-VLOOKUP($C45&amp;" "&amp;BK$1,Results!$G:$H,2,FALSE)),"")</f>
        <v>-165</v>
      </c>
      <c r="BL45" s="51">
        <f>IFERROR(IFERROR(VLOOKUP($C45&amp;" "&amp;BL$1,Results!$F:$H,3,FALSE),-VLOOKUP($C45&amp;" "&amp;BL$1,Results!$G:$H,2,FALSE)),"")</f>
        <v>-191</v>
      </c>
      <c r="BM45" s="2" t="str">
        <f>IFERROR(IFERROR(VLOOKUP($C45&amp;" "&amp;BM$1,Results!$F:$H,3,FALSE),-VLOOKUP($C45&amp;" "&amp;BM$1,Results!$G:$H,2,FALSE)),"")</f>
        <v/>
      </c>
      <c r="BN45" s="2">
        <f>IFERROR(IFERROR(VLOOKUP($C45&amp;" "&amp;BN$1,Results!$F:$H,3,FALSE),-VLOOKUP($C45&amp;" "&amp;BN$1,Results!$G:$H,2,FALSE)),"")</f>
        <v>-31</v>
      </c>
      <c r="BO45" s="56">
        <f>IFERROR(IFERROR(VLOOKUP($C45&amp;" "&amp;BO$1,Results!$F:$H,3,FALSE),-VLOOKUP($C45&amp;" "&amp;BO$1,Results!$G:$H,2,FALSE)),"")</f>
        <v>-20</v>
      </c>
      <c r="BP45" s="2" t="str">
        <f>IFERROR(IFERROR(VLOOKUP($C45&amp;" "&amp;BP$1,Results!$F:$H,3,FALSE),-VLOOKUP($C45&amp;" "&amp;BP$1,Results!$G:$H,2,FALSE)),"")</f>
        <v/>
      </c>
      <c r="BQ45" s="2" t="str">
        <f>IFERROR(IFERROR(VLOOKUP($C45&amp;" "&amp;BQ$1,Results!$F:$H,3,FALSE),-VLOOKUP($C45&amp;" "&amp;BQ$1,Results!$G:$H,2,FALSE)),"")</f>
        <v/>
      </c>
      <c r="BR45" s="2" t="str">
        <f>IFERROR(IFERROR(VLOOKUP($C45&amp;" "&amp;BR$1,Results!$F:$H,3,FALSE),-VLOOKUP($C45&amp;" "&amp;BR$1,Results!$G:$H,2,FALSE)),"")</f>
        <v/>
      </c>
      <c r="BS45" s="2" t="str">
        <f>IFERROR(IFERROR(VLOOKUP($C45&amp;" "&amp;BS$1,Results!$F:$H,3,FALSE),-VLOOKUP($C45&amp;" "&amp;BS$1,Results!$G:$H,2,FALSE)),"")</f>
        <v/>
      </c>
      <c r="BT45" s="2">
        <f>IFERROR(IFERROR(VLOOKUP($C45&amp;" "&amp;BT$1,Results!$F:$H,3,FALSE),-VLOOKUP($C45&amp;" "&amp;BT$1,Results!$G:$H,2,FALSE)),"")</f>
        <v>-51</v>
      </c>
      <c r="BU45" s="2"/>
      <c r="BV45" s="2"/>
      <c r="BW45" s="82">
        <f t="shared" si="18"/>
        <v>-431</v>
      </c>
      <c r="BX45" s="5">
        <f t="shared" si="28"/>
        <v>3</v>
      </c>
      <c r="BY45" s="5">
        <f t="shared" si="19"/>
        <v>3</v>
      </c>
      <c r="BZ45" s="5">
        <f t="shared" si="12"/>
        <v>6</v>
      </c>
      <c r="CA45" s="65">
        <f t="shared" si="20"/>
        <v>0.5</v>
      </c>
      <c r="CC45" s="8">
        <f t="shared" si="21"/>
        <v>-482</v>
      </c>
      <c r="CE45" s="5">
        <v>33</v>
      </c>
      <c r="CF45" s="5">
        <f t="shared" si="22"/>
        <v>48</v>
      </c>
      <c r="CG45" s="5">
        <f t="shared" si="23"/>
        <v>-15</v>
      </c>
    </row>
    <row r="46" spans="1:85" ht="12.75" customHeight="1">
      <c r="A46" s="38">
        <v>45</v>
      </c>
      <c r="B46" s="38">
        <v>43</v>
      </c>
      <c r="C46" s="10" t="s">
        <v>33</v>
      </c>
      <c r="D46" s="38"/>
      <c r="E46" s="5">
        <f>IF(AND(BK46&gt;0,$A46&lt;VLOOKUP(BK$1,$C:$L,10,FALSE)),1,IF(AND(BK46&lt;0,$A46&gt;VLOOKUP(BK$1,$C:$L,10,FALSE)),1,0))</f>
        <v>1</v>
      </c>
      <c r="F46" s="5">
        <f>IF(AND(BL46&gt;0,$A46&lt;VLOOKUP(BL$1,$C:$L,10,FALSE)),1,IF(AND(BL46&lt;0,$A46&gt;VLOOKUP(BL$1,$C:$L,10,FALSE)),1,0))</f>
        <v>1</v>
      </c>
      <c r="G46" s="5">
        <f>IF(AND(BP46&gt;0,$A46&lt;VLOOKUP(BP$1,$C:$L,10,FALSE)),1,IF(AND(BP46&lt;0,$A46&gt;VLOOKUP(BP$1,$C:$L,10,FALSE)),1,0))</f>
        <v>0</v>
      </c>
      <c r="H46" s="5" t="s">
        <v>157</v>
      </c>
      <c r="I46" s="5">
        <f>IF(AND(BS46&gt;0,$A46&lt;VLOOKUP(BS$1,$C:$L,10,FALSE)),1,IF(AND(BS46&lt;0,$A46&gt;VLOOKUP(BS$1,$C:$L,10,FALSE)),1,0))</f>
        <v>1</v>
      </c>
      <c r="J46" s="5">
        <f>IF(AND(BT46&gt;0,$A46&lt;VLOOKUP(BT$1,$C:$L,10,FALSE)),1,IF(AND(BT46&lt;0,$A46&gt;VLOOKUP(BT$1,$C:$L,10,FALSE)),1,0))</f>
        <v>1</v>
      </c>
      <c r="K46" s="79" t="s">
        <v>134</v>
      </c>
      <c r="L46" s="125">
        <f t="shared" si="16"/>
        <v>43</v>
      </c>
      <c r="M46" s="2">
        <v>11</v>
      </c>
      <c r="N46" s="11">
        <f>COUNTIF($U46:$BU46,"&gt;0")</f>
        <v>2</v>
      </c>
      <c r="O46" s="2">
        <f>COUNTIF($U46:$BU46,"&lt;0")</f>
        <v>4</v>
      </c>
      <c r="P46" s="2">
        <f>COUNTIF($U46:$BU46,"=0")</f>
        <v>0</v>
      </c>
      <c r="Q46" s="12">
        <f>COUNTIF($BL46:$BO46,"&gt;0")</f>
        <v>1</v>
      </c>
      <c r="R46" s="13">
        <f>COUNTIF($BL46:$BO46,"&lt;0")</f>
        <v>2</v>
      </c>
      <c r="S46" s="14">
        <f t="shared" si="27"/>
        <v>0</v>
      </c>
      <c r="T46" s="2">
        <f t="shared" si="17"/>
        <v>0</v>
      </c>
      <c r="AR46" s="2" t="str">
        <f>IFERROR(IFERROR(VLOOKUP($C46&amp;" "&amp;AR$1,Results!$F:$H,3,FALSE),-VLOOKUP($C46&amp;" "&amp;AR$1,Results!$G:$H,2,FALSE)),"")</f>
        <v/>
      </c>
      <c r="AS46" s="2" t="str">
        <f>IFERROR(IFERROR(VLOOKUP($C46&amp;" "&amp;AS$1,Results!$F:$H,3,FALSE),-VLOOKUP($C46&amp;" "&amp;AS$1,Results!$G:$H,2,FALSE)),"")</f>
        <v/>
      </c>
      <c r="AT46" s="2" t="str">
        <f>IFERROR(IFERROR(VLOOKUP($C46&amp;" "&amp;AT$1,Results!$F:$H,3,FALSE),-VLOOKUP($C46&amp;" "&amp;AT$1,Results!$G:$H,2,FALSE)),"")</f>
        <v/>
      </c>
      <c r="AU46" s="2" t="str">
        <f>IFERROR(IFERROR(VLOOKUP($C46&amp;" "&amp;AU$1,Results!$F:$H,3,FALSE),-VLOOKUP($C46&amp;" "&amp;AU$1,Results!$G:$H,2,FALSE)),"")</f>
        <v/>
      </c>
      <c r="AV46" s="2" t="str">
        <f>IFERROR(IFERROR(VLOOKUP($C46&amp;" "&amp;AV$1,Results!$F:$H,3,FALSE),-VLOOKUP($C46&amp;" "&amp;AV$1,Results!$G:$H,2,FALSE)),"")</f>
        <v/>
      </c>
      <c r="AW46" s="2" t="str">
        <f>IFERROR(IFERROR(VLOOKUP($C46&amp;" "&amp;AW$1,Results!$F:$H,3,FALSE),-VLOOKUP($C46&amp;" "&amp;AW$1,Results!$G:$H,2,FALSE)),"")</f>
        <v/>
      </c>
      <c r="AX46" s="2" t="str">
        <f>IFERROR(IFERROR(VLOOKUP($C46&amp;" "&amp;AX$1,Results!$F:$H,3,FALSE),-VLOOKUP($C46&amp;" "&amp;AX$1,Results!$G:$H,2,FALSE)),"")</f>
        <v/>
      </c>
      <c r="AY46" s="2" t="str">
        <f>IFERROR(IFERROR(VLOOKUP($C46&amp;" "&amp;AY$1,Results!$F:$H,3,FALSE),-VLOOKUP($C46&amp;" "&amp;AY$1,Results!$G:$H,2,FALSE)),"")</f>
        <v/>
      </c>
      <c r="AZ46" s="2" t="str">
        <f>IFERROR(IFERROR(VLOOKUP($C46&amp;" "&amp;AZ$1,Results!$F:$H,3,FALSE),-VLOOKUP($C46&amp;" "&amp;AZ$1,Results!$G:$H,2,FALSE)),"")</f>
        <v/>
      </c>
      <c r="BA46" s="2" t="str">
        <f>IFERROR(IFERROR(VLOOKUP($C46&amp;" "&amp;BA$1,Results!$F:$H,3,FALSE),-VLOOKUP($C46&amp;" "&amp;BA$1,Results!$G:$H,2,FALSE)),"")</f>
        <v/>
      </c>
      <c r="BB46" s="2" t="str">
        <f>IFERROR(IFERROR(VLOOKUP($C46&amp;" "&amp;BB$1,Results!$F:$H,3,FALSE),-VLOOKUP($C46&amp;" "&amp;BB$1,Results!$G:$H,2,FALSE)),"")</f>
        <v/>
      </c>
      <c r="BC46" s="2" t="str">
        <f>IFERROR(IFERROR(VLOOKUP($C46&amp;" "&amp;BC$1,Results!$F:$H,3,FALSE),-VLOOKUP($C46&amp;" "&amp;BC$1,Results!$G:$H,2,FALSE)),"")</f>
        <v/>
      </c>
      <c r="BD46" s="2" t="str">
        <f>IFERROR(IFERROR(VLOOKUP($C46&amp;" "&amp;BD$1,Results!$F:$H,3,FALSE),-VLOOKUP($C46&amp;" "&amp;BD$1,Results!$G:$H,2,FALSE)),"")</f>
        <v/>
      </c>
      <c r="BE46" s="2" t="str">
        <f>IFERROR(IFERROR(VLOOKUP($C46&amp;" "&amp;BE$1,Results!$F:$H,3,FALSE),-VLOOKUP($C46&amp;" "&amp;BE$1,Results!$G:$H,2,FALSE)),"")</f>
        <v/>
      </c>
      <c r="BF46" s="2" t="str">
        <f>IFERROR(IFERROR(VLOOKUP($C46&amp;" "&amp;BF$1,Results!$F:$H,3,FALSE),-VLOOKUP($C46&amp;" "&amp;BF$1,Results!$G:$H,2,FALSE)),"")</f>
        <v/>
      </c>
      <c r="BG46" s="2" t="str">
        <f>IFERROR(IFERROR(VLOOKUP($C46&amp;" "&amp;BG$1,Results!$F:$H,3,FALSE),-VLOOKUP($C46&amp;" "&amp;BG$1,Results!$G:$H,2,FALSE)),"")</f>
        <v/>
      </c>
      <c r="BH46" s="15" t="str">
        <f>IFERROR(IFERROR(VLOOKUP($C46&amp;" "&amp;BH$1,Results!$F:$H,3,FALSE),-VLOOKUP($C46&amp;" "&amp;BH$1,Results!$G:$H,2,FALSE)),"")</f>
        <v/>
      </c>
      <c r="BI46" s="2" t="str">
        <f>IFERROR(IFERROR(VLOOKUP($C46&amp;" "&amp;BI$1,Results!$F:$H,3,FALSE),-VLOOKUP($C46&amp;" "&amp;BI$1,Results!$G:$H,2,FALSE)),"")</f>
        <v/>
      </c>
      <c r="BJ46" s="2" t="str">
        <f>IFERROR(IFERROR(VLOOKUP($C46&amp;" "&amp;BJ$1,Results!$F:$H,3,FALSE),-VLOOKUP($C46&amp;" "&amp;BJ$1,Results!$G:$H,2,FALSE)),"")</f>
        <v/>
      </c>
      <c r="BK46" s="2">
        <f>IFERROR(IFERROR(VLOOKUP($C46&amp;" "&amp;BK$1,Results!$F:$H,3,FALSE),-VLOOKUP($C46&amp;" "&amp;BK$1,Results!$G:$H,2,FALSE)),"")</f>
        <v>-195</v>
      </c>
      <c r="BL46" s="51">
        <f>IFERROR(IFERROR(VLOOKUP($C46&amp;" "&amp;BL$1,Results!$F:$H,3,FALSE),-VLOOKUP($C46&amp;" "&amp;BL$1,Results!$G:$H,2,FALSE)),"")</f>
        <v>-64</v>
      </c>
      <c r="BM46" s="2">
        <f>IFERROR(IFERROR(VLOOKUP($C46&amp;" "&amp;BM$1,Results!$F:$H,3,FALSE),-VLOOKUP($C46&amp;" "&amp;BM$1,Results!$G:$H,2,FALSE)),"")</f>
        <v>31</v>
      </c>
      <c r="BN46" s="2" t="str">
        <f>IFERROR(IFERROR(VLOOKUP($C46&amp;" "&amp;BN$1,Results!$F:$H,3,FALSE),-VLOOKUP($C46&amp;" "&amp;BN$1,Results!$G:$H,2,FALSE)),"")</f>
        <v/>
      </c>
      <c r="BO46" s="56">
        <f>IFERROR(IFERROR(VLOOKUP($C46&amp;" "&amp;BO$1,Results!$F:$H,3,FALSE),-VLOOKUP($C46&amp;" "&amp;BO$1,Results!$G:$H,2,FALSE)),"")</f>
        <v>-4</v>
      </c>
      <c r="BP46" s="2">
        <f>IFERROR(IFERROR(VLOOKUP($C46&amp;" "&amp;BP$1,Results!$F:$H,3,FALSE),-VLOOKUP($C46&amp;" "&amp;BP$1,Results!$G:$H,2,FALSE)),"")</f>
        <v>-76</v>
      </c>
      <c r="BQ46" s="2" t="str">
        <f>IFERROR(IFERROR(VLOOKUP($C46&amp;" "&amp;BQ$1,Results!$F:$H,3,FALSE),-VLOOKUP($C46&amp;" "&amp;BQ$1,Results!$G:$H,2,FALSE)),"")</f>
        <v/>
      </c>
      <c r="BR46" s="2" t="str">
        <f>IFERROR(IFERROR(VLOOKUP($C46&amp;" "&amp;BR$1,Results!$F:$H,3,FALSE),-VLOOKUP($C46&amp;" "&amp;BR$1,Results!$G:$H,2,FALSE)),"")</f>
        <v/>
      </c>
      <c r="BS46" s="2">
        <f>IFERROR(IFERROR(VLOOKUP($C46&amp;" "&amp;BS$1,Results!$F:$H,3,FALSE),-VLOOKUP($C46&amp;" "&amp;BS$1,Results!$G:$H,2,FALSE)),"")</f>
        <v>69</v>
      </c>
      <c r="BT46" s="2" t="str">
        <f>IFERROR(IFERROR(VLOOKUP($C46&amp;" "&amp;BT$1,Results!$F:$H,3,FALSE),-VLOOKUP($C46&amp;" "&amp;BT$1,Results!$G:$H,2,FALSE)),"")</f>
        <v/>
      </c>
      <c r="BU46" s="2" t="str">
        <f>IFERROR(IFERROR(VLOOKUP($C46&amp;" "&amp;BU$1,Results!$F:$H,3,FALSE),-VLOOKUP($C46&amp;" "&amp;BU$1,Results!$G:$H,2,FALSE)),"")</f>
        <v/>
      </c>
      <c r="BV46" s="2" t="str">
        <f>IFERROR(IFERROR(VLOOKUP($C46&amp;" "&amp;BV$1,Results!$F:$H,3,FALSE),-VLOOKUP($C46&amp;" "&amp;BV$1,Results!$G:$H,2,FALSE)),"")</f>
        <v/>
      </c>
      <c r="BW46" s="82">
        <f t="shared" si="18"/>
        <v>-239</v>
      </c>
      <c r="BX46" s="5">
        <f t="shared" si="28"/>
        <v>4</v>
      </c>
      <c r="BY46" s="5">
        <f t="shared" si="19"/>
        <v>1</v>
      </c>
      <c r="BZ46" s="5">
        <f t="shared" si="12"/>
        <v>5</v>
      </c>
      <c r="CA46" s="65">
        <f t="shared" si="20"/>
        <v>0.8</v>
      </c>
      <c r="CC46" s="8">
        <f t="shared" si="21"/>
        <v>-239</v>
      </c>
      <c r="CE46" s="38">
        <v>45</v>
      </c>
      <c r="CF46" s="5">
        <f t="shared" si="22"/>
        <v>45</v>
      </c>
      <c r="CG46" s="5">
        <f t="shared" si="23"/>
        <v>0</v>
      </c>
    </row>
    <row r="47" spans="1:85" ht="12.75" customHeight="1" thickBot="1">
      <c r="A47" s="5">
        <v>44</v>
      </c>
      <c r="B47" s="5">
        <v>44</v>
      </c>
      <c r="C47" s="17" t="s">
        <v>32</v>
      </c>
      <c r="D47" s="38"/>
      <c r="E47" s="5">
        <f>IF(AND(BN47&gt;0,$A47&lt;VLOOKUP(BN$1,$C:$L,10,FALSE)),1,IF(AND(BN47&lt;0,$A47&gt;VLOOKUP(BN$1,$C:$L,10,FALSE)),1,0))</f>
        <v>0</v>
      </c>
      <c r="F47" s="5">
        <f>IF(AND(BO47&gt;0,$A47&lt;VLOOKUP(BO$1,$C:$L,10,FALSE)),1,IF(AND(BO47&lt;0,$A47&gt;VLOOKUP(BO$1,$C:$L,10,FALSE)),1,0))</f>
        <v>0</v>
      </c>
      <c r="G47" s="5">
        <f>IF(AND(BP47&gt;0,$A47&lt;VLOOKUP(BP$1,$C:$L,10,FALSE)),1,IF(AND(BP47&lt;0,$A47&gt;VLOOKUP(BP$1,$C:$L,10,FALSE)),1,0))</f>
        <v>1</v>
      </c>
      <c r="H47" s="5">
        <f>IF(AND(BR47&gt;0,$A47&lt;VLOOKUP(BR$1,$C:$L,10,FALSE)),1,IF(AND(BR47&lt;0,$A47&gt;VLOOKUP(BR$1,$C:$L,10,FALSE)),1,0))</f>
        <v>0</v>
      </c>
      <c r="I47" s="5">
        <f>IF(AND(BS47&gt;0,$A47&lt;VLOOKUP(BS$1,$C:$L,10,FALSE)),1,IF(AND(BS47&lt;0,$A47&gt;VLOOKUP(BS$1,$C:$L,10,FALSE)),1,0))</f>
        <v>1</v>
      </c>
      <c r="J47" s="5" t="s">
        <v>157</v>
      </c>
      <c r="K47" s="79" t="s">
        <v>134</v>
      </c>
      <c r="L47" s="125">
        <f t="shared" si="16"/>
        <v>44</v>
      </c>
      <c r="M47" s="2">
        <v>11</v>
      </c>
      <c r="N47" s="11">
        <f>COUNTIF($U47:$BU47,"&gt;0")</f>
        <v>2</v>
      </c>
      <c r="O47" s="2">
        <f>COUNTIF($U47:$BU47,"&lt;0")</f>
        <v>3</v>
      </c>
      <c r="P47" s="2">
        <f>COUNTIF($U47:$BU47,"=0")</f>
        <v>0</v>
      </c>
      <c r="Q47" s="12">
        <f>COUNTIF($BL47:$BO47,"&gt;0")</f>
        <v>2</v>
      </c>
      <c r="R47" s="13">
        <f>COUNTIF($BL47:$BO47,"&lt;0")</f>
        <v>1</v>
      </c>
      <c r="S47" s="14">
        <f>COUNTIF($BL47:$BO47,"=0")</f>
        <v>0</v>
      </c>
      <c r="T47" s="2">
        <f t="shared" si="17"/>
        <v>0</v>
      </c>
      <c r="AR47" s="2" t="str">
        <f>IFERROR(IFERROR(VLOOKUP($C47&amp;" "&amp;AR$1,Results!$F:$H,3,FALSE),-VLOOKUP($C47&amp;" "&amp;AR$1,Results!$G:$H,2,FALSE)),"")</f>
        <v/>
      </c>
      <c r="AS47" s="2" t="str">
        <f>IFERROR(IFERROR(VLOOKUP($C47&amp;" "&amp;AS$1,Results!$F:$H,3,FALSE),-VLOOKUP($C47&amp;" "&amp;AS$1,Results!$G:$H,2,FALSE)),"")</f>
        <v/>
      </c>
      <c r="AT47" s="2" t="str">
        <f>IFERROR(IFERROR(VLOOKUP($C47&amp;" "&amp;AT$1,Results!$F:$H,3,FALSE),-VLOOKUP($C47&amp;" "&amp;AT$1,Results!$G:$H,2,FALSE)),"")</f>
        <v/>
      </c>
      <c r="AU47" s="2" t="str">
        <f>IFERROR(IFERROR(VLOOKUP($C47&amp;" "&amp;AU$1,Results!$F:$H,3,FALSE),-VLOOKUP($C47&amp;" "&amp;AU$1,Results!$G:$H,2,FALSE)),"")</f>
        <v/>
      </c>
      <c r="AV47" s="2" t="str">
        <f>IFERROR(IFERROR(VLOOKUP($C47&amp;" "&amp;AV$1,Results!$F:$H,3,FALSE),-VLOOKUP($C47&amp;" "&amp;AV$1,Results!$G:$H,2,FALSE)),"")</f>
        <v/>
      </c>
      <c r="AW47" s="2" t="str">
        <f>IFERROR(IFERROR(VLOOKUP($C47&amp;" "&amp;AW$1,Results!$F:$H,3,FALSE),-VLOOKUP($C47&amp;" "&amp;AW$1,Results!$G:$H,2,FALSE)),"")</f>
        <v/>
      </c>
      <c r="AX47" s="2" t="str">
        <f>IFERROR(IFERROR(VLOOKUP($C47&amp;" "&amp;AX$1,Results!$F:$H,3,FALSE),-VLOOKUP($C47&amp;" "&amp;AX$1,Results!$G:$H,2,FALSE)),"")</f>
        <v/>
      </c>
      <c r="AY47" s="2" t="str">
        <f>IFERROR(IFERROR(VLOOKUP($C47&amp;" "&amp;AY$1,Results!$F:$H,3,FALSE),-VLOOKUP($C47&amp;" "&amp;AY$1,Results!$G:$H,2,FALSE)),"")</f>
        <v/>
      </c>
      <c r="AZ47" s="2" t="str">
        <f>IFERROR(IFERROR(VLOOKUP($C47&amp;" "&amp;AZ$1,Results!$F:$H,3,FALSE),-VLOOKUP($C47&amp;" "&amp;AZ$1,Results!$G:$H,2,FALSE)),"")</f>
        <v/>
      </c>
      <c r="BA47" s="2" t="str">
        <f>IFERROR(IFERROR(VLOOKUP($C47&amp;" "&amp;BA$1,Results!$F:$H,3,FALSE),-VLOOKUP($C47&amp;" "&amp;BA$1,Results!$G:$H,2,FALSE)),"")</f>
        <v/>
      </c>
      <c r="BB47" s="2" t="str">
        <f>IFERROR(IFERROR(VLOOKUP($C47&amp;" "&amp;BB$1,Results!$F:$H,3,FALSE),-VLOOKUP($C47&amp;" "&amp;BB$1,Results!$G:$H,2,FALSE)),"")</f>
        <v/>
      </c>
      <c r="BC47" s="2" t="str">
        <f>IFERROR(IFERROR(VLOOKUP($C47&amp;" "&amp;BC$1,Results!$F:$H,3,FALSE),-VLOOKUP($C47&amp;" "&amp;BC$1,Results!$G:$H,2,FALSE)),"")</f>
        <v/>
      </c>
      <c r="BD47" s="2" t="str">
        <f>IFERROR(IFERROR(VLOOKUP($C47&amp;" "&amp;BD$1,Results!$F:$H,3,FALSE),-VLOOKUP($C47&amp;" "&amp;BD$1,Results!$G:$H,2,FALSE)),"")</f>
        <v/>
      </c>
      <c r="BE47" s="2" t="str">
        <f>IFERROR(IFERROR(VLOOKUP($C47&amp;" "&amp;BE$1,Results!$F:$H,3,FALSE),-VLOOKUP($C47&amp;" "&amp;BE$1,Results!$G:$H,2,FALSE)),"")</f>
        <v/>
      </c>
      <c r="BF47" s="2" t="str">
        <f>IFERROR(IFERROR(VLOOKUP($C47&amp;" "&amp;BF$1,Results!$F:$H,3,FALSE),-VLOOKUP($C47&amp;" "&amp;BF$1,Results!$G:$H,2,FALSE)),"")</f>
        <v/>
      </c>
      <c r="BG47" s="2" t="str">
        <f>IFERROR(IFERROR(VLOOKUP($C47&amp;" "&amp;BG$1,Results!$F:$H,3,FALSE),-VLOOKUP($C47&amp;" "&amp;BG$1,Results!$G:$H,2,FALSE)),"")</f>
        <v/>
      </c>
      <c r="BH47" s="15" t="str">
        <f>IFERROR(IFERROR(VLOOKUP($C47&amp;" "&amp;BH$1,Results!$F:$H,3,FALSE),-VLOOKUP($C47&amp;" "&amp;BH$1,Results!$G:$H,2,FALSE)),"")</f>
        <v/>
      </c>
      <c r="BI47" s="2" t="str">
        <f>IFERROR(IFERROR(VLOOKUP($C47&amp;" "&amp;BI$1,Results!$F:$H,3,FALSE),-VLOOKUP($C47&amp;" "&amp;BI$1,Results!$G:$H,2,FALSE)),"")</f>
        <v/>
      </c>
      <c r="BJ47" s="2" t="str">
        <f>IFERROR(IFERROR(VLOOKUP($C47&amp;" "&amp;BJ$1,Results!$F:$H,3,FALSE),-VLOOKUP($C47&amp;" "&amp;BJ$1,Results!$G:$H,2,FALSE)),"")</f>
        <v/>
      </c>
      <c r="BK47" s="2" t="str">
        <f>IFERROR(IFERROR(VLOOKUP($C47&amp;" "&amp;BK$1,Results!$F:$H,3,FALSE),-VLOOKUP($C47&amp;" "&amp;BK$1,Results!$G:$H,2,FALSE)),"")</f>
        <v/>
      </c>
      <c r="BL47" s="52">
        <f>IFERROR(IFERROR(VLOOKUP($C47&amp;" "&amp;BL$1,Results!$F:$H,3,FALSE),-VLOOKUP($C47&amp;" "&amp;BL$1,Results!$G:$H,2,FALSE)),"")</f>
        <v>-109</v>
      </c>
      <c r="BM47" s="57">
        <f>IFERROR(IFERROR(VLOOKUP($C47&amp;" "&amp;BM$1,Results!$F:$H,3,FALSE),-VLOOKUP($C47&amp;" "&amp;BM$1,Results!$G:$H,2,FALSE)),"")</f>
        <v>20</v>
      </c>
      <c r="BN47" s="57">
        <f>IFERROR(IFERROR(VLOOKUP($C47&amp;" "&amp;BN$1,Results!$F:$H,3,FALSE),-VLOOKUP($C47&amp;" "&amp;BN$1,Results!$G:$H,2,FALSE)),"")</f>
        <v>4</v>
      </c>
      <c r="BO47" s="58" t="str">
        <f>IFERROR(IFERROR(VLOOKUP($C47&amp;" "&amp;BO$1,Results!$F:$H,3,FALSE),-VLOOKUP($C47&amp;" "&amp;BO$1,Results!$G:$H,2,FALSE)),"")</f>
        <v/>
      </c>
      <c r="BP47" s="2" t="str">
        <f>IFERROR(IFERROR(VLOOKUP($C47&amp;" "&amp;BP$1,Results!$F:$H,3,FALSE),-VLOOKUP($C47&amp;" "&amp;BP$1,Results!$G:$H,2,FALSE)),"")</f>
        <v/>
      </c>
      <c r="BQ47" s="2">
        <f>IFERROR(IFERROR(VLOOKUP($C47&amp;" "&amp;BQ$1,Results!$F:$H,3,FALSE),-VLOOKUP($C47&amp;" "&amp;BQ$1,Results!$G:$H,2,FALSE)),"")</f>
        <v>-178</v>
      </c>
      <c r="BR47" s="2">
        <f>IFERROR(IFERROR(VLOOKUP($C47&amp;" "&amp;BR$1,Results!$F:$H,3,FALSE),-VLOOKUP($C47&amp;" "&amp;BR$1,Results!$G:$H,2,FALSE)),"")</f>
        <v>-42</v>
      </c>
      <c r="BS47" s="2" t="str">
        <f>IFERROR(IFERROR(VLOOKUP($C47&amp;" "&amp;BS$1,Results!$F:$H,3,FALSE),-VLOOKUP($C47&amp;" "&amp;BS$1,Results!$G:$H,2,FALSE)),"")</f>
        <v/>
      </c>
      <c r="BT47" s="2" t="str">
        <f>IFERROR(IFERROR(VLOOKUP($C47&amp;" "&amp;BT$1,Results!$F:$H,3,FALSE),-VLOOKUP($C47&amp;" "&amp;BT$1,Results!$G:$H,2,FALSE)),"")</f>
        <v/>
      </c>
      <c r="BU47" s="2" t="str">
        <f>IFERROR(IFERROR(VLOOKUP($C47&amp;" "&amp;BU$1,Results!$F:$H,3,FALSE),-VLOOKUP($C47&amp;" "&amp;BU$1,Results!$G:$H,2,FALSE)),"")</f>
        <v/>
      </c>
      <c r="BV47" s="2">
        <f>IFERROR(IFERROR(VLOOKUP($C47&amp;" "&amp;BV$1,Results!$F:$H,3,FALSE),-VLOOKUP($C47&amp;" "&amp;BV$1,Results!$G:$H,2,FALSE)),"")</f>
        <v>242</v>
      </c>
      <c r="BW47" s="82">
        <f t="shared" si="18"/>
        <v>-305</v>
      </c>
      <c r="BX47" s="5">
        <f t="shared" si="28"/>
        <v>2</v>
      </c>
      <c r="BY47" s="5">
        <f t="shared" si="19"/>
        <v>3</v>
      </c>
      <c r="BZ47" s="5">
        <f t="shared" si="12"/>
        <v>5</v>
      </c>
      <c r="CA47" s="65">
        <f t="shared" si="20"/>
        <v>0.4</v>
      </c>
      <c r="CC47" s="8">
        <f t="shared" si="21"/>
        <v>-305</v>
      </c>
      <c r="CE47" s="5">
        <v>47</v>
      </c>
      <c r="CF47" s="5">
        <f t="shared" si="22"/>
        <v>44</v>
      </c>
      <c r="CG47" s="5">
        <f t="shared" si="23"/>
        <v>3</v>
      </c>
    </row>
    <row r="48" spans="1:85" ht="12.75" customHeight="1">
      <c r="A48" s="5">
        <v>43</v>
      </c>
      <c r="B48" s="5">
        <v>45</v>
      </c>
      <c r="C48" s="10" t="s">
        <v>34</v>
      </c>
      <c r="D48" s="5"/>
      <c r="E48" s="5">
        <f>IF(AND(BI48&gt;0,$A48&lt;VLOOKUP(BI$1,$C:$L,10,FALSE)),1,IF(AND(BI48&lt;0,$A48&gt;VLOOKUP(BI$1,$C:$L,10,FALSE)),1,0))</f>
        <v>0</v>
      </c>
      <c r="F48" s="5">
        <f>IF(AND(BJ48&gt;0,$A48&lt;VLOOKUP(BJ$1,$C:$L,10,FALSE)),1,IF(AND(BJ48&lt;0,$A48&gt;VLOOKUP(BJ$1,$C:$L,10,FALSE)),1,0))</f>
        <v>0</v>
      </c>
      <c r="G48" s="5">
        <f>IF(AND(BM48&gt;0,$A48&lt;VLOOKUP(BM$1,$C:$L,10,FALSE)),1,IF(AND(BM48&lt;0,$A48&gt;VLOOKUP(BM$1,$C:$L,10,FALSE)),1,0))</f>
        <v>0</v>
      </c>
      <c r="H48" s="5">
        <f>IF(AND(BN48&gt;0,$A48&lt;VLOOKUP(BN$1,$C:$L,10,FALSE)),1,IF(AND(BN48&lt;0,$A48&gt;VLOOKUP(BN$1,$C:$L,10,FALSE)),1,0))</f>
        <v>0</v>
      </c>
      <c r="I48" s="5">
        <f>IF(AND(BO48&gt;0,$A48&lt;VLOOKUP(BO$1,$C:$L,10,FALSE)),1,IF(AND(BO48&lt;0,$A48&gt;VLOOKUP(BO$1,$C:$L,10,FALSE)),1,0))</f>
        <v>1</v>
      </c>
      <c r="J48" s="5">
        <f>IF(AND(BR48&gt;0,$A48&lt;VLOOKUP(BR$1,$C:$L,10,FALSE)),1,IF(AND(BR48&lt;0,$A48&gt;VLOOKUP(BR$1,$C:$L,10,FALSE)),1,0))</f>
        <v>1</v>
      </c>
      <c r="K48" s="79" t="s">
        <v>134</v>
      </c>
      <c r="L48" s="125">
        <f t="shared" si="16"/>
        <v>45</v>
      </c>
      <c r="M48" s="2">
        <v>12</v>
      </c>
      <c r="N48" s="11">
        <f>COUNTIF($U48:$BU48,"&gt;0")</f>
        <v>4</v>
      </c>
      <c r="O48" s="2">
        <f>COUNTIF($U48:$BV48,"&lt;0")</f>
        <v>1</v>
      </c>
      <c r="P48" s="2">
        <f>COUNTIF($U48:$BV48,"=0")</f>
        <v>0</v>
      </c>
      <c r="Q48" s="12">
        <f>COUNTIF($BP48:$BR48,"&gt;0")</f>
        <v>1</v>
      </c>
      <c r="R48" s="13">
        <f>COUNTIF($BP48:$BR48,"&lt;0")</f>
        <v>1</v>
      </c>
      <c r="S48" s="14">
        <f>COUNTIF($BP48:$BR48,"=0")</f>
        <v>0</v>
      </c>
      <c r="T48" s="2">
        <f t="shared" si="17"/>
        <v>0</v>
      </c>
      <c r="U48" s="2"/>
      <c r="V48" s="2"/>
      <c r="W48" s="2"/>
      <c r="AR48" s="2" t="str">
        <f>IFERROR(IFERROR(VLOOKUP($C48&amp;" "&amp;AR$1,Results!$F:$H,3,FALSE),-VLOOKUP($C48&amp;" "&amp;AR$1,Results!$G:$H,2,FALSE)),"")</f>
        <v/>
      </c>
      <c r="AS48" s="2" t="str">
        <f>IFERROR(IFERROR(VLOOKUP($C48&amp;" "&amp;AS$1,Results!$F:$H,3,FALSE),-VLOOKUP($C48&amp;" "&amp;AS$1,Results!$G:$H,2,FALSE)),"")</f>
        <v/>
      </c>
      <c r="AT48" s="2" t="str">
        <f>IFERROR(IFERROR(VLOOKUP($C48&amp;" "&amp;AT$1,Results!$F:$H,3,FALSE),-VLOOKUP($C48&amp;" "&amp;AT$1,Results!$G:$H,2,FALSE)),"")</f>
        <v/>
      </c>
      <c r="AU48" s="2" t="str">
        <f>IFERROR(IFERROR(VLOOKUP($C48&amp;" "&amp;AU$1,Results!$F:$H,3,FALSE),-VLOOKUP($C48&amp;" "&amp;AU$1,Results!$G:$H,2,FALSE)),"")</f>
        <v/>
      </c>
      <c r="AV48" s="2" t="str">
        <f>IFERROR(IFERROR(VLOOKUP($C48&amp;" "&amp;AV$1,Results!$F:$H,3,FALSE),-VLOOKUP($C48&amp;" "&amp;AV$1,Results!$G:$H,2,FALSE)),"")</f>
        <v/>
      </c>
      <c r="AW48" s="2" t="str">
        <f>IFERROR(IFERROR(VLOOKUP($C48&amp;" "&amp;AW$1,Results!$F:$H,3,FALSE),-VLOOKUP($C48&amp;" "&amp;AW$1,Results!$G:$H,2,FALSE)),"")</f>
        <v/>
      </c>
      <c r="AX48" s="2" t="str">
        <f>IFERROR(IFERROR(VLOOKUP($C48&amp;" "&amp;AX$1,Results!$F:$H,3,FALSE),-VLOOKUP($C48&amp;" "&amp;AX$1,Results!$G:$H,2,FALSE)),"")</f>
        <v/>
      </c>
      <c r="AY48" s="2" t="str">
        <f>IFERROR(IFERROR(VLOOKUP($C48&amp;" "&amp;AY$1,Results!$F:$H,3,FALSE),-VLOOKUP($C48&amp;" "&amp;AY$1,Results!$G:$H,2,FALSE)),"")</f>
        <v/>
      </c>
      <c r="AZ48" s="2" t="str">
        <f>IFERROR(IFERROR(VLOOKUP($C48&amp;" "&amp;AZ$1,Results!$F:$H,3,FALSE),-VLOOKUP($C48&amp;" "&amp;AZ$1,Results!$G:$H,2,FALSE)),"")</f>
        <v/>
      </c>
      <c r="BA48" s="2" t="str">
        <f>IFERROR(IFERROR(VLOOKUP($C48&amp;" "&amp;BA$1,Results!$F:$H,3,FALSE),-VLOOKUP($C48&amp;" "&amp;BA$1,Results!$G:$H,2,FALSE)),"")</f>
        <v/>
      </c>
      <c r="BB48" s="2" t="str">
        <f>IFERROR(IFERROR(VLOOKUP($C48&amp;" "&amp;BB$1,Results!$F:$H,3,FALSE),-VLOOKUP($C48&amp;" "&amp;BB$1,Results!$G:$H,2,FALSE)),"")</f>
        <v/>
      </c>
      <c r="BC48" s="2" t="str">
        <f>IFERROR(IFERROR(VLOOKUP($C48&amp;" "&amp;BC$1,Results!$F:$H,3,FALSE),-VLOOKUP($C48&amp;" "&amp;BC$1,Results!$G:$H,2,FALSE)),"")</f>
        <v/>
      </c>
      <c r="BD48" s="2" t="str">
        <f>IFERROR(IFERROR(VLOOKUP($C48&amp;" "&amp;BD$1,Results!$F:$H,3,FALSE),-VLOOKUP($C48&amp;" "&amp;BD$1,Results!$G:$H,2,FALSE)),"")</f>
        <v/>
      </c>
      <c r="BE48" s="2" t="str">
        <f>IFERROR(IFERROR(VLOOKUP($C48&amp;" "&amp;BE$1,Results!$F:$H,3,FALSE),-VLOOKUP($C48&amp;" "&amp;BE$1,Results!$G:$H,2,FALSE)),"")</f>
        <v/>
      </c>
      <c r="BF48" s="2" t="str">
        <f>IFERROR(IFERROR(VLOOKUP($C48&amp;" "&amp;BF$1,Results!$F:$H,3,FALSE),-VLOOKUP($C48&amp;" "&amp;BF$1,Results!$G:$H,2,FALSE)),"")</f>
        <v/>
      </c>
      <c r="BG48" s="2" t="str">
        <f>IFERROR(IFERROR(VLOOKUP($C48&amp;" "&amp;BG$1,Results!$F:$H,3,FALSE),-VLOOKUP($C48&amp;" "&amp;BG$1,Results!$G:$H,2,FALSE)),"")</f>
        <v/>
      </c>
      <c r="BH48" s="2" t="str">
        <f>IFERROR(IFERROR(VLOOKUP($C48&amp;" "&amp;BH$1,Results!$F:$H,3,FALSE),-VLOOKUP($C48&amp;" "&amp;BH$1,Results!$G:$H,2,FALSE)),"")</f>
        <v/>
      </c>
      <c r="BI48" s="2" t="str">
        <f>IFERROR(IFERROR(VLOOKUP($C48&amp;" "&amp;BI$1,Results!$F:$H,3,FALSE),-VLOOKUP($C48&amp;" "&amp;BI$1,Results!$G:$H,2,FALSE)),"")</f>
        <v/>
      </c>
      <c r="BJ48" s="2" t="str">
        <f>IFERROR(IFERROR(VLOOKUP($C48&amp;" "&amp;BJ$1,Results!$F:$H,3,FALSE),-VLOOKUP($C48&amp;" "&amp;BJ$1,Results!$G:$H,2,FALSE)),"")</f>
        <v/>
      </c>
      <c r="BK48" s="2" t="str">
        <f>IFERROR(IFERROR(VLOOKUP($C48&amp;" "&amp;BK$1,Results!$F:$H,3,FALSE),-VLOOKUP($C48&amp;" "&amp;BK$1,Results!$G:$H,2,FALSE)),"")</f>
        <v/>
      </c>
      <c r="BL48" s="2" t="str">
        <f>IFERROR(IFERROR(VLOOKUP($C48&amp;" "&amp;BL$1,Results!$F:$H,3,FALSE),-VLOOKUP($C48&amp;" "&amp;BL$1,Results!$G:$H,2,FALSE)),"")</f>
        <v/>
      </c>
      <c r="BM48" s="2" t="str">
        <f>IFERROR(IFERROR(VLOOKUP($C48&amp;" "&amp;BM$1,Results!$F:$H,3,FALSE),-VLOOKUP($C48&amp;" "&amp;BM$1,Results!$G:$H,2,FALSE)),"")</f>
        <v/>
      </c>
      <c r="BN48" s="2">
        <f>IFERROR(IFERROR(VLOOKUP($C48&amp;" "&amp;BN$1,Results!$F:$H,3,FALSE),-VLOOKUP($C48&amp;" "&amp;BN$1,Results!$G:$H,2,FALSE)),"")</f>
        <v>76</v>
      </c>
      <c r="BO48" s="2" t="str">
        <f>IFERROR(IFERROR(VLOOKUP($C48&amp;" "&amp;BO$1,Results!$F:$H,3,FALSE),-VLOOKUP($C48&amp;" "&amp;BO$1,Results!$G:$H,2,FALSE)),"")</f>
        <v/>
      </c>
      <c r="BP48" s="35" t="str">
        <f>IFERROR(IFERROR(VLOOKUP($C48&amp;" "&amp;BP$1,Results!$F:$H,3,FALSE),-VLOOKUP($C48&amp;" "&amp;BP$1,Results!$G:$H,2,FALSE)),"")</f>
        <v/>
      </c>
      <c r="BQ48" s="49">
        <f>IFERROR(IFERROR(VLOOKUP($C48&amp;" "&amp;BQ$1,Results!$F:$H,3,FALSE),-VLOOKUP($C48&amp;" "&amp;BQ$1,Results!$G:$H,2,FALSE)),"")</f>
        <v>-45</v>
      </c>
      <c r="BR48" s="55">
        <f>IFERROR(IFERROR(VLOOKUP($C48&amp;" "&amp;BR$1,Results!$F:$H,3,FALSE),-VLOOKUP($C48&amp;" "&amp;BR$1,Results!$G:$H,2,FALSE)),"")</f>
        <v>96</v>
      </c>
      <c r="BS48" s="2">
        <f>IFERROR(IFERROR(VLOOKUP($C48&amp;" "&amp;BS$1,Results!$F:$H,3,FALSE),-VLOOKUP($C48&amp;" "&amp;BS$1,Results!$G:$H,2,FALSE)),"")</f>
        <v>60</v>
      </c>
      <c r="BT48" s="2">
        <f>IFERROR(IFERROR(VLOOKUP($C48&amp;" "&amp;BT$1,Results!$F:$H,3,FALSE),-VLOOKUP($C48&amp;" "&amp;BT$1,Results!$G:$H,2,FALSE)),"")</f>
        <v>170</v>
      </c>
      <c r="BU48" s="2"/>
      <c r="BV48" s="2"/>
      <c r="BW48" s="82">
        <f t="shared" si="18"/>
        <v>187</v>
      </c>
      <c r="BX48" s="5">
        <f t="shared" si="28"/>
        <v>2</v>
      </c>
      <c r="BY48" s="5">
        <f t="shared" si="19"/>
        <v>4</v>
      </c>
      <c r="BZ48" s="5">
        <f t="shared" si="12"/>
        <v>6</v>
      </c>
      <c r="CA48" s="65">
        <f t="shared" si="20"/>
        <v>0.33333333333333331</v>
      </c>
      <c r="CC48" s="8">
        <f t="shared" si="21"/>
        <v>357</v>
      </c>
      <c r="CE48" s="5">
        <v>44</v>
      </c>
      <c r="CF48" s="5">
        <f t="shared" si="22"/>
        <v>43</v>
      </c>
      <c r="CG48" s="5">
        <f t="shared" si="23"/>
        <v>1</v>
      </c>
    </row>
    <row r="49" spans="1:85">
      <c r="A49" s="5">
        <v>41</v>
      </c>
      <c r="B49" s="5">
        <v>46</v>
      </c>
      <c r="C49" s="154" t="s">
        <v>179</v>
      </c>
      <c r="D49" s="38"/>
      <c r="E49" s="5">
        <f>IF(AND(BM49&gt;0,$A49&lt;VLOOKUP(BM$1,$C:$L,10,FALSE)),1,IF(AND(BM49&lt;0,$A49&gt;VLOOKUP(BM$1,$C:$L,10,FALSE)),1,0))</f>
        <v>1</v>
      </c>
      <c r="F49" s="5">
        <f>IF(AND(BN49&gt;0,$A49&lt;VLOOKUP(BN$1,$C:$L,10,FALSE)),1,IF(AND(BN49&lt;0,$A49&gt;VLOOKUP(BN$1,$C:$L,10,FALSE)),1,0))</f>
        <v>1</v>
      </c>
      <c r="G49" s="5">
        <f>IF(AND(BQ49&gt;0,$A49&lt;VLOOKUP(BQ$1,$C:$L,10,FALSE)),1,IF(AND(BQ49&lt;0,$A49&gt;VLOOKUP(BQ$1,$C:$L,10,FALSE)),1,0))</f>
        <v>1</v>
      </c>
      <c r="H49" s="5">
        <f>IF(AND(BR49&gt;0,$A49&lt;VLOOKUP(BR$1,$C:$L,10,FALSE)),1,IF(AND(BR49&lt;0,$A49&gt;VLOOKUP(BR$1,$C:$L,10,FALSE)),1,0))</f>
        <v>1</v>
      </c>
      <c r="I49" s="5" t="s">
        <v>157</v>
      </c>
      <c r="J49" s="5">
        <f>IF(AND(BT49&gt;0,$A49&lt;VLOOKUP(BT$1,$C:$L,10,FALSE)),1,IF(AND(BT49&lt;0,$A49&gt;VLOOKUP(BT$1,$C:$L,10,FALSE)),1,0))</f>
        <v>1</v>
      </c>
      <c r="K49" s="79" t="s">
        <v>134</v>
      </c>
      <c r="L49" s="125">
        <f t="shared" si="16"/>
        <v>46</v>
      </c>
      <c r="M49" s="2">
        <v>12</v>
      </c>
      <c r="N49" s="11">
        <f>COUNTIF($U49:$BU49,"&gt;0")</f>
        <v>4</v>
      </c>
      <c r="O49" s="2">
        <f>COUNTIF($U49:$BU49,"&lt;0")</f>
        <v>1</v>
      </c>
      <c r="P49" s="2">
        <f>COUNTIF($U49:$BU49,"=0")</f>
        <v>0</v>
      </c>
      <c r="Q49" s="12">
        <f>COUNTIF($BP49:$BR49,"&gt;0")</f>
        <v>2</v>
      </c>
      <c r="R49" s="13">
        <f>COUNTIF($BP49:$BR49,"&lt;0")</f>
        <v>0</v>
      </c>
      <c r="S49" s="14">
        <f>COUNTIF($BP49:$BR49,"=0")</f>
        <v>0</v>
      </c>
      <c r="T49" s="2">
        <f t="shared" si="17"/>
        <v>0</v>
      </c>
      <c r="AR49" s="2" t="str">
        <f>IFERROR(IFERROR(VLOOKUP($C49&amp;" "&amp;AR$1,Results!$F:$H,3,FALSE),-VLOOKUP($C49&amp;" "&amp;AR$1,Results!$G:$H,2,FALSE)),"")</f>
        <v/>
      </c>
      <c r="AS49" s="2" t="str">
        <f>IFERROR(IFERROR(VLOOKUP($C49&amp;" "&amp;AS$1,Results!$F:$H,3,FALSE),-VLOOKUP($C49&amp;" "&amp;AS$1,Results!$G:$H,2,FALSE)),"")</f>
        <v/>
      </c>
      <c r="AT49" s="2" t="str">
        <f>IFERROR(IFERROR(VLOOKUP($C49&amp;" "&amp;AT$1,Results!$F:$H,3,FALSE),-VLOOKUP($C49&amp;" "&amp;AT$1,Results!$G:$H,2,FALSE)),"")</f>
        <v/>
      </c>
      <c r="AU49" s="2" t="str">
        <f>IFERROR(IFERROR(VLOOKUP($C49&amp;" "&amp;AU$1,Results!$F:$H,3,FALSE),-VLOOKUP($C49&amp;" "&amp;AU$1,Results!$G:$H,2,FALSE)),"")</f>
        <v/>
      </c>
      <c r="AV49" s="2" t="str">
        <f>IFERROR(IFERROR(VLOOKUP($C49&amp;" "&amp;AV$1,Results!$F:$H,3,FALSE),-VLOOKUP($C49&amp;" "&amp;AV$1,Results!$G:$H,2,FALSE)),"")</f>
        <v/>
      </c>
      <c r="AW49" s="2" t="str">
        <f>IFERROR(IFERROR(VLOOKUP($C49&amp;" "&amp;AW$1,Results!$F:$H,3,FALSE),-VLOOKUP($C49&amp;" "&amp;AW$1,Results!$G:$H,2,FALSE)),"")</f>
        <v/>
      </c>
      <c r="AX49" s="2" t="str">
        <f>IFERROR(IFERROR(VLOOKUP($C49&amp;" "&amp;AX$1,Results!$F:$H,3,FALSE),-VLOOKUP($C49&amp;" "&amp;AX$1,Results!$G:$H,2,FALSE)),"")</f>
        <v/>
      </c>
      <c r="AY49" s="2" t="str">
        <f>IFERROR(IFERROR(VLOOKUP($C49&amp;" "&amp;AY$1,Results!$F:$H,3,FALSE),-VLOOKUP($C49&amp;" "&amp;AY$1,Results!$G:$H,2,FALSE)),"")</f>
        <v/>
      </c>
      <c r="AZ49" s="2" t="str">
        <f>IFERROR(IFERROR(VLOOKUP($C49&amp;" "&amp;AZ$1,Results!$F:$H,3,FALSE),-VLOOKUP($C49&amp;" "&amp;AZ$1,Results!$G:$H,2,FALSE)),"")</f>
        <v/>
      </c>
      <c r="BA49" s="2" t="str">
        <f>IFERROR(IFERROR(VLOOKUP($C49&amp;" "&amp;BA$1,Results!$F:$H,3,FALSE),-VLOOKUP($C49&amp;" "&amp;BA$1,Results!$G:$H,2,FALSE)),"")</f>
        <v/>
      </c>
      <c r="BB49" s="2" t="str">
        <f>IFERROR(IFERROR(VLOOKUP($C49&amp;" "&amp;BB$1,Results!$F:$H,3,FALSE),-VLOOKUP($C49&amp;" "&amp;BB$1,Results!$G:$H,2,FALSE)),"")</f>
        <v/>
      </c>
      <c r="BC49" s="2" t="str">
        <f>IFERROR(IFERROR(VLOOKUP($C49&amp;" "&amp;BC$1,Results!$F:$H,3,FALSE),-VLOOKUP($C49&amp;" "&amp;BC$1,Results!$G:$H,2,FALSE)),"")</f>
        <v/>
      </c>
      <c r="BD49" s="2" t="str">
        <f>IFERROR(IFERROR(VLOOKUP($C49&amp;" "&amp;BD$1,Results!$F:$H,3,FALSE),-VLOOKUP($C49&amp;" "&amp;BD$1,Results!$G:$H,2,FALSE)),"")</f>
        <v/>
      </c>
      <c r="BE49" s="2" t="str">
        <f>IFERROR(IFERROR(VLOOKUP($C49&amp;" "&amp;BE$1,Results!$F:$H,3,FALSE),-VLOOKUP($C49&amp;" "&amp;BE$1,Results!$G:$H,2,FALSE)),"")</f>
        <v/>
      </c>
      <c r="BF49" s="2" t="str">
        <f>IFERROR(IFERROR(VLOOKUP($C49&amp;" "&amp;BF$1,Results!$F:$H,3,FALSE),-VLOOKUP($C49&amp;" "&amp;BF$1,Results!$G:$H,2,FALSE)),"")</f>
        <v/>
      </c>
      <c r="BG49" s="2" t="str">
        <f>IFERROR(IFERROR(VLOOKUP($C49&amp;" "&amp;BG$1,Results!$F:$H,3,FALSE),-VLOOKUP($C49&amp;" "&amp;BG$1,Results!$G:$H,2,FALSE)),"")</f>
        <v/>
      </c>
      <c r="BH49" s="15" t="str">
        <f>IFERROR(IFERROR(VLOOKUP($C49&amp;" "&amp;BH$1,Results!$F:$H,3,FALSE),-VLOOKUP($C49&amp;" "&amp;BH$1,Results!$G:$H,2,FALSE)),"")</f>
        <v/>
      </c>
      <c r="BI49" s="2" t="str">
        <f>IFERROR(IFERROR(VLOOKUP($C49&amp;" "&amp;BI$1,Results!$F:$H,3,FALSE),-VLOOKUP($C49&amp;" "&amp;BI$1,Results!$G:$H,2,FALSE)),"")</f>
        <v/>
      </c>
      <c r="BJ49" s="2" t="str">
        <f>IFERROR(IFERROR(VLOOKUP($C49&amp;" "&amp;BJ$1,Results!$F:$H,3,FALSE),-VLOOKUP($C49&amp;" "&amp;BJ$1,Results!$G:$H,2,FALSE)),"")</f>
        <v/>
      </c>
      <c r="BK49" s="2" t="str">
        <f>IFERROR(IFERROR(VLOOKUP($C49&amp;" "&amp;BK$1,Results!$F:$H,3,FALSE),-VLOOKUP($C49&amp;" "&amp;BK$1,Results!$G:$H,2,FALSE)),"")</f>
        <v/>
      </c>
      <c r="BL49" s="2" t="str">
        <f>IFERROR(IFERROR(VLOOKUP($C49&amp;" "&amp;BL$1,Results!$F:$H,3,FALSE),-VLOOKUP($C49&amp;" "&amp;BL$1,Results!$G:$H,2,FALSE)),"")</f>
        <v/>
      </c>
      <c r="BM49" s="2" t="str">
        <f>IFERROR(IFERROR(VLOOKUP($C49&amp;" "&amp;BM$1,Results!$F:$H,3,FALSE),-VLOOKUP($C49&amp;" "&amp;BM$1,Results!$G:$H,2,FALSE)),"")</f>
        <v/>
      </c>
      <c r="BN49" s="2" t="str">
        <f>IFERROR(IFERROR(VLOOKUP($C49&amp;" "&amp;BN$1,Results!$F:$H,3,FALSE),-VLOOKUP($C49&amp;" "&amp;BN$1,Results!$G:$H,2,FALSE)),"")</f>
        <v/>
      </c>
      <c r="BO49" s="2">
        <f>IFERROR(IFERROR(VLOOKUP($C49&amp;" "&amp;BO$1,Results!$F:$H,3,FALSE),-VLOOKUP($C49&amp;" "&amp;BO$1,Results!$G:$H,2,FALSE)),"")</f>
        <v>178</v>
      </c>
      <c r="BP49" s="51">
        <f>IFERROR(IFERROR(VLOOKUP($C49&amp;" "&amp;BP$1,Results!$F:$H,3,FALSE),-VLOOKUP($C49&amp;" "&amp;BP$1,Results!$G:$H,2,FALSE)),"")</f>
        <v>45</v>
      </c>
      <c r="BQ49" s="2" t="str">
        <f>IFERROR(IFERROR(VLOOKUP($C49&amp;" "&amp;BQ$1,Results!$F:$H,3,FALSE),-VLOOKUP($C49&amp;" "&amp;BQ$1,Results!$G:$H,2,FALSE)),"")</f>
        <v/>
      </c>
      <c r="BR49" s="56">
        <f>IFERROR(IFERROR(VLOOKUP($C49&amp;" "&amp;BR$1,Results!$F:$H,3,FALSE),-VLOOKUP($C49&amp;" "&amp;BR$1,Results!$G:$H,2,FALSE)),"")</f>
        <v>58</v>
      </c>
      <c r="BS49" s="2">
        <f>IFERROR(IFERROR(VLOOKUP($C49&amp;" "&amp;BS$1,Results!$F:$H,3,FALSE),-VLOOKUP($C49&amp;" "&amp;BS$1,Results!$G:$H,2,FALSE)),"")</f>
        <v>-27</v>
      </c>
      <c r="BT49" s="2">
        <f>IFERROR(IFERROR(VLOOKUP($C49&amp;" "&amp;BT$1,Results!$F:$H,3,FALSE),-VLOOKUP($C49&amp;" "&amp;BT$1,Results!$G:$H,2,FALSE)),"")</f>
        <v>67</v>
      </c>
      <c r="BU49" s="2" t="str">
        <f>IFERROR(IFERROR(VLOOKUP($C49&amp;" "&amp;BU$1,Results!$F:$H,3,FALSE),-VLOOKUP($C49&amp;" "&amp;BU$1,Results!$G:$H,2,FALSE)),"")</f>
        <v/>
      </c>
      <c r="BV49" s="2">
        <f>IFERROR(IFERROR(VLOOKUP($C49&amp;" "&amp;BV$1,Results!$F:$H,3,FALSE),-VLOOKUP($C49&amp;" "&amp;BV$1,Results!$G:$H,2,FALSE)),"")</f>
        <v>1</v>
      </c>
      <c r="BW49" s="82">
        <f t="shared" si="18"/>
        <v>254</v>
      </c>
      <c r="BX49" s="5">
        <f t="shared" si="28"/>
        <v>5</v>
      </c>
      <c r="BY49" s="5">
        <f t="shared" si="19"/>
        <v>0</v>
      </c>
      <c r="BZ49" s="5">
        <f t="shared" si="12"/>
        <v>5</v>
      </c>
      <c r="CA49" s="65">
        <f t="shared" si="20"/>
        <v>1</v>
      </c>
      <c r="CC49" s="8">
        <f t="shared" si="21"/>
        <v>321</v>
      </c>
      <c r="CE49" s="5">
        <v>49</v>
      </c>
      <c r="CF49" s="5">
        <f t="shared" si="22"/>
        <v>41</v>
      </c>
      <c r="CG49" s="5">
        <f t="shared" si="23"/>
        <v>8</v>
      </c>
    </row>
    <row r="50" spans="1:85" ht="12.75" customHeight="1" thickBot="1">
      <c r="A50" s="5">
        <v>46</v>
      </c>
      <c r="B50" s="5">
        <v>47</v>
      </c>
      <c r="C50" s="158" t="s">
        <v>22</v>
      </c>
      <c r="D50" s="5"/>
      <c r="E50" s="5">
        <f>IF(AND(BM50&gt;0,$A50&lt;VLOOKUP(BM$1,$C:$L,10,FALSE)),1,IF(AND(BM50&lt;0,$A50&gt;VLOOKUP(BM$1,$C:$L,10,FALSE)),1,0))</f>
        <v>0</v>
      </c>
      <c r="F50" s="5" t="s">
        <v>157</v>
      </c>
      <c r="G50" s="5">
        <f>IF(AND(BO50&gt;0,$A50&lt;VLOOKUP(BO$1,$C:$L,10,FALSE)),1,IF(AND(BO50&lt;0,$A50&gt;VLOOKUP(BO$1,$C:$L,10,FALSE)),1,0))</f>
        <v>0</v>
      </c>
      <c r="H50" s="5">
        <f>IF(AND(BQ50&gt;0,$A50&lt;VLOOKUP(BQ$1,$C:$L,10,FALSE)),1,IF(AND(BQ50&lt;0,$A50&gt;VLOOKUP(BQ$1,$C:$L,10,FALSE)),1,0))</f>
        <v>0</v>
      </c>
      <c r="I50" s="5">
        <f>IF(AND(BR50&gt;0,$A50&lt;VLOOKUP(BR$1,$C:$L,10,FALSE)),1,IF(AND(BR50&lt;0,$A50&gt;VLOOKUP(BR$1,$C:$L,10,FALSE)),1,0))</f>
        <v>1</v>
      </c>
      <c r="J50" s="5">
        <f>IF(AND(BT50&gt;0,$A50&lt;VLOOKUP(BT$1,$C:$L,10,FALSE)),1,IF(AND(BT50&lt;0,$A50&gt;VLOOKUP(BT$1,$C:$L,10,FALSE)),1,0))</f>
        <v>1</v>
      </c>
      <c r="K50" s="79" t="s">
        <v>134</v>
      </c>
      <c r="L50" s="125">
        <f t="shared" si="16"/>
        <v>47</v>
      </c>
      <c r="M50" s="2">
        <v>12</v>
      </c>
      <c r="N50" s="11">
        <f>COUNTIF($U50:$BU50,"&gt;0")</f>
        <v>4</v>
      </c>
      <c r="O50" s="2">
        <f>COUNTIF($U50:$BV50,"&lt;0")</f>
        <v>2</v>
      </c>
      <c r="P50" s="2">
        <f>COUNTIF($U50:$BV50,"=0")</f>
        <v>0</v>
      </c>
      <c r="Q50" s="12">
        <f>COUNTIF($BP50:$BR50,"&gt;0")</f>
        <v>0</v>
      </c>
      <c r="R50" s="13">
        <f>COUNTIF($BP50:$BR50,"&lt;0")</f>
        <v>2</v>
      </c>
      <c r="S50" s="14">
        <f>COUNTIF($BP50:$BR50,"=0")</f>
        <v>0</v>
      </c>
      <c r="T50" s="2">
        <f t="shared" si="17"/>
        <v>0</v>
      </c>
      <c r="AR50" s="2" t="str">
        <f>IFERROR(IFERROR(VLOOKUP($C50&amp;" "&amp;AR$1,Results!$F:$H,3,FALSE),-VLOOKUP($C50&amp;" "&amp;AR$1,Results!$G:$H,2,FALSE)),"")</f>
        <v/>
      </c>
      <c r="AS50" s="2" t="str">
        <f>IFERROR(IFERROR(VLOOKUP($C50&amp;" "&amp;AS$1,Results!$F:$H,3,FALSE),-VLOOKUP($C50&amp;" "&amp;AS$1,Results!$G:$H,2,FALSE)),"")</f>
        <v/>
      </c>
      <c r="AT50" s="2" t="str">
        <f>IFERROR(IFERROR(VLOOKUP($C50&amp;" "&amp;AT$1,Results!$F:$H,3,FALSE),-VLOOKUP($C50&amp;" "&amp;AT$1,Results!$G:$H,2,FALSE)),"")</f>
        <v/>
      </c>
      <c r="AU50" s="2" t="str">
        <f>IFERROR(IFERROR(VLOOKUP($C50&amp;" "&amp;AU$1,Results!$F:$H,3,FALSE),-VLOOKUP($C50&amp;" "&amp;AU$1,Results!$G:$H,2,FALSE)),"")</f>
        <v/>
      </c>
      <c r="AV50" s="2" t="str">
        <f>IFERROR(IFERROR(VLOOKUP($C50&amp;" "&amp;AV$1,Results!$F:$H,3,FALSE),-VLOOKUP($C50&amp;" "&amp;AV$1,Results!$G:$H,2,FALSE)),"")</f>
        <v/>
      </c>
      <c r="AW50" s="2" t="str">
        <f>IFERROR(IFERROR(VLOOKUP($C50&amp;" "&amp;AW$1,Results!$F:$H,3,FALSE),-VLOOKUP($C50&amp;" "&amp;AW$1,Results!$G:$H,2,FALSE)),"")</f>
        <v/>
      </c>
      <c r="AX50" s="2" t="str">
        <f>IFERROR(IFERROR(VLOOKUP($C50&amp;" "&amp;AX$1,Results!$F:$H,3,FALSE),-VLOOKUP($C50&amp;" "&amp;AX$1,Results!$G:$H,2,FALSE)),"")</f>
        <v/>
      </c>
      <c r="AY50" s="2" t="str">
        <f>IFERROR(IFERROR(VLOOKUP($C50&amp;" "&amp;AY$1,Results!$F:$H,3,FALSE),-VLOOKUP($C50&amp;" "&amp;AY$1,Results!$G:$H,2,FALSE)),"")</f>
        <v/>
      </c>
      <c r="AZ50" s="2" t="str">
        <f>IFERROR(IFERROR(VLOOKUP($C50&amp;" "&amp;AZ$1,Results!$F:$H,3,FALSE),-VLOOKUP($C50&amp;" "&amp;AZ$1,Results!$G:$H,2,FALSE)),"")</f>
        <v/>
      </c>
      <c r="BA50" s="2" t="str">
        <f>IFERROR(IFERROR(VLOOKUP($C50&amp;" "&amp;BA$1,Results!$F:$H,3,FALSE),-VLOOKUP($C50&amp;" "&amp;BA$1,Results!$G:$H,2,FALSE)),"")</f>
        <v/>
      </c>
      <c r="BB50" s="2" t="str">
        <f>IFERROR(IFERROR(VLOOKUP($C50&amp;" "&amp;BB$1,Results!$F:$H,3,FALSE),-VLOOKUP($C50&amp;" "&amp;BB$1,Results!$G:$H,2,FALSE)),"")</f>
        <v/>
      </c>
      <c r="BC50" s="2" t="str">
        <f>IFERROR(IFERROR(VLOOKUP($C50&amp;" "&amp;BC$1,Results!$F:$H,3,FALSE),-VLOOKUP($C50&amp;" "&amp;BC$1,Results!$G:$H,2,FALSE)),"")</f>
        <v/>
      </c>
      <c r="BD50" s="2" t="str">
        <f>IFERROR(IFERROR(VLOOKUP($C50&amp;" "&amp;BD$1,Results!$F:$H,3,FALSE),-VLOOKUP($C50&amp;" "&amp;BD$1,Results!$G:$H,2,FALSE)),"")</f>
        <v/>
      </c>
      <c r="BE50" s="2" t="str">
        <f>IFERROR(IFERROR(VLOOKUP($C50&amp;" "&amp;BE$1,Results!$F:$H,3,FALSE),-VLOOKUP($C50&amp;" "&amp;BE$1,Results!$G:$H,2,FALSE)),"")</f>
        <v/>
      </c>
      <c r="BF50" s="2" t="str">
        <f>IFERROR(IFERROR(VLOOKUP($C50&amp;" "&amp;BF$1,Results!$F:$H,3,FALSE),-VLOOKUP($C50&amp;" "&amp;BF$1,Results!$G:$H,2,FALSE)),"")</f>
        <v/>
      </c>
      <c r="BG50" s="2" t="str">
        <f>IFERROR(IFERROR(VLOOKUP($C50&amp;" "&amp;BG$1,Results!$F:$H,3,FALSE),-VLOOKUP($C50&amp;" "&amp;BG$1,Results!$G:$H,2,FALSE)),"")</f>
        <v/>
      </c>
      <c r="BH50" s="15" t="str">
        <f>IFERROR(IFERROR(VLOOKUP($C50&amp;" "&amp;BH$1,Results!$F:$H,3,FALSE),-VLOOKUP($C50&amp;" "&amp;BH$1,Results!$G:$H,2,FALSE)),"")</f>
        <v/>
      </c>
      <c r="BI50" s="2" t="str">
        <f>IFERROR(IFERROR(VLOOKUP($C50&amp;" "&amp;BI$1,Results!$F:$H,3,FALSE),-VLOOKUP($C50&amp;" "&amp;BI$1,Results!$G:$H,2,FALSE)),"")</f>
        <v/>
      </c>
      <c r="BJ50" s="2" t="str">
        <f>IFERROR(IFERROR(VLOOKUP($C50&amp;" "&amp;BJ$1,Results!$F:$H,3,FALSE),-VLOOKUP($C50&amp;" "&amp;BJ$1,Results!$G:$H,2,FALSE)),"")</f>
        <v/>
      </c>
      <c r="BK50" s="2" t="str">
        <f>IFERROR(IFERROR(VLOOKUP($C50&amp;" "&amp;BK$1,Results!$F:$H,3,FALSE),-VLOOKUP($C50&amp;" "&amp;BK$1,Results!$G:$H,2,FALSE)),"")</f>
        <v/>
      </c>
      <c r="BL50" s="2" t="str">
        <f>IFERROR(IFERROR(VLOOKUP($C50&amp;" "&amp;BL$1,Results!$F:$H,3,FALSE),-VLOOKUP($C50&amp;" "&amp;BL$1,Results!$G:$H,2,FALSE)),"")</f>
        <v/>
      </c>
      <c r="BM50" s="2" t="str">
        <f>IFERROR(IFERROR(VLOOKUP($C50&amp;" "&amp;BM$1,Results!$F:$H,3,FALSE),-VLOOKUP($C50&amp;" "&amp;BM$1,Results!$G:$H,2,FALSE)),"")</f>
        <v/>
      </c>
      <c r="BN50" s="2" t="str">
        <f>IFERROR(IFERROR(VLOOKUP($C50&amp;" "&amp;BN$1,Results!$F:$H,3,FALSE),-VLOOKUP($C50&amp;" "&amp;BN$1,Results!$G:$H,2,FALSE)),"")</f>
        <v/>
      </c>
      <c r="BO50" s="2">
        <f>IFERROR(IFERROR(VLOOKUP($C50&amp;" "&amp;BO$1,Results!$F:$H,3,FALSE),-VLOOKUP($C50&amp;" "&amp;BO$1,Results!$G:$H,2,FALSE)),"")</f>
        <v>42</v>
      </c>
      <c r="BP50" s="52">
        <f>IFERROR(IFERROR(VLOOKUP($C50&amp;" "&amp;BP$1,Results!$F:$H,3,FALSE),-VLOOKUP($C50&amp;" "&amp;BP$1,Results!$G:$H,2,FALSE)),"")</f>
        <v>-96</v>
      </c>
      <c r="BQ50" s="57">
        <f>IFERROR(IFERROR(VLOOKUP($C50&amp;" "&amp;BQ$1,Results!$F:$H,3,FALSE),-VLOOKUP($C50&amp;" "&amp;BQ$1,Results!$G:$H,2,FALSE)),"")</f>
        <v>-58</v>
      </c>
      <c r="BR50" s="58" t="str">
        <f>IFERROR(IFERROR(VLOOKUP($C50&amp;" "&amp;BR$1,Results!$F:$H,3,FALSE),-VLOOKUP($C50&amp;" "&amp;BR$1,Results!$G:$H,2,FALSE)),"")</f>
        <v/>
      </c>
      <c r="BS50" s="2">
        <f>IFERROR(IFERROR(VLOOKUP($C50&amp;" "&amp;BS$1,Results!$F:$H,3,FALSE),-VLOOKUP($C50&amp;" "&amp;BS$1,Results!$G:$H,2,FALSE)),"")</f>
        <v>54</v>
      </c>
      <c r="BT50" s="2">
        <f>IFERROR(IFERROR(VLOOKUP($C50&amp;" "&amp;BT$1,Results!$F:$H,3,FALSE),-VLOOKUP($C50&amp;" "&amp;BT$1,Results!$G:$H,2,FALSE)),"")</f>
        <v>25</v>
      </c>
      <c r="BU50" s="2">
        <f>IFERROR(IFERROR(VLOOKUP($C50&amp;" "&amp;BU$1,Results!$F:$H,3,FALSE),-VLOOKUP($C50&amp;" "&amp;BU$1,Results!$G:$H,2,FALSE)),"")</f>
        <v>133</v>
      </c>
      <c r="BV50" s="2" t="str">
        <f>IFERROR(IFERROR(VLOOKUP($C50&amp;" "&amp;BV$1,Results!$F:$H,3,FALSE),-VLOOKUP($C50&amp;" "&amp;BV$1,Results!$G:$H,2,FALSE)),"")</f>
        <v/>
      </c>
      <c r="BW50" s="82">
        <f t="shared" si="18"/>
        <v>-58</v>
      </c>
      <c r="BX50" s="5">
        <f t="shared" si="28"/>
        <v>2</v>
      </c>
      <c r="BY50" s="5">
        <f t="shared" si="19"/>
        <v>3</v>
      </c>
      <c r="BZ50" s="5">
        <f t="shared" si="12"/>
        <v>5</v>
      </c>
      <c r="CA50" s="65">
        <f t="shared" si="20"/>
        <v>0.4</v>
      </c>
      <c r="CC50" s="8">
        <f t="shared" si="21"/>
        <v>-33</v>
      </c>
      <c r="CE50" s="5">
        <v>46</v>
      </c>
      <c r="CF50" s="5">
        <f t="shared" si="22"/>
        <v>46</v>
      </c>
      <c r="CG50" s="5">
        <f t="shared" si="23"/>
        <v>0</v>
      </c>
    </row>
    <row r="51" spans="1:85" ht="12.75" customHeight="1">
      <c r="A51" s="5">
        <v>47</v>
      </c>
      <c r="B51" s="5">
        <v>48</v>
      </c>
      <c r="C51" s="154" t="s">
        <v>40</v>
      </c>
      <c r="D51" s="5"/>
      <c r="E51" s="5">
        <f>IF(AND(BK51&gt;0,$A51&lt;VLOOKUP(BK$1,$C:$L,10,FALSE)),1,IF(AND(BK51&lt;0,$A51&gt;VLOOKUP(BK$1,$C:$L,10,FALSE)),1,0))</f>
        <v>0</v>
      </c>
      <c r="F51" s="5">
        <f>IF(AND(BN51&gt;0,$A51&lt;VLOOKUP(BN$1,$C:$L,10,FALSE)),1,IF(AND(BN51&lt;0,$A51&gt;VLOOKUP(BN$1,$C:$L,10,FALSE)),1,0))</f>
        <v>1</v>
      </c>
      <c r="G51" s="5">
        <f>IF(AND(BO51&gt;0,$A51&lt;VLOOKUP(BO$1,$C:$L,10,FALSE)),1,IF(AND(BO51&lt;0,$A51&gt;VLOOKUP(BO$1,$C:$L,10,FALSE)),1,0))</f>
        <v>0</v>
      </c>
      <c r="H51" s="5">
        <f>IF(AND(BP51&gt;0,$A51&lt;VLOOKUP(BP$1,$C:$L,10,FALSE)),1,IF(AND(BP51&lt;0,$A51&gt;VLOOKUP(BP$1,$C:$L,10,FALSE)),1,0))</f>
        <v>1</v>
      </c>
      <c r="I51" s="5">
        <f>IF(AND(BS51&gt;0,$A51&lt;VLOOKUP(BS$1,$C:$L,10,FALSE)),1,IF(AND(BS51&lt;0,$A51&gt;VLOOKUP(BS$1,$C:$L,10,FALSE)),1,0))</f>
        <v>1</v>
      </c>
      <c r="J51" s="5" t="s">
        <v>157</v>
      </c>
      <c r="K51" s="79" t="s">
        <v>134</v>
      </c>
      <c r="L51" s="125">
        <f t="shared" si="16"/>
        <v>48</v>
      </c>
      <c r="M51" s="2">
        <v>13</v>
      </c>
      <c r="N51" s="11">
        <f>COUNTIF($U51:$BV51,"&gt;0")</f>
        <v>3</v>
      </c>
      <c r="O51" s="2">
        <f>COUNTIF($U51:$BU51,"&lt;0")</f>
        <v>3</v>
      </c>
      <c r="P51" s="2">
        <f>COUNTIF($U51:$BU51,"=0")</f>
        <v>0</v>
      </c>
      <c r="Q51" s="12">
        <f>COUNTIF($BS51:$BT51,"&gt;0")</f>
        <v>1</v>
      </c>
      <c r="R51" s="13">
        <f>COUNTIF($BS51:$BT51,"&lt;0")</f>
        <v>0</v>
      </c>
      <c r="S51" s="14">
        <f>COUNTIF($BS51:$BU51,"=0")</f>
        <v>0</v>
      </c>
      <c r="T51" s="2">
        <f t="shared" si="17"/>
        <v>0</v>
      </c>
      <c r="AR51" s="2" t="str">
        <f>IFERROR(IFERROR(VLOOKUP($C51&amp;" "&amp;AR$1,Results!$F:$H,3,FALSE),-VLOOKUP($C51&amp;" "&amp;AR$1,Results!$G:$H,2,FALSE)),"")</f>
        <v/>
      </c>
      <c r="AS51" s="2" t="str">
        <f>IFERROR(IFERROR(VLOOKUP($C51&amp;" "&amp;AS$1,Results!$F:$H,3,FALSE),-VLOOKUP($C51&amp;" "&amp;AS$1,Results!$G:$H,2,FALSE)),"")</f>
        <v/>
      </c>
      <c r="AT51" s="2" t="str">
        <f>IFERROR(IFERROR(VLOOKUP($C51&amp;" "&amp;AT$1,Results!$F:$H,3,FALSE),-VLOOKUP($C51&amp;" "&amp;AT$1,Results!$G:$H,2,FALSE)),"")</f>
        <v/>
      </c>
      <c r="AU51" s="2" t="str">
        <f>IFERROR(IFERROR(VLOOKUP($C51&amp;" "&amp;AU$1,Results!$F:$H,3,FALSE),-VLOOKUP($C51&amp;" "&amp;AU$1,Results!$G:$H,2,FALSE)),"")</f>
        <v/>
      </c>
      <c r="AV51" s="2" t="str">
        <f>IFERROR(IFERROR(VLOOKUP($C51&amp;" "&amp;AV$1,Results!$F:$H,3,FALSE),-VLOOKUP($C51&amp;" "&amp;AV$1,Results!$G:$H,2,FALSE)),"")</f>
        <v/>
      </c>
      <c r="AW51" s="2" t="str">
        <f>IFERROR(IFERROR(VLOOKUP($C51&amp;" "&amp;AW$1,Results!$F:$H,3,FALSE),-VLOOKUP($C51&amp;" "&amp;AW$1,Results!$G:$H,2,FALSE)),"")</f>
        <v/>
      </c>
      <c r="AX51" s="2" t="str">
        <f>IFERROR(IFERROR(VLOOKUP($C51&amp;" "&amp;AX$1,Results!$F:$H,3,FALSE),-VLOOKUP($C51&amp;" "&amp;AX$1,Results!$G:$H,2,FALSE)),"")</f>
        <v/>
      </c>
      <c r="AY51" s="2" t="str">
        <f>IFERROR(IFERROR(VLOOKUP($C51&amp;" "&amp;AY$1,Results!$F:$H,3,FALSE),-VLOOKUP($C51&amp;" "&amp;AY$1,Results!$G:$H,2,FALSE)),"")</f>
        <v/>
      </c>
      <c r="AZ51" s="2" t="str">
        <f>IFERROR(IFERROR(VLOOKUP($C51&amp;" "&amp;AZ$1,Results!$F:$H,3,FALSE),-VLOOKUP($C51&amp;" "&amp;AZ$1,Results!$G:$H,2,FALSE)),"")</f>
        <v/>
      </c>
      <c r="BA51" s="2" t="str">
        <f>IFERROR(IFERROR(VLOOKUP($C51&amp;" "&amp;BA$1,Results!$F:$H,3,FALSE),-VLOOKUP($C51&amp;" "&amp;BA$1,Results!$G:$H,2,FALSE)),"")</f>
        <v/>
      </c>
      <c r="BB51" s="2" t="str">
        <f>IFERROR(IFERROR(VLOOKUP($C51&amp;" "&amp;BB$1,Results!$F:$H,3,FALSE),-VLOOKUP($C51&amp;" "&amp;BB$1,Results!$G:$H,2,FALSE)),"")</f>
        <v/>
      </c>
      <c r="BC51" s="2" t="str">
        <f>IFERROR(IFERROR(VLOOKUP($C51&amp;" "&amp;BC$1,Results!$F:$H,3,FALSE),-VLOOKUP($C51&amp;" "&amp;BC$1,Results!$G:$H,2,FALSE)),"")</f>
        <v/>
      </c>
      <c r="BD51" s="2" t="str">
        <f>IFERROR(IFERROR(VLOOKUP($C51&amp;" "&amp;BD$1,Results!$F:$H,3,FALSE),-VLOOKUP($C51&amp;" "&amp;BD$1,Results!$G:$H,2,FALSE)),"")</f>
        <v/>
      </c>
      <c r="BE51" s="2" t="str">
        <f>IFERROR(IFERROR(VLOOKUP($C51&amp;" "&amp;BE$1,Results!$F:$H,3,FALSE),-VLOOKUP($C51&amp;" "&amp;BE$1,Results!$G:$H,2,FALSE)),"")</f>
        <v/>
      </c>
      <c r="BF51" s="2" t="str">
        <f>IFERROR(IFERROR(VLOOKUP($C51&amp;" "&amp;BF$1,Results!$F:$H,3,FALSE),-VLOOKUP($C51&amp;" "&amp;BF$1,Results!$G:$H,2,FALSE)),"")</f>
        <v/>
      </c>
      <c r="BG51" s="2" t="str">
        <f>IFERROR(IFERROR(VLOOKUP($C51&amp;" "&amp;BG$1,Results!$F:$H,3,FALSE),-VLOOKUP($C51&amp;" "&amp;BG$1,Results!$G:$H,2,FALSE)),"")</f>
        <v/>
      </c>
      <c r="BH51" s="15" t="str">
        <f>IFERROR(IFERROR(VLOOKUP($C51&amp;" "&amp;BH$1,Results!$F:$H,3,FALSE),-VLOOKUP($C51&amp;" "&amp;BH$1,Results!$G:$H,2,FALSE)),"")</f>
        <v/>
      </c>
      <c r="BI51" s="2" t="str">
        <f>IFERROR(IFERROR(VLOOKUP($C51&amp;" "&amp;BI$1,Results!$F:$H,3,FALSE),-VLOOKUP($C51&amp;" "&amp;BI$1,Results!$G:$H,2,FALSE)),"")</f>
        <v/>
      </c>
      <c r="BJ51" s="2" t="str">
        <f>IFERROR(IFERROR(VLOOKUP($C51&amp;" "&amp;BJ$1,Results!$F:$H,3,FALSE),-VLOOKUP($C51&amp;" "&amp;BJ$1,Results!$G:$H,2,FALSE)),"")</f>
        <v/>
      </c>
      <c r="BK51" s="2" t="str">
        <f>IFERROR(IFERROR(VLOOKUP($C51&amp;" "&amp;BK$1,Results!$F:$H,3,FALSE),-VLOOKUP($C51&amp;" "&amp;BK$1,Results!$G:$H,2,FALSE)),"")</f>
        <v/>
      </c>
      <c r="BL51" s="2" t="str">
        <f>IFERROR(IFERROR(VLOOKUP($C51&amp;" "&amp;BL$1,Results!$F:$H,3,FALSE),-VLOOKUP($C51&amp;" "&amp;BL$1,Results!$G:$H,2,FALSE)),"")</f>
        <v/>
      </c>
      <c r="BM51" s="2" t="str">
        <f>IFERROR(IFERROR(VLOOKUP($C51&amp;" "&amp;BM$1,Results!$F:$H,3,FALSE),-VLOOKUP($C51&amp;" "&amp;BM$1,Results!$G:$H,2,FALSE)),"")</f>
        <v/>
      </c>
      <c r="BN51" s="2">
        <f>IFERROR(IFERROR(VLOOKUP($C51&amp;" "&amp;BN$1,Results!$F:$H,3,FALSE),-VLOOKUP($C51&amp;" "&amp;BN$1,Results!$G:$H,2,FALSE)),"")</f>
        <v>-69</v>
      </c>
      <c r="BO51" s="2" t="str">
        <f>IFERROR(IFERROR(VLOOKUP($C51&amp;" "&amp;BO$1,Results!$F:$H,3,FALSE),-VLOOKUP($C51&amp;" "&amp;BO$1,Results!$G:$H,2,FALSE)),"")</f>
        <v/>
      </c>
      <c r="BP51" s="2">
        <f>IFERROR(IFERROR(VLOOKUP($C51&amp;" "&amp;BP$1,Results!$F:$H,3,FALSE),-VLOOKUP($C51&amp;" "&amp;BP$1,Results!$G:$H,2,FALSE)),"")</f>
        <v>-60</v>
      </c>
      <c r="BQ51" s="2">
        <f>IFERROR(IFERROR(VLOOKUP($C51&amp;" "&amp;BQ$1,Results!$F:$H,3,FALSE),-VLOOKUP($C51&amp;" "&amp;BQ$1,Results!$G:$H,2,FALSE)),"")</f>
        <v>27</v>
      </c>
      <c r="BR51" s="2">
        <f>IFERROR(IFERROR(VLOOKUP($C51&amp;" "&amp;BR$1,Results!$F:$H,3,FALSE),-VLOOKUP($C51&amp;" "&amp;BR$1,Results!$G:$H,2,FALSE)),"")</f>
        <v>-54</v>
      </c>
      <c r="BS51" s="35" t="str">
        <f>IFERROR(IFERROR(VLOOKUP($C51&amp;" "&amp;BS$1,Results!$F:$H,3,FALSE),-VLOOKUP($C51&amp;" "&amp;BS$1,Results!$G:$H,2,FALSE)),"")</f>
        <v/>
      </c>
      <c r="BT51" s="55">
        <f>IFERROR(IFERROR(VLOOKUP($C51&amp;" "&amp;BT$1,Results!$F:$H,3,FALSE),-VLOOKUP($C51&amp;" "&amp;BT$1,Results!$G:$H,2,FALSE)),"")</f>
        <v>38</v>
      </c>
      <c r="BU51" s="2">
        <f>IFERROR(IFERROR(VLOOKUP($C51&amp;" "&amp;BU$1,Results!$F:$H,3,FALSE),-VLOOKUP($C51&amp;" "&amp;BU$1,Results!$G:$H,2,FALSE)),"")</f>
        <v>272</v>
      </c>
      <c r="BV51" s="2" t="str">
        <f>IFERROR(IFERROR(VLOOKUP($C51&amp;" "&amp;BV$1,Results!$F:$H,3,FALSE),-VLOOKUP($C51&amp;" "&amp;BV$1,Results!$G:$H,2,FALSE)),"")</f>
        <v/>
      </c>
      <c r="BW51" s="82">
        <f t="shared" si="18"/>
        <v>-156</v>
      </c>
      <c r="BX51" s="5">
        <f>COUNTIF(F51:J51,1)</f>
        <v>3</v>
      </c>
      <c r="BY51" s="5">
        <f t="shared" si="19"/>
        <v>2</v>
      </c>
      <c r="BZ51" s="5">
        <f t="shared" si="12"/>
        <v>5</v>
      </c>
      <c r="CA51" s="65">
        <f t="shared" si="20"/>
        <v>0.6</v>
      </c>
      <c r="CC51" s="8">
        <f t="shared" si="21"/>
        <v>-118</v>
      </c>
      <c r="CE51" s="5">
        <v>43</v>
      </c>
      <c r="CF51" s="5">
        <f t="shared" si="22"/>
        <v>47</v>
      </c>
      <c r="CG51" s="5">
        <f t="shared" si="23"/>
        <v>-4</v>
      </c>
    </row>
    <row r="52" spans="1:85" ht="13.5" thickBot="1">
      <c r="A52" s="5">
        <v>49</v>
      </c>
      <c r="B52" s="5">
        <v>49</v>
      </c>
      <c r="C52" s="162" t="s">
        <v>100</v>
      </c>
      <c r="D52" s="38"/>
      <c r="E52" s="5">
        <f>IF(AND(BN52&gt;0,$A52&lt;VLOOKUP(BN$1,$C:$L,10,FALSE)),1,IF(AND(BN52&lt;0,$A52&gt;VLOOKUP(BN$1,$C:$L,10,FALSE)),1,0))</f>
        <v>0</v>
      </c>
      <c r="F52" s="5">
        <f>IF(AND(BO52&gt;0,$A52&lt;VLOOKUP(BO$1,$C:$L,10,FALSE)),1,IF(AND(BO52&lt;0,$A52&gt;VLOOKUP(BO$1,$C:$L,10,FALSE)),1,0))</f>
        <v>0</v>
      </c>
      <c r="G52" s="5">
        <f>IF(AND(BP52&gt;0,$A52&lt;VLOOKUP(BP$1,$C:$L,10,FALSE)),1,IF(AND(BP52&lt;0,$A52&gt;VLOOKUP(BP$1,$C:$L,10,FALSE)),1,0))</f>
        <v>1</v>
      </c>
      <c r="H52" s="5">
        <f>IF(AND(BR52&gt;0,$A52&lt;VLOOKUP(BR$1,$C:$L,10,FALSE)),1,IF(AND(BR52&lt;0,$A52&gt;VLOOKUP(BR$1,$C:$L,10,FALSE)),1,0))</f>
        <v>1</v>
      </c>
      <c r="I52" s="5">
        <f>IF(AND(BS52&gt;0,$A52&lt;VLOOKUP(BS$1,$C:$L,10,FALSE)),1,IF(AND(BS52&lt;0,$A52&gt;VLOOKUP(BS$1,$C:$L,10,FALSE)),1,0))</f>
        <v>1</v>
      </c>
      <c r="J52" s="5" t="s">
        <v>157</v>
      </c>
      <c r="K52" s="79" t="s">
        <v>134</v>
      </c>
      <c r="L52" s="125">
        <f t="shared" si="16"/>
        <v>49</v>
      </c>
      <c r="M52" s="2">
        <v>13</v>
      </c>
      <c r="N52" s="11">
        <f>COUNTIF($U52:$BV52,"&gt;0")</f>
        <v>1</v>
      </c>
      <c r="O52" s="2">
        <f>COUNTIF($U52:$BV52,"&lt;0")</f>
        <v>4</v>
      </c>
      <c r="P52" s="2">
        <f>COUNTIF($U52:$BV52,"=0")</f>
        <v>0</v>
      </c>
      <c r="Q52" s="12">
        <f>COUNTIF($BS52:$BU52,"&gt;0")</f>
        <v>0</v>
      </c>
      <c r="R52" s="13">
        <f>COUNTIF($BS52:$BU52,"&lt;0")</f>
        <v>1</v>
      </c>
      <c r="S52" s="14">
        <f>COUNTIF($BS52:$BT52,"=0")</f>
        <v>0</v>
      </c>
      <c r="T52" s="2">
        <f t="shared" si="17"/>
        <v>0</v>
      </c>
      <c r="AR52" s="2" t="str">
        <f>IFERROR(IFERROR(VLOOKUP($C52&amp;" "&amp;AR$1,Results!$F:$H,3,FALSE),-VLOOKUP($C52&amp;" "&amp;AR$1,Results!$G:$H,2,FALSE)),"")</f>
        <v/>
      </c>
      <c r="AS52" s="2" t="str">
        <f>IFERROR(IFERROR(VLOOKUP($C52&amp;" "&amp;AS$1,Results!$F:$H,3,FALSE),-VLOOKUP($C52&amp;" "&amp;AS$1,Results!$G:$H,2,FALSE)),"")</f>
        <v/>
      </c>
      <c r="AT52" s="2" t="str">
        <f>IFERROR(IFERROR(VLOOKUP($C52&amp;" "&amp;AT$1,Results!$F:$H,3,FALSE),-VLOOKUP($C52&amp;" "&amp;AT$1,Results!$G:$H,2,FALSE)),"")</f>
        <v/>
      </c>
      <c r="AU52" s="2" t="str">
        <f>IFERROR(IFERROR(VLOOKUP($C52&amp;" "&amp;AU$1,Results!$F:$H,3,FALSE),-VLOOKUP($C52&amp;" "&amp;AU$1,Results!$G:$H,2,FALSE)),"")</f>
        <v/>
      </c>
      <c r="AV52" s="2" t="str">
        <f>IFERROR(IFERROR(VLOOKUP($C52&amp;" "&amp;AV$1,Results!$F:$H,3,FALSE),-VLOOKUP($C52&amp;" "&amp;AV$1,Results!$G:$H,2,FALSE)),"")</f>
        <v/>
      </c>
      <c r="AW52" s="2" t="str">
        <f>IFERROR(IFERROR(VLOOKUP($C52&amp;" "&amp;AW$1,Results!$F:$H,3,FALSE),-VLOOKUP($C52&amp;" "&amp;AW$1,Results!$G:$H,2,FALSE)),"")</f>
        <v/>
      </c>
      <c r="AX52" s="2" t="str">
        <f>IFERROR(IFERROR(VLOOKUP($C52&amp;" "&amp;AX$1,Results!$F:$H,3,FALSE),-VLOOKUP($C52&amp;" "&amp;AX$1,Results!$G:$H,2,FALSE)),"")</f>
        <v/>
      </c>
      <c r="AY52" s="2" t="str">
        <f>IFERROR(IFERROR(VLOOKUP($C52&amp;" "&amp;AY$1,Results!$F:$H,3,FALSE),-VLOOKUP($C52&amp;" "&amp;AY$1,Results!$G:$H,2,FALSE)),"")</f>
        <v/>
      </c>
      <c r="AZ52" s="2" t="str">
        <f>IFERROR(IFERROR(VLOOKUP($C52&amp;" "&amp;AZ$1,Results!$F:$H,3,FALSE),-VLOOKUP($C52&amp;" "&amp;AZ$1,Results!$G:$H,2,FALSE)),"")</f>
        <v/>
      </c>
      <c r="BA52" s="2" t="str">
        <f>IFERROR(IFERROR(VLOOKUP($C52&amp;" "&amp;BA$1,Results!$F:$H,3,FALSE),-VLOOKUP($C52&amp;" "&amp;BA$1,Results!$G:$H,2,FALSE)),"")</f>
        <v/>
      </c>
      <c r="BB52" s="2" t="str">
        <f>IFERROR(IFERROR(VLOOKUP($C52&amp;" "&amp;BB$1,Results!$F:$H,3,FALSE),-VLOOKUP($C52&amp;" "&amp;BB$1,Results!$G:$H,2,FALSE)),"")</f>
        <v/>
      </c>
      <c r="BC52" s="2" t="str">
        <f>IFERROR(IFERROR(VLOOKUP($C52&amp;" "&amp;BC$1,Results!$F:$H,3,FALSE),-VLOOKUP($C52&amp;" "&amp;BC$1,Results!$G:$H,2,FALSE)),"")</f>
        <v/>
      </c>
      <c r="BD52" s="2" t="str">
        <f>IFERROR(IFERROR(VLOOKUP($C52&amp;" "&amp;BD$1,Results!$F:$H,3,FALSE),-VLOOKUP($C52&amp;" "&amp;BD$1,Results!$G:$H,2,FALSE)),"")</f>
        <v/>
      </c>
      <c r="BE52" s="2" t="str">
        <f>IFERROR(IFERROR(VLOOKUP($C52&amp;" "&amp;BE$1,Results!$F:$H,3,FALSE),-VLOOKUP($C52&amp;" "&amp;BE$1,Results!$G:$H,2,FALSE)),"")</f>
        <v/>
      </c>
      <c r="BF52" s="2" t="str">
        <f>IFERROR(IFERROR(VLOOKUP($C52&amp;" "&amp;BF$1,Results!$F:$H,3,FALSE),-VLOOKUP($C52&amp;" "&amp;BF$1,Results!$G:$H,2,FALSE)),"")</f>
        <v/>
      </c>
      <c r="BG52" s="2" t="str">
        <f>IFERROR(IFERROR(VLOOKUP($C52&amp;" "&amp;BG$1,Results!$F:$H,3,FALSE),-VLOOKUP($C52&amp;" "&amp;BG$1,Results!$G:$H,2,FALSE)),"")</f>
        <v/>
      </c>
      <c r="BH52" s="15" t="str">
        <f>IFERROR(IFERROR(VLOOKUP($C52&amp;" "&amp;BH$1,Results!$F:$H,3,FALSE),-VLOOKUP($C52&amp;" "&amp;BH$1,Results!$G:$H,2,FALSE)),"")</f>
        <v/>
      </c>
      <c r="BI52" s="2" t="str">
        <f>IFERROR(IFERROR(VLOOKUP($C52&amp;" "&amp;BI$1,Results!$F:$H,3,FALSE),-VLOOKUP($C52&amp;" "&amp;BI$1,Results!$G:$H,2,FALSE)),"")</f>
        <v/>
      </c>
      <c r="BJ52" s="2" t="str">
        <f>IFERROR(IFERROR(VLOOKUP($C52&amp;" "&amp;BJ$1,Results!$F:$H,3,FALSE),-VLOOKUP($C52&amp;" "&amp;BJ$1,Results!$G:$H,2,FALSE)),"")</f>
        <v/>
      </c>
      <c r="BK52" s="2" t="str">
        <f>IFERROR(IFERROR(VLOOKUP($C52&amp;" "&amp;BK$1,Results!$F:$H,3,FALSE),-VLOOKUP($C52&amp;" "&amp;BK$1,Results!$G:$H,2,FALSE)),"")</f>
        <v/>
      </c>
      <c r="BL52" s="2" t="str">
        <f>IFERROR(IFERROR(VLOOKUP($C52&amp;" "&amp;BL$1,Results!$F:$H,3,FALSE),-VLOOKUP($C52&amp;" "&amp;BL$1,Results!$G:$H,2,FALSE)),"")</f>
        <v/>
      </c>
      <c r="BM52" s="2">
        <f>IFERROR(IFERROR(VLOOKUP($C52&amp;" "&amp;BM$1,Results!$F:$H,3,FALSE),-VLOOKUP($C52&amp;" "&amp;BM$1,Results!$G:$H,2,FALSE)),"")</f>
        <v>51</v>
      </c>
      <c r="BN52" s="2" t="str">
        <f>IFERROR(IFERROR(VLOOKUP($C52&amp;" "&amp;BN$1,Results!$F:$H,3,FALSE),-VLOOKUP($C52&amp;" "&amp;BN$1,Results!$G:$H,2,FALSE)),"")</f>
        <v/>
      </c>
      <c r="BO52" s="2" t="str">
        <f>IFERROR(IFERROR(VLOOKUP($C52&amp;" "&amp;BO$1,Results!$F:$H,3,FALSE),-VLOOKUP($C52&amp;" "&amp;BO$1,Results!$G:$H,2,FALSE)),"")</f>
        <v/>
      </c>
      <c r="BP52" s="2">
        <f>IFERROR(IFERROR(VLOOKUP($C52&amp;" "&amp;BP$1,Results!$F:$H,3,FALSE),-VLOOKUP($C52&amp;" "&amp;BP$1,Results!$G:$H,2,FALSE)),"")</f>
        <v>-170</v>
      </c>
      <c r="BQ52" s="2">
        <f>IFERROR(IFERROR(VLOOKUP($C52&amp;" "&amp;BQ$1,Results!$F:$H,3,FALSE),-VLOOKUP($C52&amp;" "&amp;BQ$1,Results!$G:$H,2,FALSE)),"")</f>
        <v>-67</v>
      </c>
      <c r="BR52" s="2">
        <f>IFERROR(IFERROR(VLOOKUP($C52&amp;" "&amp;BR$1,Results!$F:$H,3,FALSE),-VLOOKUP($C52&amp;" "&amp;BR$1,Results!$G:$H,2,FALSE)),"")</f>
        <v>-25</v>
      </c>
      <c r="BS52" s="52">
        <f>IFERROR(IFERROR(VLOOKUP($C52&amp;" "&amp;BS$1,Results!$F:$H,3,FALSE),-VLOOKUP($C52&amp;" "&amp;BS$1,Results!$G:$H,2,FALSE)),"")</f>
        <v>-38</v>
      </c>
      <c r="BT52" s="58" t="str">
        <f>IFERROR(IFERROR(VLOOKUP($C52&amp;" "&amp;BT$1,Results!$F:$H,3,FALSE),-VLOOKUP($C52&amp;" "&amp;BT$1,Results!$G:$H,2,FALSE)),"")</f>
        <v/>
      </c>
      <c r="BU52" s="2" t="str">
        <f>IFERROR(IFERROR(VLOOKUP($C52&amp;" "&amp;BU$1,Results!$F:$H,3,FALSE),-VLOOKUP($C52&amp;" "&amp;BU$1,Results!$G:$H,2,FALSE)),"")</f>
        <v/>
      </c>
      <c r="BV52" s="2" t="str">
        <f>IFERROR(IFERROR(VLOOKUP($C52&amp;" "&amp;BV$1,Results!$F:$H,3,FALSE),-VLOOKUP($C52&amp;" "&amp;BV$1,Results!$G:$H,2,FALSE)),"")</f>
        <v/>
      </c>
      <c r="BW52" s="82">
        <f t="shared" si="18"/>
        <v>-249</v>
      </c>
      <c r="BX52" s="5">
        <f>COUNTIF(E52:J52,1)</f>
        <v>3</v>
      </c>
      <c r="BY52" s="5">
        <f t="shared" si="19"/>
        <v>2</v>
      </c>
      <c r="BZ52" s="5">
        <f t="shared" si="12"/>
        <v>5</v>
      </c>
      <c r="CA52" s="65">
        <f t="shared" si="20"/>
        <v>0.6</v>
      </c>
      <c r="CC52" s="8">
        <f t="shared" si="21"/>
        <v>-249</v>
      </c>
      <c r="CE52" s="5">
        <v>50</v>
      </c>
      <c r="CF52" s="5">
        <f t="shared" si="22"/>
        <v>49</v>
      </c>
      <c r="CG52" s="5">
        <f t="shared" si="23"/>
        <v>1</v>
      </c>
    </row>
    <row r="53" spans="1:85">
      <c r="A53" s="5">
        <v>50</v>
      </c>
      <c r="B53" s="5">
        <v>50</v>
      </c>
      <c r="C53" s="10" t="s">
        <v>276</v>
      </c>
      <c r="D53" s="5"/>
      <c r="E53" s="5">
        <f t="shared" ref="E53:G54" si="29">IF(AND(AN53&gt;0,$A53&lt;VLOOKUP(AN$1,$C:$L,10,FALSE)),1,IF(AND(AN53&lt;0,$A53&gt;VLOOKUP(AN$1,$C:$L,10,FALSE)),1,0))</f>
        <v>0</v>
      </c>
      <c r="F53" s="5">
        <f t="shared" si="29"/>
        <v>0</v>
      </c>
      <c r="G53" s="5">
        <f t="shared" si="29"/>
        <v>0</v>
      </c>
      <c r="H53" s="5">
        <f t="shared" ref="H53:J54" si="30">IF(AND(AR53&gt;0,$A53&lt;VLOOKUP(AR$1,$C:$L,10,FALSE)),1,IF(AND(AR53&lt;0,$A53&gt;VLOOKUP(AR$1,$C:$L,10,FALSE)),1,0))</f>
        <v>0</v>
      </c>
      <c r="I53" s="5">
        <f t="shared" si="30"/>
        <v>0</v>
      </c>
      <c r="J53" s="5">
        <f t="shared" si="30"/>
        <v>0</v>
      </c>
      <c r="K53" s="79" t="s">
        <v>134</v>
      </c>
      <c r="L53" s="125">
        <f t="shared" si="16"/>
        <v>50</v>
      </c>
      <c r="M53" s="2">
        <v>14</v>
      </c>
      <c r="N53" s="11">
        <f>COUNTIF($U53:$BT53,"&gt;0")</f>
        <v>0</v>
      </c>
      <c r="O53" s="2">
        <f>COUNTIF($U53:$BT53,"&lt;0")</f>
        <v>3</v>
      </c>
      <c r="P53" s="2">
        <f>COUNTIF($U53:$BT53,"=0")</f>
        <v>0</v>
      </c>
      <c r="Q53" s="12">
        <f>COUNTIF($AN53:$AQ53,"&gt;0")</f>
        <v>0</v>
      </c>
      <c r="R53" s="13">
        <f>COUNTIF($AN53:$AQ53,"&lt;0")</f>
        <v>0</v>
      </c>
      <c r="S53" s="14">
        <f>COUNTIF($AN53:$AQ53,"=0")</f>
        <v>0</v>
      </c>
      <c r="T53" s="2">
        <f t="shared" si="17"/>
        <v>0</v>
      </c>
      <c r="U53" s="2"/>
      <c r="V53" s="2"/>
      <c r="W53" s="2"/>
      <c r="AF53" s="2" t="str">
        <f>IFERROR(IFERROR(VLOOKUP($C53&amp;" "&amp;AF$1,Results!$F:$H,3,FALSE),-VLOOKUP($C53&amp;" "&amp;AF$1,Results!$G:$H,2,FALSE)),"")</f>
        <v/>
      </c>
      <c r="AG53" s="2" t="str">
        <f>IFERROR(IFERROR(VLOOKUP($C53&amp;" "&amp;AG$1,Results!$F:$H,3,FALSE),-VLOOKUP($C53&amp;" "&amp;AG$1,Results!$G:$H,2,FALSE)),"")</f>
        <v/>
      </c>
      <c r="AH53" s="2" t="str">
        <f>IFERROR(IFERROR(VLOOKUP($C53&amp;" "&amp;AH$1,Results!$F:$H,3,FALSE),-VLOOKUP($C53&amp;" "&amp;AH$1,Results!$G:$H,2,FALSE)),"")</f>
        <v/>
      </c>
      <c r="AI53" s="2" t="str">
        <f>IFERROR(IFERROR(VLOOKUP($C53&amp;" "&amp;AI$1,Results!$F:$H,3,FALSE),-VLOOKUP($C53&amp;" "&amp;AI$1,Results!$G:$H,2,FALSE)),"")</f>
        <v/>
      </c>
      <c r="AJ53" s="2" t="str">
        <f>IFERROR(IFERROR(VLOOKUP($C53&amp;" "&amp;AJ$1,Results!$F:$H,3,FALSE),-VLOOKUP($C53&amp;" "&amp;AJ$1,Results!$G:$H,2,FALSE)),"")</f>
        <v/>
      </c>
      <c r="AK53" s="2" t="str">
        <f>IFERROR(IFERROR(VLOOKUP($C53&amp;" "&amp;AK$1,Results!$F:$H,3,FALSE),-VLOOKUP($C53&amp;" "&amp;AK$1,Results!$G:$H,2,FALSE)),"")</f>
        <v/>
      </c>
      <c r="AL53" s="2" t="str">
        <f>IFERROR(IFERROR(VLOOKUP($C53&amp;" "&amp;AL$1,Results!$F:$H,3,FALSE),-VLOOKUP($C53&amp;" "&amp;AL$1,Results!$G:$H,2,FALSE)),"")</f>
        <v/>
      </c>
      <c r="AM53" s="2" t="str">
        <f>IFERROR(IFERROR(VLOOKUP($C53&amp;" "&amp;AM$1,Results!$F:$H,3,FALSE),-VLOOKUP($C53&amp;" "&amp;AM$1,Results!$G:$H,2,FALSE)),"")</f>
        <v/>
      </c>
      <c r="AN53" s="19" t="str">
        <f>IFERROR(IFERROR(VLOOKUP($C53&amp;" "&amp;AN$1,Results!$F:$H,3,FALSE),-VLOOKUP($C53&amp;" "&amp;AN$1,Results!$G:$H,2,FALSE)),"")</f>
        <v/>
      </c>
      <c r="AO53" s="19" t="str">
        <f>IFERROR(IFERROR(VLOOKUP($C53&amp;" "&amp;AO$1,Results!$F:$H,3,FALSE),-VLOOKUP($C53&amp;" "&amp;AO$1,Results!$G:$H,2,FALSE)),"")</f>
        <v/>
      </c>
      <c r="AP53" s="19" t="str">
        <f>IFERROR(IFERROR(VLOOKUP($C53&amp;" "&amp;AP$1,Results!$F:$H,3,FALSE),-VLOOKUP($C53&amp;" "&amp;AP$1,Results!$G:$H,2,FALSE)),"")</f>
        <v/>
      </c>
      <c r="AQ53" s="19" t="str">
        <f>IFERROR(IFERROR(VLOOKUP($C53&amp;" "&amp;AQ$1,Results!$F:$H,3,FALSE),-VLOOKUP($C53&amp;" "&amp;AQ$1,Results!$G:$H,2,FALSE)),"")</f>
        <v/>
      </c>
      <c r="AR53" s="2" t="str">
        <f>IFERROR(IFERROR(VLOOKUP($C53&amp;" "&amp;AR$1,Results!$F:$H,3,FALSE),-VLOOKUP($C53&amp;" "&amp;AR$1,Results!$G:$H,2,FALSE)),"")</f>
        <v/>
      </c>
      <c r="AS53" s="2" t="str">
        <f>IFERROR(IFERROR(VLOOKUP($C53&amp;" "&amp;AS$1,Results!$F:$H,3,FALSE),-VLOOKUP($C53&amp;" "&amp;AS$1,Results!$G:$H,2,FALSE)),"")</f>
        <v/>
      </c>
      <c r="AT53" s="2" t="str">
        <f>IFERROR(IFERROR(VLOOKUP($C53&amp;" "&amp;AT$1,Results!$F:$H,3,FALSE),-VLOOKUP($C53&amp;" "&amp;AT$1,Results!$G:$H,2,FALSE)),"")</f>
        <v/>
      </c>
      <c r="AU53" s="2" t="str">
        <f>IFERROR(IFERROR(VLOOKUP($C53&amp;" "&amp;AU$1,Results!$F:$H,3,FALSE),-VLOOKUP($C53&amp;" "&amp;AU$1,Results!$G:$H,2,FALSE)),"")</f>
        <v/>
      </c>
      <c r="AV53" s="2" t="str">
        <f>IFERROR(IFERROR(VLOOKUP($C53&amp;" "&amp;AV$1,Results!$F:$H,3,FALSE),-VLOOKUP($C53&amp;" "&amp;AV$1,Results!$G:$H,2,FALSE)),"")</f>
        <v/>
      </c>
      <c r="AW53" s="2" t="str">
        <f>IFERROR(IFERROR(VLOOKUP($C53&amp;" "&amp;AW$1,Results!$F:$H,3,FALSE),-VLOOKUP($C53&amp;" "&amp;AW$1,Results!$G:$H,2,FALSE)),"")</f>
        <v/>
      </c>
      <c r="AX53" s="2" t="str">
        <f>IFERROR(IFERROR(VLOOKUP($C53&amp;" "&amp;AX$1,Results!$F:$H,3,FALSE),-VLOOKUP($C53&amp;" "&amp;AX$1,Results!$G:$H,2,FALSE)),"")</f>
        <v/>
      </c>
      <c r="AY53" s="2" t="str">
        <f>IFERROR(IFERROR(VLOOKUP($C53&amp;" "&amp;AY$1,Results!$F:$H,3,FALSE),-VLOOKUP($C53&amp;" "&amp;AY$1,Results!$G:$H,2,FALSE)),"")</f>
        <v/>
      </c>
      <c r="AZ53" s="2" t="str">
        <f>IFERROR(IFERROR(VLOOKUP($C53&amp;" "&amp;AZ$1,Results!$F:$H,3,FALSE),-VLOOKUP($C53&amp;" "&amp;AZ$1,Results!$G:$H,2,FALSE)),"")</f>
        <v/>
      </c>
      <c r="BA53" s="2" t="str">
        <f>IFERROR(IFERROR(VLOOKUP($C53&amp;" "&amp;BA$1,Results!$F:$H,3,FALSE),-VLOOKUP($C53&amp;" "&amp;BA$1,Results!$G:$H,2,FALSE)),"")</f>
        <v/>
      </c>
      <c r="BB53" s="2" t="str">
        <f>IFERROR(IFERROR(VLOOKUP($C53&amp;" "&amp;BB$1,Results!$F:$H,3,FALSE),-VLOOKUP($C53&amp;" "&amp;BB$1,Results!$G:$H,2,FALSE)),"")</f>
        <v/>
      </c>
      <c r="BC53" s="2" t="str">
        <f>IFERROR(IFERROR(VLOOKUP($C53&amp;" "&amp;BC$1,Results!$F:$H,3,FALSE),-VLOOKUP($C53&amp;" "&amp;BC$1,Results!$G:$H,2,FALSE)),"")</f>
        <v/>
      </c>
      <c r="BG53" s="2"/>
      <c r="BH53" s="2"/>
      <c r="BI53" s="15"/>
      <c r="BJ53" s="15"/>
      <c r="BK53" s="15"/>
      <c r="BL53" s="2" t="str">
        <f>IFERROR(IFERROR(VLOOKUP($C53&amp;" "&amp;BL$1,Results!$F:$H,3,FALSE),-VLOOKUP($C53&amp;" "&amp;BL$1,Results!$G:$H,2,FALSE)),"")</f>
        <v/>
      </c>
      <c r="BM53" s="2" t="str">
        <f>IFERROR(IFERROR(VLOOKUP($C53&amp;" "&amp;BM$1,Results!$F:$H,3,FALSE),-VLOOKUP($C53&amp;" "&amp;BM$1,Results!$G:$H,2,FALSE)),"")</f>
        <v/>
      </c>
      <c r="BN53" s="2" t="str">
        <f>IFERROR(IFERROR(VLOOKUP($C53&amp;" "&amp;BN$1,Results!$F:$H,3,FALSE),-VLOOKUP($C53&amp;" "&amp;BN$1,Results!$G:$H,2,FALSE)),"")</f>
        <v/>
      </c>
      <c r="BO53" s="2" t="str">
        <f>IFERROR(IFERROR(VLOOKUP($C53&amp;" "&amp;BO$1,Results!$F:$H,3,FALSE),-VLOOKUP($C53&amp;" "&amp;BO$1,Results!$G:$H,2,FALSE)),"")</f>
        <v/>
      </c>
      <c r="BP53" s="2">
        <f>IFERROR(IFERROR(VLOOKUP($C53&amp;" "&amp;BP$1,Results!$F:$H,3,FALSE),-VLOOKUP($C53&amp;" "&amp;BP$1,Results!$G:$H,2,FALSE)),"")</f>
        <v>-301</v>
      </c>
      <c r="BQ53" s="2" t="str">
        <f>IFERROR(IFERROR(VLOOKUP($C53&amp;" "&amp;BQ$1,Results!$F:$H,3,FALSE),-VLOOKUP($C53&amp;" "&amp;BQ$1,Results!$G:$H,2,FALSE)),"")</f>
        <v/>
      </c>
      <c r="BR53" s="2">
        <f>IFERROR(IFERROR(VLOOKUP($C53&amp;" "&amp;BR$1,Results!$F:$H,3,FALSE),-VLOOKUP($C53&amp;" "&amp;BR$1,Results!$G:$H,2,FALSE)),"")</f>
        <v>-133</v>
      </c>
      <c r="BS53" s="2">
        <f>IFERROR(IFERROR(VLOOKUP($C53&amp;" "&amp;BS$1,Results!$F:$H,3,FALSE),-VLOOKUP($C53&amp;" "&amp;BS$1,Results!$G:$H,2,FALSE)),"")</f>
        <v>-272</v>
      </c>
      <c r="BT53" s="2" t="str">
        <f>IFERROR(IFERROR(VLOOKUP($C53&amp;" "&amp;BT$1,Results!$F:$H,3,FALSE),-VLOOKUP($C53&amp;" "&amp;BT$1,Results!$G:$H,2,FALSE)),"")</f>
        <v/>
      </c>
      <c r="BU53" s="2" t="str">
        <f>IFERROR(IFERROR(VLOOKUP($C53&amp;" "&amp;BU$1,Results!$F:$H,3,FALSE),-VLOOKUP($C53&amp;" "&amp;BU$1,Results!$G:$H,2,FALSE)),"")</f>
        <v/>
      </c>
      <c r="BV53" s="2">
        <f>IFERROR(IFERROR(VLOOKUP($C53&amp;" "&amp;BV$1,Results!$F:$H,3,FALSE),-VLOOKUP($C53&amp;" "&amp;BV$1,Results!$G:$H,2,FALSE)),"")</f>
        <v>124</v>
      </c>
      <c r="BW53" s="82">
        <f t="shared" si="18"/>
        <v>-706</v>
      </c>
      <c r="BX53" s="5">
        <f>COUNTIF(E53:J53,1)</f>
        <v>0</v>
      </c>
      <c r="BY53" s="5">
        <f t="shared" si="19"/>
        <v>6</v>
      </c>
      <c r="BZ53" s="5">
        <f t="shared" si="12"/>
        <v>6</v>
      </c>
      <c r="CA53" s="65">
        <f t="shared" si="20"/>
        <v>0</v>
      </c>
      <c r="CC53" s="8">
        <f t="shared" si="21"/>
        <v>-706</v>
      </c>
      <c r="CE53" s="5">
        <v>16</v>
      </c>
      <c r="CF53" s="5">
        <f t="shared" si="22"/>
        <v>50</v>
      </c>
      <c r="CG53" s="5">
        <f t="shared" si="23"/>
        <v>-34</v>
      </c>
    </row>
    <row r="54" spans="1:85">
      <c r="A54" s="5">
        <v>51</v>
      </c>
      <c r="B54" s="5">
        <v>51</v>
      </c>
      <c r="C54" s="10" t="s">
        <v>277</v>
      </c>
      <c r="D54" s="5"/>
      <c r="E54" s="5">
        <f t="shared" si="29"/>
        <v>0</v>
      </c>
      <c r="F54" s="5">
        <f t="shared" si="29"/>
        <v>0</v>
      </c>
      <c r="G54" s="5">
        <f t="shared" si="29"/>
        <v>0</v>
      </c>
      <c r="H54" s="5">
        <f t="shared" si="30"/>
        <v>0</v>
      </c>
      <c r="I54" s="5">
        <f t="shared" si="30"/>
        <v>0</v>
      </c>
      <c r="J54" s="5">
        <f t="shared" si="30"/>
        <v>0</v>
      </c>
      <c r="K54" s="79" t="s">
        <v>134</v>
      </c>
      <c r="L54" s="125">
        <f t="shared" si="16"/>
        <v>51</v>
      </c>
      <c r="M54" s="2">
        <v>14</v>
      </c>
      <c r="N54" s="11">
        <f>COUNTIF($U54:$BT54,"&gt;0")</f>
        <v>0</v>
      </c>
      <c r="O54" s="2">
        <f>COUNTIF($U54:$BT54,"&lt;0")</f>
        <v>2</v>
      </c>
      <c r="P54" s="2">
        <f>COUNTIF($U54:$BT54,"=0")</f>
        <v>0</v>
      </c>
      <c r="Q54" s="12">
        <f>COUNTIF($AN54:$AQ54,"&gt;0")</f>
        <v>0</v>
      </c>
      <c r="R54" s="13">
        <f>COUNTIF($AN54:$AQ54,"&lt;0")</f>
        <v>0</v>
      </c>
      <c r="S54" s="14">
        <f>COUNTIF($AN54:$AQ54,"=0")</f>
        <v>0</v>
      </c>
      <c r="T54" s="2">
        <f t="shared" si="17"/>
        <v>0</v>
      </c>
      <c r="U54" s="2"/>
      <c r="V54" s="2"/>
      <c r="W54" s="2"/>
      <c r="AF54" s="2" t="str">
        <f>IFERROR(IFERROR(VLOOKUP($C54&amp;" "&amp;AF$1,Results!$F:$H,3,FALSE),-VLOOKUP($C54&amp;" "&amp;AF$1,Results!$G:$H,2,FALSE)),"")</f>
        <v/>
      </c>
      <c r="AG54" s="2" t="str">
        <f>IFERROR(IFERROR(VLOOKUP($C54&amp;" "&amp;AG$1,Results!$F:$H,3,FALSE),-VLOOKUP($C54&amp;" "&amp;AG$1,Results!$G:$H,2,FALSE)),"")</f>
        <v/>
      </c>
      <c r="AH54" s="2" t="str">
        <f>IFERROR(IFERROR(VLOOKUP($C54&amp;" "&amp;AH$1,Results!$F:$H,3,FALSE),-VLOOKUP($C54&amp;" "&amp;AH$1,Results!$G:$H,2,FALSE)),"")</f>
        <v/>
      </c>
      <c r="AI54" s="2" t="str">
        <f>IFERROR(IFERROR(VLOOKUP($C54&amp;" "&amp;AI$1,Results!$F:$H,3,FALSE),-VLOOKUP($C54&amp;" "&amp;AI$1,Results!$G:$H,2,FALSE)),"")</f>
        <v/>
      </c>
      <c r="AJ54" s="2" t="str">
        <f>IFERROR(IFERROR(VLOOKUP($C54&amp;" "&amp;AJ$1,Results!$F:$H,3,FALSE),-VLOOKUP($C54&amp;" "&amp;AJ$1,Results!$G:$H,2,FALSE)),"")</f>
        <v/>
      </c>
      <c r="AK54" s="2" t="str">
        <f>IFERROR(IFERROR(VLOOKUP($C54&amp;" "&amp;AK$1,Results!$F:$H,3,FALSE),-VLOOKUP($C54&amp;" "&amp;AK$1,Results!$G:$H,2,FALSE)),"")</f>
        <v/>
      </c>
      <c r="AL54" s="2" t="str">
        <f>IFERROR(IFERROR(VLOOKUP($C54&amp;" "&amp;AL$1,Results!$F:$H,3,FALSE),-VLOOKUP($C54&amp;" "&amp;AL$1,Results!$G:$H,2,FALSE)),"")</f>
        <v/>
      </c>
      <c r="AM54" s="2" t="str">
        <f>IFERROR(IFERROR(VLOOKUP($C54&amp;" "&amp;AM$1,Results!$F:$H,3,FALSE),-VLOOKUP($C54&amp;" "&amp;AM$1,Results!$G:$H,2,FALSE)),"")</f>
        <v/>
      </c>
      <c r="AN54" s="19" t="str">
        <f>IFERROR(IFERROR(VLOOKUP($C54&amp;" "&amp;AN$1,Results!$F:$H,3,FALSE),-VLOOKUP($C54&amp;" "&amp;AN$1,Results!$G:$H,2,FALSE)),"")</f>
        <v/>
      </c>
      <c r="AO54" s="19" t="str">
        <f>IFERROR(IFERROR(VLOOKUP($C54&amp;" "&amp;AO$1,Results!$F:$H,3,FALSE),-VLOOKUP($C54&amp;" "&amp;AO$1,Results!$G:$H,2,FALSE)),"")</f>
        <v/>
      </c>
      <c r="AP54" s="19" t="str">
        <f>IFERROR(IFERROR(VLOOKUP($C54&amp;" "&amp;AP$1,Results!$F:$H,3,FALSE),-VLOOKUP($C54&amp;" "&amp;AP$1,Results!$G:$H,2,FALSE)),"")</f>
        <v/>
      </c>
      <c r="AQ54" s="19" t="str">
        <f>IFERROR(IFERROR(VLOOKUP($C54&amp;" "&amp;AQ$1,Results!$F:$H,3,FALSE),-VLOOKUP($C54&amp;" "&amp;AQ$1,Results!$G:$H,2,FALSE)),"")</f>
        <v/>
      </c>
      <c r="AR54" s="2" t="str">
        <f>IFERROR(IFERROR(VLOOKUP($C54&amp;" "&amp;AR$1,Results!$F:$H,3,FALSE),-VLOOKUP($C54&amp;" "&amp;AR$1,Results!$G:$H,2,FALSE)),"")</f>
        <v/>
      </c>
      <c r="AS54" s="2" t="str">
        <f>IFERROR(IFERROR(VLOOKUP($C54&amp;" "&amp;AS$1,Results!$F:$H,3,FALSE),-VLOOKUP($C54&amp;" "&amp;AS$1,Results!$G:$H,2,FALSE)),"")</f>
        <v/>
      </c>
      <c r="AT54" s="2" t="str">
        <f>IFERROR(IFERROR(VLOOKUP($C54&amp;" "&amp;AT$1,Results!$F:$H,3,FALSE),-VLOOKUP($C54&amp;" "&amp;AT$1,Results!$G:$H,2,FALSE)),"")</f>
        <v/>
      </c>
      <c r="AU54" s="2" t="str">
        <f>IFERROR(IFERROR(VLOOKUP($C54&amp;" "&amp;AU$1,Results!$F:$H,3,FALSE),-VLOOKUP($C54&amp;" "&amp;AU$1,Results!$G:$H,2,FALSE)),"")</f>
        <v/>
      </c>
      <c r="AV54" s="2" t="str">
        <f>IFERROR(IFERROR(VLOOKUP($C54&amp;" "&amp;AV$1,Results!$F:$H,3,FALSE),-VLOOKUP($C54&amp;" "&amp;AV$1,Results!$G:$H,2,FALSE)),"")</f>
        <v/>
      </c>
      <c r="AW54" s="2" t="str">
        <f>IFERROR(IFERROR(VLOOKUP($C54&amp;" "&amp;AW$1,Results!$F:$H,3,FALSE),-VLOOKUP($C54&amp;" "&amp;AW$1,Results!$G:$H,2,FALSE)),"")</f>
        <v/>
      </c>
      <c r="AX54" s="2" t="str">
        <f>IFERROR(IFERROR(VLOOKUP($C54&amp;" "&amp;AX$1,Results!$F:$H,3,FALSE),-VLOOKUP($C54&amp;" "&amp;AX$1,Results!$G:$H,2,FALSE)),"")</f>
        <v/>
      </c>
      <c r="AY54" s="2" t="str">
        <f>IFERROR(IFERROR(VLOOKUP($C54&amp;" "&amp;AY$1,Results!$F:$H,3,FALSE),-VLOOKUP($C54&amp;" "&amp;AY$1,Results!$G:$H,2,FALSE)),"")</f>
        <v/>
      </c>
      <c r="AZ54" s="2" t="str">
        <f>IFERROR(IFERROR(VLOOKUP($C54&amp;" "&amp;AZ$1,Results!$F:$H,3,FALSE),-VLOOKUP($C54&amp;" "&amp;AZ$1,Results!$G:$H,2,FALSE)),"")</f>
        <v/>
      </c>
      <c r="BA54" s="2" t="str">
        <f>IFERROR(IFERROR(VLOOKUP($C54&amp;" "&amp;BA$1,Results!$F:$H,3,FALSE),-VLOOKUP($C54&amp;" "&amp;BA$1,Results!$G:$H,2,FALSE)),"")</f>
        <v/>
      </c>
      <c r="BB54" s="2" t="str">
        <f>IFERROR(IFERROR(VLOOKUP($C54&amp;" "&amp;BB$1,Results!$F:$H,3,FALSE),-VLOOKUP($C54&amp;" "&amp;BB$1,Results!$G:$H,2,FALSE)),"")</f>
        <v/>
      </c>
      <c r="BC54" s="2" t="str">
        <f>IFERROR(IFERROR(VLOOKUP($C54&amp;" "&amp;BC$1,Results!$F:$H,3,FALSE),-VLOOKUP($C54&amp;" "&amp;BC$1,Results!$G:$H,2,FALSE)),"")</f>
        <v/>
      </c>
      <c r="BG54" s="2"/>
      <c r="BH54" s="2"/>
      <c r="BI54" s="15"/>
      <c r="BJ54" s="15"/>
      <c r="BK54" s="15"/>
      <c r="BL54" s="2" t="str">
        <f>IFERROR(IFERROR(VLOOKUP($C54&amp;" "&amp;BL$1,Results!$F:$H,3,FALSE),-VLOOKUP($C54&amp;" "&amp;BL$1,Results!$G:$H,2,FALSE)),"")</f>
        <v/>
      </c>
      <c r="BM54" s="2" t="str">
        <f>IFERROR(IFERROR(VLOOKUP($C54&amp;" "&amp;BM$1,Results!$F:$H,3,FALSE),-VLOOKUP($C54&amp;" "&amp;BM$1,Results!$G:$H,2,FALSE)),"")</f>
        <v/>
      </c>
      <c r="BN54" s="2" t="str">
        <f>IFERROR(IFERROR(VLOOKUP($C54&amp;" "&amp;BN$1,Results!$F:$H,3,FALSE),-VLOOKUP($C54&amp;" "&amp;BN$1,Results!$G:$H,2,FALSE)),"")</f>
        <v/>
      </c>
      <c r="BO54" s="2">
        <f>IFERROR(IFERROR(VLOOKUP($C54&amp;" "&amp;BO$1,Results!$F:$H,3,FALSE),-VLOOKUP($C54&amp;" "&amp;BO$1,Results!$G:$H,2,FALSE)),"")</f>
        <v>-242</v>
      </c>
      <c r="BP54" s="2" t="str">
        <f>IFERROR(IFERROR(VLOOKUP($C54&amp;" "&amp;BP$1,Results!$F:$H,3,FALSE),-VLOOKUP($C54&amp;" "&amp;BP$1,Results!$G:$H,2,FALSE)),"")</f>
        <v/>
      </c>
      <c r="BQ54" s="2">
        <f>IFERROR(IFERROR(VLOOKUP($C54&amp;" "&amp;BQ$1,Results!$F:$H,3,FALSE),-VLOOKUP($C54&amp;" "&amp;BQ$1,Results!$G:$H,2,FALSE)),"")</f>
        <v>-1</v>
      </c>
      <c r="BR54" s="2" t="str">
        <f>IFERROR(IFERROR(VLOOKUP($C54&amp;" "&amp;BR$1,Results!$F:$H,3,FALSE),-VLOOKUP($C54&amp;" "&amp;BR$1,Results!$G:$H,2,FALSE)),"")</f>
        <v/>
      </c>
      <c r="BS54" s="2" t="str">
        <f>IFERROR(IFERROR(VLOOKUP($C54&amp;" "&amp;BS$1,Results!$F:$H,3,FALSE),-VLOOKUP($C54&amp;" "&amp;BS$1,Results!$G:$H,2,FALSE)),"")</f>
        <v/>
      </c>
      <c r="BT54" s="2" t="str">
        <f>IFERROR(IFERROR(VLOOKUP($C54&amp;" "&amp;BT$1,Results!$F:$H,3,FALSE),-VLOOKUP($C54&amp;" "&amp;BT$1,Results!$G:$H,2,FALSE)),"")</f>
        <v/>
      </c>
      <c r="BU54" s="2">
        <f>IFERROR(IFERROR(VLOOKUP($C54&amp;" "&amp;BU$1,Results!$F:$H,3,FALSE),-VLOOKUP($C54&amp;" "&amp;BU$1,Results!$G:$H,2,FALSE)),"")</f>
        <v>-124</v>
      </c>
      <c r="BV54" s="2" t="str">
        <f>IFERROR(IFERROR(VLOOKUP($C54&amp;" "&amp;BV$1,Results!$F:$H,3,FALSE),-VLOOKUP($C54&amp;" "&amp;BV$1,Results!$G:$H,2,FALSE)),"")</f>
        <v/>
      </c>
      <c r="BW54" s="82">
        <f t="shared" si="18"/>
        <v>-243</v>
      </c>
      <c r="BX54" s="5">
        <f>COUNTIF(E54:J54,1)</f>
        <v>0</v>
      </c>
      <c r="BY54" s="5">
        <f t="shared" si="19"/>
        <v>6</v>
      </c>
      <c r="BZ54" s="5">
        <f t="shared" si="12"/>
        <v>6</v>
      </c>
      <c r="CA54" s="65">
        <f t="shared" si="20"/>
        <v>0</v>
      </c>
      <c r="CC54" s="8">
        <f t="shared" si="21"/>
        <v>-243</v>
      </c>
      <c r="CE54" s="5">
        <v>16</v>
      </c>
      <c r="CF54" s="5">
        <f t="shared" si="22"/>
        <v>51</v>
      </c>
      <c r="CG54" s="5">
        <f t="shared" si="23"/>
        <v>-35</v>
      </c>
    </row>
    <row r="55" spans="1:85"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63"/>
      <c r="BX55" s="2">
        <f>SUM(BX4:BX53)</f>
        <v>179</v>
      </c>
      <c r="BY55" s="2">
        <f>SUM(BY4:BY53)</f>
        <v>105</v>
      </c>
      <c r="BZ55" s="2">
        <f>SUM(BZ4:BZ53)</f>
        <v>286</v>
      </c>
      <c r="CA55" s="2">
        <f>COUNTIF(CA4:CA53,1)</f>
        <v>11</v>
      </c>
    </row>
    <row r="56" spans="1:85">
      <c r="C56" s="137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63"/>
      <c r="BX56" s="66">
        <f>+BX55/BZ55</f>
        <v>0.62587412587412583</v>
      </c>
      <c r="BY56" s="2"/>
      <c r="CA56" s="2">
        <f>COUNT(CA4:CA53)</f>
        <v>50</v>
      </c>
      <c r="CE56" s="5">
        <v>89.2</v>
      </c>
    </row>
    <row r="57" spans="1:85"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63"/>
      <c r="BX57" s="2"/>
      <c r="BY57" s="2"/>
      <c r="CA57" s="66">
        <f>+CA55/CA56</f>
        <v>0.22</v>
      </c>
    </row>
    <row r="58" spans="1:85">
      <c r="BX58" s="67" t="s">
        <v>122</v>
      </c>
    </row>
    <row r="60" spans="1:85">
      <c r="BX60" s="5">
        <f>BX55+North!BK43</f>
        <v>310</v>
      </c>
      <c r="BZ60" s="5">
        <f>BZ55+North!BM43</f>
        <v>508</v>
      </c>
    </row>
    <row r="61" spans="1:85">
      <c r="BX61" s="83">
        <f>BX60/BZ60</f>
        <v>0.61023622047244097</v>
      </c>
    </row>
  </sheetData>
  <sortState xmlns:xlrd2="http://schemas.microsoft.com/office/spreadsheetml/2017/richdata2" ref="A4:CG53">
    <sortCondition ref="A4:A53"/>
  </sortState>
  <customSheetViews>
    <customSheetView guid="{DE7C2479-4243-442D-8A3C-4D0E1EDB2109}" scale="110" showPageBreaks="1" fitToPage="1" printArea="1" hiddenColumns="1">
      <pane xSplit="3" ySplit="3" topLeftCell="AC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1"/>
      <headerFooter alignWithMargins="0">
        <oddHeader xml:space="preserve">&amp;L2012 TSA Dual Meet Results&amp;CSouthern League&amp;ROfficial Results as of 7/25/2012   
</oddHeader>
      </headerFooter>
    </customSheetView>
    <customSheetView guid="{DEF8AD2E-C46F-4190-A88E-C6B69C1F99BB}" scale="110" showPageBreaks="1" fitToPage="1" printArea="1" hiddenColumns="1">
      <pane xSplit="3" ySplit="3" topLeftCell="AC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2"/>
      <headerFooter alignWithMargins="0">
        <oddHeader xml:space="preserve">&amp;L2012 TSA Dual Meet Results&amp;CSouthern League&amp;ROfficial Results as of 7/25/2012   
</oddHeader>
      </headerFooter>
    </customSheetView>
    <customSheetView guid="{BDC744E3-8A98-4FFB-AA7D-7119F2F68EB6}" scale="110" showPageBreaks="1" fitToPage="1" printArea="1" hiddenColumns="1">
      <pane xSplit="3" ySplit="3" topLeftCell="AB20" activePane="bottomRight" state="frozen"/>
      <selection pane="bottomRight" activeCell="AN24" sqref="AN24:BK47"/>
      <pageMargins left="0.25" right="0.2" top="1" bottom="0.5" header="0.5" footer="0"/>
      <printOptions gridLines="1"/>
      <pageSetup paperSize="5" scale="85" pageOrder="overThenDown" orientation="landscape" horizontalDpi="300" verticalDpi="300" r:id="rId3"/>
      <headerFooter alignWithMargins="0">
        <oddHeader xml:space="preserve">&amp;L2014 TSA Dual Meet Results&amp;CSouthern League&amp;R&amp;D
</oddHeader>
      </headerFooter>
    </customSheetView>
    <customSheetView guid="{E7597357-F01A-4EC3-9284-2CC61D1CC724}" scale="110" showPageBreaks="1" fitToPage="1" printArea="1" hiddenColumns="1">
      <pane xSplit="3" ySplit="3" topLeftCell="J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4"/>
      <headerFooter alignWithMargins="0">
        <oddHeader xml:space="preserve">&amp;L2014 TSA Dual Meet Results&amp;CSouthern League&amp;R&amp;D 
</oddHeader>
      </headerFooter>
    </customSheetView>
  </customSheetViews>
  <mergeCells count="4">
    <mergeCell ref="N2:P2"/>
    <mergeCell ref="Q2:S2"/>
    <mergeCell ref="E2:J2"/>
    <mergeCell ref="N1:S1"/>
  </mergeCells>
  <conditionalFormatting sqref="A4:B54">
    <cfRule type="expression" dxfId="233" priority="1">
      <formula>ISEVEN($M4)</formula>
    </cfRule>
    <cfRule type="expression" dxfId="232" priority="2">
      <formula>ISODD($M4)</formula>
    </cfRule>
  </conditionalFormatting>
  <conditionalFormatting sqref="C1">
    <cfRule type="cellIs" dxfId="231" priority="924" stopIfTrue="1" operator="equal">
      <formula>0</formula>
    </cfRule>
    <cfRule type="cellIs" dxfId="230" priority="925" stopIfTrue="1" operator="notEqual">
      <formula>0</formula>
    </cfRule>
  </conditionalFormatting>
  <conditionalFormatting sqref="C51:E51">
    <cfRule type="expression" dxfId="229" priority="92">
      <formula>ISEVEN($M51)</formula>
    </cfRule>
    <cfRule type="expression" dxfId="228" priority="93">
      <formula>ISODD($M51)</formula>
    </cfRule>
  </conditionalFormatting>
  <conditionalFormatting sqref="C4:F7">
    <cfRule type="expression" dxfId="227" priority="723">
      <formula>ISEVEN($M4)</formula>
    </cfRule>
    <cfRule type="expression" dxfId="226" priority="724">
      <formula>ISODD($M4)</formula>
    </cfRule>
  </conditionalFormatting>
  <conditionalFormatting sqref="C52:G52">
    <cfRule type="expression" dxfId="225" priority="150">
      <formula>ISEVEN($M52)</formula>
    </cfRule>
    <cfRule type="expression" dxfId="224" priority="151">
      <formula>ISODD($M52)</formula>
    </cfRule>
  </conditionalFormatting>
  <conditionalFormatting sqref="C53:G54">
    <cfRule type="expression" dxfId="223" priority="59">
      <formula>ISEVEN($M53)</formula>
    </cfRule>
    <cfRule type="expression" dxfId="222" priority="60">
      <formula>ISODD($M53)</formula>
    </cfRule>
  </conditionalFormatting>
  <conditionalFormatting sqref="E8:E45">
    <cfRule type="expression" dxfId="221" priority="236">
      <formula>ISEVEN($M8)</formula>
    </cfRule>
    <cfRule type="expression" dxfId="220" priority="237">
      <formula>ISODD($M8)</formula>
    </cfRule>
  </conditionalFormatting>
  <conditionalFormatting sqref="E46:E48">
    <cfRule type="expression" dxfId="219" priority="200">
      <formula>ISEVEN($M46)</formula>
    </cfRule>
    <cfRule type="expression" dxfId="218" priority="201">
      <formula>ISODD($M46)</formula>
    </cfRule>
  </conditionalFormatting>
  <conditionalFormatting sqref="E49">
    <cfRule type="expression" dxfId="217" priority="126">
      <formula>ISEVEN($M49)</formula>
    </cfRule>
    <cfRule type="expression" dxfId="216" priority="127">
      <formula>ISODD($M49)</formula>
    </cfRule>
  </conditionalFormatting>
  <conditionalFormatting sqref="E49:E50">
    <cfRule type="expression" dxfId="215" priority="128">
      <formula>ISEVEN($M49)</formula>
    </cfRule>
    <cfRule type="expression" dxfId="214" priority="129">
      <formula>ISODD($M49)</formula>
    </cfRule>
  </conditionalFormatting>
  <conditionalFormatting sqref="E8:F44 C8:D50 E50 L4:M4">
    <cfRule type="expression" dxfId="213" priority="728">
      <formula>ISEVEN($M4)</formula>
    </cfRule>
  </conditionalFormatting>
  <conditionalFormatting sqref="E8:F44 F44:I44 C8:D50">
    <cfRule type="expression" dxfId="212" priority="241">
      <formula>ISODD($M8)</formula>
    </cfRule>
  </conditionalFormatting>
  <conditionalFormatting sqref="E45:F47">
    <cfRule type="expression" dxfId="211" priority="228">
      <formula>ISEVEN($M45)</formula>
    </cfRule>
    <cfRule type="expression" dxfId="210" priority="229">
      <formula>ISODD($M45)</formula>
    </cfRule>
  </conditionalFormatting>
  <conditionalFormatting sqref="E48:F48">
    <cfRule type="expression" dxfId="209" priority="130">
      <formula>ISEVEN($M48)</formula>
    </cfRule>
    <cfRule type="expression" dxfId="208" priority="131">
      <formula>ISODD($M48)</formula>
    </cfRule>
  </conditionalFormatting>
  <conditionalFormatting sqref="E51:F51">
    <cfRule type="expression" dxfId="207" priority="96">
      <formula>ISEVEN($M51)</formula>
    </cfRule>
    <cfRule type="expression" dxfId="206" priority="97">
      <formula>ISODD($M51)</formula>
    </cfRule>
  </conditionalFormatting>
  <conditionalFormatting sqref="E7:G7">
    <cfRule type="expression" dxfId="205" priority="709">
      <formula>ISEVEN($M7)</formula>
    </cfRule>
    <cfRule type="expression" dxfId="204" priority="710">
      <formula>ISODD($M7)</formula>
    </cfRule>
  </conditionalFormatting>
  <conditionalFormatting sqref="E52:H52">
    <cfRule type="expression" dxfId="203" priority="86">
      <formula>ISEVEN($M52)</formula>
    </cfRule>
    <cfRule type="expression" dxfId="202" priority="87">
      <formula>ISODD($M52)</formula>
    </cfRule>
  </conditionalFormatting>
  <conditionalFormatting sqref="E53:H54">
    <cfRule type="expression" dxfId="201" priority="45">
      <formula>ISEVEN($M53)</formula>
    </cfRule>
    <cfRule type="expression" dxfId="200" priority="46">
      <formula>ISODD($M53)</formula>
    </cfRule>
  </conditionalFormatting>
  <conditionalFormatting sqref="F45:F49">
    <cfRule type="expression" dxfId="199" priority="132">
      <formula>ISEVEN($M45)</formula>
    </cfRule>
    <cfRule type="expression" dxfId="198" priority="133">
      <formula>ISODD($M45)</formula>
    </cfRule>
  </conditionalFormatting>
  <conditionalFormatting sqref="F50">
    <cfRule type="expression" dxfId="197" priority="116">
      <formula>ISEVEN($M50)</formula>
    </cfRule>
    <cfRule type="expression" dxfId="196" priority="117">
      <formula>ISODD($M50)</formula>
    </cfRule>
  </conditionalFormatting>
  <conditionalFormatting sqref="F50:F51">
    <cfRule type="expression" dxfId="195" priority="100">
      <formula>ISEVEN($M50)</formula>
    </cfRule>
    <cfRule type="expression" dxfId="194" priority="101">
      <formula>ISODD($M50)</formula>
    </cfRule>
  </conditionalFormatting>
  <conditionalFormatting sqref="F49:G49">
    <cfRule type="expression" dxfId="193" priority="186">
      <formula>ISEVEN($M49)</formula>
    </cfRule>
    <cfRule type="expression" dxfId="192" priority="187">
      <formula>ISODD($M49)</formula>
    </cfRule>
  </conditionalFormatting>
  <conditionalFormatting sqref="F52:G52">
    <cfRule type="expression" dxfId="191" priority="142">
      <formula>ISEVEN($M52)</formula>
    </cfRule>
    <cfRule type="expression" dxfId="190" priority="143">
      <formula>ISODD($M52)</formula>
    </cfRule>
  </conditionalFormatting>
  <conditionalFormatting sqref="F53:G54">
    <cfRule type="expression" dxfId="189" priority="55">
      <formula>ISEVEN($M53)</formula>
    </cfRule>
    <cfRule type="expression" dxfId="188" priority="56">
      <formula>ISODD($M53)</formula>
    </cfRule>
  </conditionalFormatting>
  <conditionalFormatting sqref="F44:H44">
    <cfRule type="expression" dxfId="187" priority="240">
      <formula>ISEVEN($M44)</formula>
    </cfRule>
  </conditionalFormatting>
  <conditionalFormatting sqref="F8:I8">
    <cfRule type="expression" dxfId="186" priority="672">
      <formula>ISEVEN($M8)</formula>
    </cfRule>
    <cfRule type="expression" dxfId="185" priority="673">
      <formula>ISODD($M8)</formula>
    </cfRule>
  </conditionalFormatting>
  <conditionalFormatting sqref="F9:I10">
    <cfRule type="expression" dxfId="184" priority="648">
      <formula>ISEVEN($M9)</formula>
    </cfRule>
    <cfRule type="expression" dxfId="183" priority="649">
      <formula>ISODD($M9)</formula>
    </cfRule>
  </conditionalFormatting>
  <conditionalFormatting sqref="F11:I12">
    <cfRule type="expression" dxfId="182" priority="624">
      <formula>ISEVEN($M11)</formula>
    </cfRule>
    <cfRule type="expression" dxfId="181" priority="625">
      <formula>ISODD($M11)</formula>
    </cfRule>
  </conditionalFormatting>
  <conditionalFormatting sqref="F13:I14">
    <cfRule type="expression" dxfId="180" priority="600">
      <formula>ISEVEN($M13)</formula>
    </cfRule>
    <cfRule type="expression" dxfId="179" priority="601">
      <formula>ISODD($M13)</formula>
    </cfRule>
  </conditionalFormatting>
  <conditionalFormatting sqref="F15:I16">
    <cfRule type="expression" dxfId="178" priority="576">
      <formula>ISEVEN($M15)</formula>
    </cfRule>
    <cfRule type="expression" dxfId="177" priority="577">
      <formula>ISODD($M15)</formula>
    </cfRule>
  </conditionalFormatting>
  <conditionalFormatting sqref="F17:I18">
    <cfRule type="expression" dxfId="176" priority="552">
      <formula>ISEVEN($M17)</formula>
    </cfRule>
    <cfRule type="expression" dxfId="175" priority="553">
      <formula>ISODD($M17)</formula>
    </cfRule>
  </conditionalFormatting>
  <conditionalFormatting sqref="F19:I20">
    <cfRule type="expression" dxfId="174" priority="528">
      <formula>ISEVEN($M19)</formula>
    </cfRule>
    <cfRule type="expression" dxfId="173" priority="529">
      <formula>ISODD($M19)</formula>
    </cfRule>
  </conditionalFormatting>
  <conditionalFormatting sqref="F21:I22">
    <cfRule type="expression" dxfId="172" priority="504">
      <formula>ISEVEN($M21)</formula>
    </cfRule>
    <cfRule type="expression" dxfId="171" priority="505">
      <formula>ISODD($M21)</formula>
    </cfRule>
  </conditionalFormatting>
  <conditionalFormatting sqref="F23:I24">
    <cfRule type="expression" dxfId="170" priority="480">
      <formula>ISEVEN($M23)</formula>
    </cfRule>
    <cfRule type="expression" dxfId="169" priority="481">
      <formula>ISODD($M23)</formula>
    </cfRule>
  </conditionalFormatting>
  <conditionalFormatting sqref="F25:I26">
    <cfRule type="expression" dxfId="168" priority="456">
      <formula>ISEVEN($M25)</formula>
    </cfRule>
    <cfRule type="expression" dxfId="167" priority="457">
      <formula>ISODD($M25)</formula>
    </cfRule>
  </conditionalFormatting>
  <conditionalFormatting sqref="F27:I28">
    <cfRule type="expression" dxfId="166" priority="432">
      <formula>ISEVEN($M27)</formula>
    </cfRule>
    <cfRule type="expression" dxfId="165" priority="433">
      <formula>ISODD($M27)</formula>
    </cfRule>
  </conditionalFormatting>
  <conditionalFormatting sqref="F29:I30">
    <cfRule type="expression" dxfId="164" priority="408">
      <formula>ISEVEN($M29)</formula>
    </cfRule>
    <cfRule type="expression" dxfId="163" priority="409">
      <formula>ISODD($M29)</formula>
    </cfRule>
  </conditionalFormatting>
  <conditionalFormatting sqref="F31:I32">
    <cfRule type="expression" dxfId="162" priority="384">
      <formula>ISEVEN($M31)</formula>
    </cfRule>
    <cfRule type="expression" dxfId="161" priority="385">
      <formula>ISODD($M31)</formula>
    </cfRule>
  </conditionalFormatting>
  <conditionalFormatting sqref="F33:I34">
    <cfRule type="expression" dxfId="160" priority="360">
      <formula>ISEVEN($M33)</formula>
    </cfRule>
    <cfRule type="expression" dxfId="159" priority="361">
      <formula>ISODD($M33)</formula>
    </cfRule>
  </conditionalFormatting>
  <conditionalFormatting sqref="F35:I36">
    <cfRule type="expression" dxfId="158" priority="336">
      <formula>ISEVEN($M35)</formula>
    </cfRule>
    <cfRule type="expression" dxfId="157" priority="337">
      <formula>ISODD($M35)</formula>
    </cfRule>
  </conditionalFormatting>
  <conditionalFormatting sqref="F37:I38">
    <cfRule type="expression" dxfId="156" priority="312">
      <formula>ISEVEN($M37)</formula>
    </cfRule>
    <cfRule type="expression" dxfId="155" priority="313">
      <formula>ISODD($M37)</formula>
    </cfRule>
  </conditionalFormatting>
  <conditionalFormatting sqref="F39:I40">
    <cfRule type="expression" dxfId="154" priority="288">
      <formula>ISEVEN($M39)</formula>
    </cfRule>
    <cfRule type="expression" dxfId="153" priority="289">
      <formula>ISODD($M39)</formula>
    </cfRule>
  </conditionalFormatting>
  <conditionalFormatting sqref="F41:I42">
    <cfRule type="expression" dxfId="152" priority="264">
      <formula>ISEVEN($M41)</formula>
    </cfRule>
    <cfRule type="expression" dxfId="151" priority="265">
      <formula>ISODD($M41)</formula>
    </cfRule>
  </conditionalFormatting>
  <conditionalFormatting sqref="F43:I43">
    <cfRule type="expression" dxfId="150" priority="250">
      <formula>ISEVEN($M43)</formula>
    </cfRule>
    <cfRule type="expression" dxfId="149" priority="251">
      <formula>ISODD($M43)</formula>
    </cfRule>
  </conditionalFormatting>
  <conditionalFormatting sqref="G8:G9">
    <cfRule type="expression" dxfId="148" priority="660">
      <formula>ISEVEN($M8)</formula>
    </cfRule>
    <cfRule type="expression" dxfId="147" priority="661">
      <formula>ISODD($M8)</formula>
    </cfRule>
  </conditionalFormatting>
  <conditionalFormatting sqref="G10:G11">
    <cfRule type="expression" dxfId="146" priority="636">
      <formula>ISEVEN($M10)</formula>
    </cfRule>
    <cfRule type="expression" dxfId="145" priority="637">
      <formula>ISODD($M10)</formula>
    </cfRule>
  </conditionalFormatting>
  <conditionalFormatting sqref="G12:G13">
    <cfRule type="expression" dxfId="144" priority="612">
      <formula>ISEVEN($M12)</formula>
    </cfRule>
    <cfRule type="expression" dxfId="143" priority="613">
      <formula>ISODD($M12)</formula>
    </cfRule>
  </conditionalFormatting>
  <conditionalFormatting sqref="G14:G15">
    <cfRule type="expression" dxfId="142" priority="588">
      <formula>ISEVEN($M14)</formula>
    </cfRule>
    <cfRule type="expression" dxfId="141" priority="589">
      <formula>ISODD($M14)</formula>
    </cfRule>
  </conditionalFormatting>
  <conditionalFormatting sqref="G16:G17">
    <cfRule type="expression" dxfId="140" priority="564">
      <formula>ISEVEN($M16)</formula>
    </cfRule>
    <cfRule type="expression" dxfId="139" priority="565">
      <formula>ISODD($M16)</formula>
    </cfRule>
  </conditionalFormatting>
  <conditionalFormatting sqref="G18:G19">
    <cfRule type="expression" dxfId="138" priority="540">
      <formula>ISEVEN($M18)</formula>
    </cfRule>
    <cfRule type="expression" dxfId="137" priority="541">
      <formula>ISODD($M18)</formula>
    </cfRule>
  </conditionalFormatting>
  <conditionalFormatting sqref="G20:G21">
    <cfRule type="expression" dxfId="136" priority="516">
      <formula>ISEVEN($M20)</formula>
    </cfRule>
    <cfRule type="expression" dxfId="135" priority="517">
      <formula>ISODD($M20)</formula>
    </cfRule>
  </conditionalFormatting>
  <conditionalFormatting sqref="G22:G23">
    <cfRule type="expression" dxfId="134" priority="492">
      <formula>ISEVEN($M22)</formula>
    </cfRule>
    <cfRule type="expression" dxfId="133" priority="493">
      <formula>ISODD($M22)</formula>
    </cfRule>
  </conditionalFormatting>
  <conditionalFormatting sqref="G24:G25">
    <cfRule type="expression" dxfId="132" priority="468">
      <formula>ISEVEN($M24)</formula>
    </cfRule>
    <cfRule type="expression" dxfId="131" priority="469">
      <formula>ISODD($M24)</formula>
    </cfRule>
  </conditionalFormatting>
  <conditionalFormatting sqref="G26:G27">
    <cfRule type="expression" dxfId="130" priority="444">
      <formula>ISEVEN($M26)</formula>
    </cfRule>
    <cfRule type="expression" dxfId="129" priority="445">
      <formula>ISODD($M26)</formula>
    </cfRule>
  </conditionalFormatting>
  <conditionalFormatting sqref="G28:G29">
    <cfRule type="expression" dxfId="128" priority="420">
      <formula>ISEVEN($M28)</formula>
    </cfRule>
    <cfRule type="expression" dxfId="127" priority="421">
      <formula>ISODD($M28)</formula>
    </cfRule>
  </conditionalFormatting>
  <conditionalFormatting sqref="G30:G31">
    <cfRule type="expression" dxfId="126" priority="396">
      <formula>ISEVEN($M30)</formula>
    </cfRule>
    <cfRule type="expression" dxfId="125" priority="397">
      <formula>ISODD($M30)</formula>
    </cfRule>
  </conditionalFormatting>
  <conditionalFormatting sqref="G32:G33">
    <cfRule type="expression" dxfId="124" priority="372">
      <formula>ISEVEN($M32)</formula>
    </cfRule>
    <cfRule type="expression" dxfId="123" priority="373">
      <formula>ISODD($M32)</formula>
    </cfRule>
  </conditionalFormatting>
  <conditionalFormatting sqref="G34:G35">
    <cfRule type="expression" dxfId="122" priority="348">
      <formula>ISEVEN($M34)</formula>
    </cfRule>
    <cfRule type="expression" dxfId="121" priority="349">
      <formula>ISODD($M34)</formula>
    </cfRule>
  </conditionalFormatting>
  <conditionalFormatting sqref="G36:G37">
    <cfRule type="expression" dxfId="120" priority="324">
      <formula>ISEVEN($M36)</formula>
    </cfRule>
    <cfRule type="expression" dxfId="119" priority="325">
      <formula>ISODD($M36)</formula>
    </cfRule>
  </conditionalFormatting>
  <conditionalFormatting sqref="G38:G39">
    <cfRule type="expression" dxfId="118" priority="300">
      <formula>ISEVEN($M38)</formula>
    </cfRule>
    <cfRule type="expression" dxfId="117" priority="301">
      <formula>ISODD($M38)</formula>
    </cfRule>
  </conditionalFormatting>
  <conditionalFormatting sqref="G40:G41">
    <cfRule type="expression" dxfId="116" priority="276">
      <formula>ISEVEN($M40)</formula>
    </cfRule>
    <cfRule type="expression" dxfId="115" priority="277">
      <formula>ISODD($M40)</formula>
    </cfRule>
  </conditionalFormatting>
  <conditionalFormatting sqref="G42:G43">
    <cfRule type="expression" dxfId="114" priority="252">
      <formula>ISEVEN($M42)</formula>
    </cfRule>
    <cfRule type="expression" dxfId="113" priority="253">
      <formula>ISODD($M42)</formula>
    </cfRule>
  </conditionalFormatting>
  <conditionalFormatting sqref="G44:G46">
    <cfRule type="expression" dxfId="112" priority="216">
      <formula>ISEVEN($M44)</formula>
    </cfRule>
    <cfRule type="expression" dxfId="111" priority="217">
      <formula>ISODD($M44)</formula>
    </cfRule>
  </conditionalFormatting>
  <conditionalFormatting sqref="G46:G47">
    <cfRule type="expression" dxfId="110" priority="204">
      <formula>ISEVEN($M46)</formula>
    </cfRule>
    <cfRule type="expression" dxfId="109" priority="205">
      <formula>ISODD($M46)</formula>
    </cfRule>
  </conditionalFormatting>
  <conditionalFormatting sqref="G47:G48">
    <cfRule type="expression" dxfId="108" priority="192">
      <formula>ISEVEN($M47)</formula>
    </cfRule>
    <cfRule type="expression" dxfId="107" priority="193">
      <formula>ISODD($M47)</formula>
    </cfRule>
  </conditionalFormatting>
  <conditionalFormatting sqref="G48:G51">
    <cfRule type="expression" dxfId="106" priority="184">
      <formula>ISEVEN($M48)</formula>
    </cfRule>
    <cfRule type="expression" dxfId="105" priority="185">
      <formula>ISODD($M48)</formula>
    </cfRule>
  </conditionalFormatting>
  <conditionalFormatting sqref="G50:G52">
    <cfRule type="expression" dxfId="104" priority="144">
      <formula>ISEVEN($M50)</formula>
    </cfRule>
    <cfRule type="expression" dxfId="103" priority="145">
      <formula>ISODD($M50)</formula>
    </cfRule>
  </conditionalFormatting>
  <conditionalFormatting sqref="G53:G54">
    <cfRule type="expression" dxfId="102" priority="53">
      <formula>ISEVEN($M53)</formula>
    </cfRule>
    <cfRule type="expression" dxfId="101" priority="54">
      <formula>ISODD($M53)</formula>
    </cfRule>
  </conditionalFormatting>
  <conditionalFormatting sqref="G4:I4">
    <cfRule type="expression" dxfId="100" priority="68">
      <formula>ISEVEN($M4)</formula>
    </cfRule>
    <cfRule type="expression" dxfId="99" priority="69">
      <formula>ISODD($M4)</formula>
    </cfRule>
  </conditionalFormatting>
  <conditionalFormatting sqref="G5:I7">
    <cfRule type="expression" dxfId="98" priority="713">
      <formula>ISEVEN($M5)</formula>
    </cfRule>
    <cfRule type="expression" dxfId="97" priority="714">
      <formula>ISODD($M5)</formula>
    </cfRule>
  </conditionalFormatting>
  <conditionalFormatting sqref="H45:H49">
    <cfRule type="expression" dxfId="96" priority="180">
      <formula>ISEVEN($M45)</formula>
    </cfRule>
    <cfRule type="expression" dxfId="95" priority="181">
      <formula>ISODD($M45)</formula>
    </cfRule>
  </conditionalFormatting>
  <conditionalFormatting sqref="H50:H51">
    <cfRule type="expression" dxfId="94" priority="120">
      <formula>ISEVEN($M50)</formula>
    </cfRule>
    <cfRule type="expression" dxfId="93" priority="121">
      <formula>ISODD($M50)</formula>
    </cfRule>
  </conditionalFormatting>
  <conditionalFormatting sqref="H51">
    <cfRule type="expression" dxfId="92" priority="156">
      <formula>ISEVEN($M51)</formula>
    </cfRule>
    <cfRule type="expression" dxfId="91" priority="157">
      <formula>ISODD($M51)</formula>
    </cfRule>
  </conditionalFormatting>
  <conditionalFormatting sqref="H52">
    <cfRule type="expression" dxfId="90" priority="82">
      <formula>ISEVEN($M52)</formula>
    </cfRule>
    <cfRule type="expression" dxfId="89" priority="83">
      <formula>ISODD($M52)</formula>
    </cfRule>
    <cfRule type="expression" dxfId="88" priority="84">
      <formula>ISEVEN($M52)</formula>
    </cfRule>
    <cfRule type="expression" dxfId="87" priority="85">
      <formula>ISODD($M52)</formula>
    </cfRule>
  </conditionalFormatting>
  <conditionalFormatting sqref="H53:H54">
    <cfRule type="expression" dxfId="86" priority="41">
      <formula>ISEVEN($M53)</formula>
    </cfRule>
    <cfRule type="expression" dxfId="85" priority="42">
      <formula>ISODD($M53)</formula>
    </cfRule>
    <cfRule type="expression" dxfId="84" priority="43">
      <formula>ISEVEN($M53)</formula>
    </cfRule>
    <cfRule type="expression" dxfId="83" priority="44">
      <formula>ISODD($M53)</formula>
    </cfRule>
  </conditionalFormatting>
  <conditionalFormatting sqref="H49:J49">
    <cfRule type="expression" dxfId="82" priority="124">
      <formula>ISEVEN($M49)</formula>
    </cfRule>
    <cfRule type="expression" dxfId="81" priority="125">
      <formula>ISODD($M49)</formula>
    </cfRule>
  </conditionalFormatting>
  <conditionalFormatting sqref="H50:J50">
    <cfRule type="expression" dxfId="80" priority="118">
      <formula>ISEVEN($M50)</formula>
    </cfRule>
    <cfRule type="expression" dxfId="79" priority="119">
      <formula>ISODD($M50)</formula>
    </cfRule>
  </conditionalFormatting>
  <conditionalFormatting sqref="H52:J52">
    <cfRule type="expression" dxfId="78" priority="76">
      <formula>ISEVEN($M52)</formula>
    </cfRule>
    <cfRule type="expression" dxfId="77" priority="77">
      <formula>ISODD($M52)</formula>
    </cfRule>
  </conditionalFormatting>
  <conditionalFormatting sqref="H53:J54">
    <cfRule type="expression" dxfId="76" priority="35">
      <formula>ISEVEN($M53)</formula>
    </cfRule>
    <cfRule type="expression" dxfId="75" priority="36">
      <formula>ISODD($M53)</formula>
    </cfRule>
  </conditionalFormatting>
  <conditionalFormatting sqref="I44:I46">
    <cfRule type="expression" dxfId="74" priority="136">
      <formula>ISEVEN($M44)</formula>
    </cfRule>
  </conditionalFormatting>
  <conditionalFormatting sqref="I45:I46">
    <cfRule type="expression" dxfId="73" priority="137">
      <formula>ISODD($M45)</formula>
    </cfRule>
  </conditionalFormatting>
  <conditionalFormatting sqref="I51:I52">
    <cfRule type="expression" dxfId="72" priority="78">
      <formula>ISEVEN($M51)</formula>
    </cfRule>
    <cfRule type="expression" dxfId="71" priority="79">
      <formula>ISODD($M51)</formula>
    </cfRule>
  </conditionalFormatting>
  <conditionalFormatting sqref="I52">
    <cfRule type="expression" dxfId="70" priority="74">
      <formula>ISEVEN($M52)</formula>
    </cfRule>
    <cfRule type="expression" dxfId="69" priority="75">
      <formula>ISODD($M52)</formula>
    </cfRule>
  </conditionalFormatting>
  <conditionalFormatting sqref="I52:I54">
    <cfRule type="expression" dxfId="68" priority="37">
      <formula>ISEVEN($M52)</formula>
    </cfRule>
    <cfRule type="expression" dxfId="67" priority="38">
      <formula>ISODD($M52)</formula>
    </cfRule>
  </conditionalFormatting>
  <conditionalFormatting sqref="I53:I54">
    <cfRule type="expression" dxfId="66" priority="31">
      <formula>ISEVEN($M53)</formula>
    </cfRule>
    <cfRule type="expression" dxfId="65" priority="32">
      <formula>ISODD($M53)</formula>
    </cfRule>
    <cfRule type="expression" dxfId="64" priority="33">
      <formula>ISEVEN($M53)</formula>
    </cfRule>
    <cfRule type="expression" dxfId="63" priority="34">
      <formula>ISODD($M53)</formula>
    </cfRule>
  </conditionalFormatting>
  <conditionalFormatting sqref="I47:J48">
    <cfRule type="expression" dxfId="62" priority="194">
      <formula>ISEVEN($M47)</formula>
    </cfRule>
    <cfRule type="expression" dxfId="61" priority="195">
      <formula>ISODD($M47)</formula>
    </cfRule>
  </conditionalFormatting>
  <conditionalFormatting sqref="I51:J51">
    <cfRule type="expression" dxfId="60" priority="108">
      <formula>ISEVEN($M51)</formula>
    </cfRule>
    <cfRule type="expression" dxfId="59" priority="109">
      <formula>ISODD($M51)</formula>
    </cfRule>
  </conditionalFormatting>
  <conditionalFormatting sqref="J4:J46">
    <cfRule type="expression" dxfId="58" priority="70">
      <formula>ISEVEN($M4)</formula>
    </cfRule>
    <cfRule type="expression" dxfId="57" priority="71">
      <formula>ISODD($M4)</formula>
    </cfRule>
  </conditionalFormatting>
  <conditionalFormatting sqref="J49">
    <cfRule type="expression" dxfId="56" priority="122">
      <formula>ISEVEN($M49)</formula>
    </cfRule>
    <cfRule type="expression" dxfId="55" priority="123">
      <formula>ISODD($M49)</formula>
    </cfRule>
  </conditionalFormatting>
  <conditionalFormatting sqref="J51">
    <cfRule type="expression" dxfId="54" priority="112">
      <formula>ISEVEN($M51)</formula>
    </cfRule>
    <cfRule type="expression" dxfId="53" priority="113">
      <formula>ISODD($M51)</formula>
    </cfRule>
  </conditionalFormatting>
  <conditionalFormatting sqref="J52">
    <cfRule type="expression" dxfId="52" priority="90">
      <formula>ISEVEN($M52)</formula>
    </cfRule>
    <cfRule type="expression" dxfId="51" priority="91">
      <formula>ISODD($M52)</formula>
    </cfRule>
  </conditionalFormatting>
  <conditionalFormatting sqref="J53:J54">
    <cfRule type="expression" dxfId="50" priority="49">
      <formula>ISEVEN($M53)</formula>
    </cfRule>
    <cfRule type="expression" dxfId="49" priority="50">
      <formula>ISODD($M53)</formula>
    </cfRule>
  </conditionalFormatting>
  <conditionalFormatting sqref="K4">
    <cfRule type="expression" dxfId="48" priority="680">
      <formula>ISEVEN($N4)</formula>
    </cfRule>
    <cfRule type="expression" dxfId="47" priority="681">
      <formula>ISODD($N4)</formula>
    </cfRule>
  </conditionalFormatting>
  <conditionalFormatting sqref="K5:M54">
    <cfRule type="expression" dxfId="46" priority="10">
      <formula>ISEVEN($M5)</formula>
    </cfRule>
    <cfRule type="expression" dxfId="45" priority="11">
      <formula>ISODD($M5)</formula>
    </cfRule>
  </conditionalFormatting>
  <conditionalFormatting sqref="L4:M4">
    <cfRule type="expression" dxfId="44" priority="729">
      <formula>ISODD($M4)</formula>
    </cfRule>
  </conditionalFormatting>
  <conditionalFormatting sqref="N4:P54">
    <cfRule type="expression" dxfId="43" priority="937" stopIfTrue="1">
      <formula>SUM($N4:$P4)=6</formula>
    </cfRule>
  </conditionalFormatting>
  <conditionalFormatting sqref="N52:P54">
    <cfRule type="expression" dxfId="42" priority="66" stopIfTrue="1">
      <formula>SUM($N52:$P52)=6</formula>
    </cfRule>
  </conditionalFormatting>
  <conditionalFormatting sqref="Q4:S47">
    <cfRule type="expression" dxfId="41" priority="9">
      <formula>SUM($Q4:$S4)=3</formula>
    </cfRule>
  </conditionalFormatting>
  <conditionalFormatting sqref="U4:BV54">
    <cfRule type="expression" dxfId="40" priority="62">
      <formula>ISEVEN($M4)</formula>
    </cfRule>
    <cfRule type="expression" dxfId="39" priority="63">
      <formula>ISODD($M4)</formula>
    </cfRule>
  </conditionalFormatting>
  <conditionalFormatting sqref="BY4:BY54">
    <cfRule type="cellIs" dxfId="38" priority="67" operator="greaterThan">
      <formula>0</formula>
    </cfRule>
  </conditionalFormatting>
  <conditionalFormatting sqref="CE4:CE54">
    <cfRule type="expression" dxfId="37" priority="7">
      <formula>ISEVEN($M4)</formula>
    </cfRule>
    <cfRule type="expression" dxfId="36" priority="8">
      <formula>ISODD($M4)</formula>
    </cfRule>
  </conditionalFormatting>
  <conditionalFormatting sqref="CG4:CG54">
    <cfRule type="cellIs" dxfId="35" priority="61" operator="notEqual">
      <formula>0</formula>
    </cfRule>
  </conditionalFormatting>
  <printOptions gridLines="1"/>
  <pageMargins left="0.25" right="0.25" top="0.75" bottom="0.75" header="0.3" footer="0.3"/>
  <pageSetup scale="45" orientation="landscape" r:id="rId5"/>
  <headerFooter alignWithMargins="0">
    <oddHeader xml:space="preserve">&amp;L2025 TSA Dual Meet Results&amp;CSouthern League&amp;R&amp;D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U50"/>
  <sheetViews>
    <sheetView zoomScaleNormal="100" workbookViewId="0">
      <selection activeCell="X11" sqref="X11"/>
    </sheetView>
  </sheetViews>
  <sheetFormatPr defaultColWidth="9.140625" defaultRowHeight="12.75"/>
  <cols>
    <col min="1" max="2" width="5.5703125" style="5" customWidth="1"/>
    <col min="3" max="3" width="19" style="15" customWidth="1"/>
    <col min="4" max="4" width="3.7109375" style="15" customWidth="1"/>
    <col min="5" max="10" width="4.5703125" style="15" hidden="1" customWidth="1"/>
    <col min="11" max="11" width="7.7109375" style="15" hidden="1" customWidth="1"/>
    <col min="12" max="12" width="4.42578125" style="15" hidden="1" customWidth="1"/>
    <col min="13" max="18" width="3.28515625" style="2" customWidth="1"/>
    <col min="19" max="19" width="3" style="2" customWidth="1"/>
    <col min="20" max="20" width="3.7109375" style="2" hidden="1" customWidth="1"/>
    <col min="21" max="56" width="4.5703125" style="2" customWidth="1"/>
    <col min="57" max="57" width="4.5703125" style="15" customWidth="1"/>
    <col min="58" max="61" width="4.5703125" style="2" customWidth="1"/>
    <col min="62" max="62" width="9.140625" style="60" customWidth="1"/>
    <col min="63" max="68" width="9.140625" style="8" customWidth="1"/>
    <col min="69" max="69" width="9.140625" style="60" customWidth="1"/>
    <col min="70" max="70" width="9.140625" style="8" customWidth="1"/>
    <col min="71" max="73" width="9.140625" style="5" customWidth="1"/>
    <col min="74" max="16384" width="9.140625" style="8"/>
  </cols>
  <sheetData>
    <row r="1" spans="1:73" s="3" customFormat="1" ht="87" customHeight="1">
      <c r="A1" s="124">
        <f>BK44</f>
        <v>0.59009009009009006</v>
      </c>
      <c r="C1" s="2">
        <f>SUM(U4:BI41)+SUM(South!U4:W7)</f>
        <v>0</v>
      </c>
      <c r="D1" s="2"/>
      <c r="E1" s="142"/>
      <c r="F1" s="143"/>
      <c r="G1" s="142"/>
      <c r="H1" s="142"/>
      <c r="I1" s="142"/>
      <c r="J1" s="142"/>
      <c r="K1" s="142"/>
      <c r="L1" s="142"/>
      <c r="M1" s="71">
        <v>6</v>
      </c>
      <c r="N1" s="169" t="s">
        <v>112</v>
      </c>
      <c r="O1" s="170"/>
      <c r="P1" s="170"/>
      <c r="Q1" s="170"/>
      <c r="R1" s="170"/>
      <c r="S1" s="170"/>
      <c r="T1" s="145"/>
      <c r="U1" s="4" t="str">
        <f>South!C4</f>
        <v>Cary</v>
      </c>
      <c r="V1" s="4" t="str">
        <f>South!C5</f>
        <v>Scottish Hills</v>
      </c>
      <c r="W1" s="4" t="str">
        <f>South!C6</f>
        <v>Cary Park</v>
      </c>
      <c r="X1" s="4" t="str">
        <f>C4</f>
        <v>Seven Oaks</v>
      </c>
      <c r="Y1" s="4" t="str">
        <f>C5</f>
        <v>University Club</v>
      </c>
      <c r="Z1" s="4" t="str">
        <f>C6</f>
        <v>Greystone</v>
      </c>
      <c r="AA1" s="4" t="str">
        <f>C7</f>
        <v>Wood Valley</v>
      </c>
      <c r="AB1" s="4" t="str">
        <f>C8</f>
        <v>Granite Falls</v>
      </c>
      <c r="AC1" s="4" t="str">
        <f>C9</f>
        <v>Brier Creek</v>
      </c>
      <c r="AD1" s="4" t="str">
        <f>C10</f>
        <v>North Hills</v>
      </c>
      <c r="AE1" s="4" t="str">
        <f>C11</f>
        <v>North Raleigh</v>
      </c>
      <c r="AF1" s="4" t="str">
        <f>C12</f>
        <v>Bedford at Falls River</v>
      </c>
      <c r="AG1" s="4" t="str">
        <f>C13</f>
        <v>Greenway Club</v>
      </c>
      <c r="AH1" s="4" t="str">
        <f>C14</f>
        <v>Northbrook</v>
      </c>
      <c r="AI1" s="4" t="str">
        <f>C15</f>
        <v>Harrington Grove</v>
      </c>
      <c r="AJ1" s="4" t="str">
        <f>C16</f>
        <v>Lake Park</v>
      </c>
      <c r="AK1" s="4" t="str">
        <f>C17</f>
        <v>Riverwood</v>
      </c>
      <c r="AL1" s="4" t="str">
        <f>C18</f>
        <v>Quail Hollow</v>
      </c>
      <c r="AM1" s="4" t="str">
        <f>C19</f>
        <v>Stonebridge</v>
      </c>
      <c r="AN1" s="4" t="str">
        <f>C20</f>
        <v>Heritage of Wake Forest</v>
      </c>
      <c r="AO1" s="4" t="str">
        <f>C21</f>
        <v>Springdale</v>
      </c>
      <c r="AP1" s="4" t="str">
        <f>C22</f>
        <v>Hasentree</v>
      </c>
      <c r="AQ1" s="4" t="str">
        <f>C23</f>
        <v>Summerfield North</v>
      </c>
      <c r="AR1" s="4" t="str">
        <f>C24</f>
        <v>Durant Trails</v>
      </c>
      <c r="AS1" s="4" t="str">
        <f>C25</f>
        <v>Lifetime Raleigh</v>
      </c>
      <c r="AT1" s="4" t="str">
        <f>C26</f>
        <v>Oak Park</v>
      </c>
      <c r="AU1" s="4" t="str">
        <f>C27</f>
        <v>Manchester</v>
      </c>
      <c r="AV1" s="4" t="str">
        <f>C28</f>
        <v>Hedingham</v>
      </c>
      <c r="AW1" s="4" t="str">
        <f>C29</f>
        <v>Jewish Community Center</v>
      </c>
      <c r="AX1" s="4" t="str">
        <f>C30</f>
        <v>Meredith Townes</v>
      </c>
      <c r="AY1" s="4" t="str">
        <f>C31</f>
        <v>Lakemont</v>
      </c>
      <c r="AZ1" s="4" t="str">
        <f>C32</f>
        <v>Crabtree</v>
      </c>
      <c r="BA1" s="4" t="str">
        <f>C33</f>
        <v>Southall</v>
      </c>
      <c r="BB1" s="4" t="str">
        <f>C34</f>
        <v>Black Horse Run</v>
      </c>
      <c r="BC1" s="4" t="str">
        <f>C35</f>
        <v>Banbury Woods &amp; Hunters Landing</v>
      </c>
      <c r="BD1" s="4" t="str">
        <f>C36</f>
        <v>Hawthorne</v>
      </c>
      <c r="BE1" s="4" t="str">
        <f>C37</f>
        <v>Wendell</v>
      </c>
      <c r="BF1" s="4" t="str">
        <f>C38</f>
        <v>Coachman's Trail</v>
      </c>
      <c r="BG1" s="4" t="str">
        <f>C39</f>
        <v>Raleigh Racquet</v>
      </c>
      <c r="BH1" s="4" t="str">
        <f>C40</f>
        <v>Zebulon</v>
      </c>
      <c r="BI1" s="4" t="str">
        <f>C41</f>
        <v>Planter's Walk</v>
      </c>
      <c r="BJ1" s="59" t="s">
        <v>185</v>
      </c>
      <c r="BQ1" s="59"/>
    </row>
    <row r="2" spans="1:73">
      <c r="A2" s="9">
        <f>South!A2</f>
        <v>2026</v>
      </c>
      <c r="B2" s="9">
        <f>South!B2</f>
        <v>2025</v>
      </c>
      <c r="C2" s="2"/>
      <c r="D2" s="2"/>
      <c r="E2" s="166" t="s">
        <v>130</v>
      </c>
      <c r="F2" s="167"/>
      <c r="G2" s="167"/>
      <c r="H2" s="167"/>
      <c r="I2" s="167"/>
      <c r="J2" s="168"/>
      <c r="K2" s="6"/>
      <c r="L2" s="2">
        <v>2023</v>
      </c>
      <c r="N2" s="163" t="s">
        <v>75</v>
      </c>
      <c r="O2" s="164"/>
      <c r="P2" s="164"/>
      <c r="Q2" s="163" t="s">
        <v>41</v>
      </c>
      <c r="R2" s="164"/>
      <c r="S2" s="165"/>
      <c r="U2" s="2" t="s">
        <v>68</v>
      </c>
      <c r="V2" s="2" t="s">
        <v>68</v>
      </c>
      <c r="W2" s="2" t="s">
        <v>68</v>
      </c>
      <c r="X2" s="2">
        <v>1</v>
      </c>
      <c r="Y2" s="2">
        <v>1</v>
      </c>
      <c r="Z2" s="2">
        <v>1</v>
      </c>
      <c r="AA2" s="2">
        <v>1</v>
      </c>
      <c r="AB2" s="2">
        <v>2</v>
      </c>
      <c r="AC2" s="2">
        <v>2</v>
      </c>
      <c r="AD2" s="2">
        <v>2</v>
      </c>
      <c r="AE2" s="2">
        <v>2</v>
      </c>
      <c r="AF2" s="2">
        <v>3</v>
      </c>
      <c r="AG2" s="2">
        <v>3</v>
      </c>
      <c r="AH2" s="2">
        <v>3</v>
      </c>
      <c r="AI2" s="2">
        <v>3</v>
      </c>
      <c r="AJ2" s="2">
        <v>4</v>
      </c>
      <c r="AK2" s="2">
        <v>4</v>
      </c>
      <c r="AL2" s="2">
        <v>4</v>
      </c>
      <c r="AM2" s="2">
        <v>4</v>
      </c>
      <c r="AN2" s="2">
        <v>5</v>
      </c>
      <c r="AO2" s="2">
        <v>5</v>
      </c>
      <c r="AP2" s="2">
        <v>5</v>
      </c>
      <c r="AQ2" s="2">
        <v>5</v>
      </c>
      <c r="AR2" s="2">
        <v>6</v>
      </c>
      <c r="AS2" s="2">
        <v>6</v>
      </c>
      <c r="AT2" s="2">
        <v>6</v>
      </c>
      <c r="AU2" s="2">
        <v>6</v>
      </c>
      <c r="AV2" s="2">
        <v>7</v>
      </c>
      <c r="AW2" s="2">
        <v>7</v>
      </c>
      <c r="AX2" s="2">
        <v>7</v>
      </c>
      <c r="AY2" s="2">
        <v>7</v>
      </c>
      <c r="AZ2" s="2">
        <v>8</v>
      </c>
      <c r="BA2" s="2">
        <v>8</v>
      </c>
      <c r="BB2" s="2">
        <v>8</v>
      </c>
      <c r="BC2" s="2">
        <v>8</v>
      </c>
      <c r="BD2" s="2">
        <v>9</v>
      </c>
      <c r="BE2" s="2">
        <v>9</v>
      </c>
      <c r="BF2" s="2">
        <v>9</v>
      </c>
      <c r="BG2" s="2">
        <v>10</v>
      </c>
      <c r="BH2" s="2">
        <v>10</v>
      </c>
      <c r="BI2" s="2">
        <v>10</v>
      </c>
      <c r="BK2" s="5" t="s">
        <v>107</v>
      </c>
      <c r="BL2" s="5" t="s">
        <v>107</v>
      </c>
      <c r="BM2" s="5" t="s">
        <v>107</v>
      </c>
    </row>
    <row r="3" spans="1:73" ht="13.5" customHeight="1" thickBot="1">
      <c r="A3" s="9" t="s">
        <v>43</v>
      </c>
      <c r="B3" s="9" t="s">
        <v>43</v>
      </c>
      <c r="C3" s="2"/>
      <c r="D3" s="2"/>
      <c r="E3" s="68" t="s">
        <v>119</v>
      </c>
      <c r="F3" s="68" t="s">
        <v>120</v>
      </c>
      <c r="G3" s="68" t="s">
        <v>121</v>
      </c>
      <c r="H3" s="68" t="s">
        <v>131</v>
      </c>
      <c r="I3" s="68" t="s">
        <v>132</v>
      </c>
      <c r="J3" s="68" t="s">
        <v>133</v>
      </c>
      <c r="K3" s="2"/>
      <c r="L3" s="2" t="s">
        <v>43</v>
      </c>
      <c r="M3" s="7" t="s">
        <v>69</v>
      </c>
      <c r="N3" s="7" t="s">
        <v>44</v>
      </c>
      <c r="O3" s="7" t="s">
        <v>45</v>
      </c>
      <c r="P3" s="7" t="s">
        <v>46</v>
      </c>
      <c r="Q3" s="7" t="s">
        <v>44</v>
      </c>
      <c r="R3" s="7" t="s">
        <v>45</v>
      </c>
      <c r="S3" s="7" t="s">
        <v>46</v>
      </c>
      <c r="T3" s="7" t="s">
        <v>47</v>
      </c>
      <c r="BK3" s="5" t="s">
        <v>108</v>
      </c>
      <c r="BL3" s="5" t="s">
        <v>109</v>
      </c>
      <c r="BM3" s="5" t="s">
        <v>110</v>
      </c>
      <c r="BN3" s="5" t="s">
        <v>111</v>
      </c>
      <c r="BS3" s="9" t="s">
        <v>184</v>
      </c>
      <c r="BT3" s="9" t="s">
        <v>124</v>
      </c>
      <c r="BU3" s="9" t="s">
        <v>125</v>
      </c>
    </row>
    <row r="4" spans="1:73" ht="13.5" customHeight="1">
      <c r="A4" s="5">
        <v>1</v>
      </c>
      <c r="B4" s="5">
        <v>1</v>
      </c>
      <c r="C4" s="154" t="s">
        <v>4</v>
      </c>
      <c r="D4" s="41"/>
      <c r="E4" s="41"/>
      <c r="F4" s="5"/>
      <c r="G4" s="5"/>
      <c r="H4" s="5">
        <f>IF(AND(Y4&gt;0,$A4&lt;VLOOKUP(Y$1,$C:$L,10,FALSE)),1,IF(AND(Y4&lt;0,$A4&gt;VLOOKUP(Y$1,$C:$L,10,FALSE)),1,0))</f>
        <v>1</v>
      </c>
      <c r="I4" s="5">
        <f>IF(AND(Z4&gt;0,$A4&lt;VLOOKUP(Z$1,$C:$L,10,FALSE)),1,IF(AND(Z4&lt;0,$A4&gt;VLOOKUP(Z$1,$C:$L,10,FALSE)),1,0))</f>
        <v>1</v>
      </c>
      <c r="J4" s="5">
        <f>IF(AND(AA4&gt;0,$A4&lt;VLOOKUP(AA$1,$C:$L,10,FALSE)),1,IF(AND(AA4&lt;0,$A4&gt;VLOOKUP(AA$1,$C:$L,10,FALSE)),1,0))</f>
        <v>1</v>
      </c>
      <c r="K4" s="79" t="s">
        <v>134</v>
      </c>
      <c r="L4" s="5">
        <f t="shared" ref="L4:L41" si="0">B4</f>
        <v>1</v>
      </c>
      <c r="M4" s="2">
        <v>1</v>
      </c>
      <c r="N4" s="11">
        <f t="shared" ref="N4:N12" si="1">COUNTIF($U4:$BI4,"&gt;0")</f>
        <v>6</v>
      </c>
      <c r="O4" s="2">
        <f t="shared" ref="O4:O12" si="2">COUNTIF($U4:$BI4,"&lt;0")</f>
        <v>0</v>
      </c>
      <c r="P4" s="2">
        <f t="shared" ref="P4:P12" si="3">COUNTIF($U4:$BI4,"=0")</f>
        <v>0</v>
      </c>
      <c r="Q4" s="12">
        <f>COUNTIF($X4:$AA4,"&gt;0")</f>
        <v>3</v>
      </c>
      <c r="R4" s="13">
        <f>COUNTIF($X4:$AA4,"&lt;0")</f>
        <v>0</v>
      </c>
      <c r="S4" s="14">
        <f>COUNTIF($X4:$AA4,"=0")</f>
        <v>0</v>
      </c>
      <c r="T4" s="2">
        <f t="shared" ref="T4:T41" si="4">COUNTIF(U4:BI4,"NC")</f>
        <v>0</v>
      </c>
      <c r="U4" s="2">
        <f>IFERROR(IFERROR(VLOOKUP($C4&amp;" "&amp;U$1,Results!$F:$H,3,FALSE),-VLOOKUP($C4&amp;" "&amp;U$1,Results!$G:$H,2,FALSE)),"")</f>
        <v>134</v>
      </c>
      <c r="V4" s="2">
        <f>IFERROR(IFERROR(VLOOKUP($C4&amp;" "&amp;V$1,Results!$F:$H,3,FALSE),-VLOOKUP($C4&amp;" "&amp;V$1,Results!$G:$H,2,FALSE)),"")</f>
        <v>197</v>
      </c>
      <c r="W4" s="2">
        <f>IFERROR(IFERROR(VLOOKUP($C4&amp;" "&amp;W$1,Results!$F:$H,3,FALSE),-VLOOKUP($C4&amp;" "&amp;W$1,Results!$G:$H,2,FALSE)),"")</f>
        <v>99</v>
      </c>
      <c r="X4" s="18" t="str">
        <f>IFERROR(IFERROR(VLOOKUP($C4&amp;" "&amp;X$1,Results!$F:$H,3,FALSE),-VLOOKUP($C4&amp;" "&amp;X$1,Results!$G:$H,2,FALSE)),"")</f>
        <v/>
      </c>
      <c r="Y4" s="42">
        <f>IFERROR(IFERROR(VLOOKUP($C4&amp;" "&amp;Y$1,Results!$F:$H,3,FALSE),-VLOOKUP($C4&amp;" "&amp;Y$1,Results!$G:$H,2,FALSE)),"")</f>
        <v>66</v>
      </c>
      <c r="Z4" s="42">
        <f>IFERROR(IFERROR(VLOOKUP($C4&amp;" "&amp;Z$1,Results!$F:$H,3,FALSE),-VLOOKUP($C4&amp;" "&amp;Z$1,Results!$G:$H,2,FALSE)),"")</f>
        <v>173</v>
      </c>
      <c r="AA4" s="43">
        <f>IFERROR(IFERROR(VLOOKUP($C4&amp;" "&amp;AA$1,Results!$F:$H,3,FALSE),-VLOOKUP($C4&amp;" "&amp;AA$1,Results!$G:$H,2,FALSE)),"")</f>
        <v>225</v>
      </c>
      <c r="AB4" s="2" t="str">
        <f>IFERROR(IFERROR(VLOOKUP($C4&amp;" "&amp;AB$1,Results!$F:$H,3,FALSE),-VLOOKUP($C4&amp;" "&amp;AB$1,Results!$G:$H,2,FALSE)),"")</f>
        <v/>
      </c>
      <c r="AC4" s="2" t="str">
        <f>IFERROR(IFERROR(VLOOKUP($C4&amp;" "&amp;AC$1,Results!$F:$H,3,FALSE),-VLOOKUP($C4&amp;" "&amp;AC$1,Results!$G:$H,2,FALSE)),"")</f>
        <v/>
      </c>
      <c r="AD4" s="2" t="str">
        <f>IFERROR(IFERROR(VLOOKUP($C4&amp;" "&amp;AD$1,Results!$F:$H,3,FALSE),-VLOOKUP($C4&amp;" "&amp;AD$1,Results!$G:$H,2,FALSE)),"")</f>
        <v/>
      </c>
      <c r="AE4" s="2" t="str">
        <f>IFERROR(IFERROR(VLOOKUP($C4&amp;" "&amp;AE$1,Results!$F:$H,3,FALSE),-VLOOKUP($C4&amp;" "&amp;AE$1,Results!$G:$H,2,FALSE)),"")</f>
        <v/>
      </c>
      <c r="AF4" s="2" t="str">
        <f>IFERROR(IFERROR(VLOOKUP($C4&amp;" "&amp;AF$1,Results!$F:$H,3,FALSE),-VLOOKUP($C4&amp;" "&amp;AF$1,Results!$G:$H,2,FALSE)),"")</f>
        <v/>
      </c>
      <c r="AG4" s="2" t="str">
        <f>IFERROR(IFERROR(VLOOKUP($C4&amp;" "&amp;AG$1,Results!$F:$H,3,FALSE),-VLOOKUP($C4&amp;" "&amp;AG$1,Results!$G:$H,2,FALSE)),"")</f>
        <v/>
      </c>
      <c r="AH4" s="2" t="str">
        <f>IFERROR(IFERROR(VLOOKUP($C4&amp;" "&amp;AH$1,Results!$F:$H,3,FALSE),-VLOOKUP($C4&amp;" "&amp;AH$1,Results!$G:$H,2,FALSE)),"")</f>
        <v/>
      </c>
      <c r="AI4" s="2" t="str">
        <f>IFERROR(IFERROR(VLOOKUP($C4&amp;" "&amp;AI$1,Results!$F:$H,3,FALSE),-VLOOKUP($C4&amp;" "&amp;AI$1,Results!$G:$H,2,FALSE)),"")</f>
        <v/>
      </c>
      <c r="AJ4" s="2" t="str">
        <f>IFERROR(IFERROR(VLOOKUP($C4&amp;" "&amp;AJ$1,Results!$F:$H,3,FALSE),-VLOOKUP($C4&amp;" "&amp;AJ$1,Results!$G:$H,2,FALSE)),"")</f>
        <v/>
      </c>
      <c r="AK4" s="2" t="str">
        <f>IFERROR(IFERROR(VLOOKUP($C4&amp;" "&amp;AK$1,Results!$F:$H,3,FALSE),-VLOOKUP($C4&amp;" "&amp;AK$1,Results!$G:$H,2,FALSE)),"")</f>
        <v/>
      </c>
      <c r="AL4" s="2" t="str">
        <f>IFERROR(IFERROR(VLOOKUP($C4&amp;" "&amp;AL$1,Results!$F:$H,3,FALSE),-VLOOKUP($C4&amp;" "&amp;AL$1,Results!$G:$H,2,FALSE)),"")</f>
        <v/>
      </c>
      <c r="AM4" s="2" t="str">
        <f>IFERROR(IFERROR(VLOOKUP($C4&amp;" "&amp;AM$1,Results!$F:$H,3,FALSE),-VLOOKUP($C4&amp;" "&amp;AM$1,Results!$G:$H,2,FALSE)),"")</f>
        <v/>
      </c>
      <c r="AN4" s="2" t="str">
        <f>IFERROR(IFERROR(VLOOKUP($C4&amp;" "&amp;AN$1,Results!$F:$H,3,FALSE),-VLOOKUP($C4&amp;" "&amp;AN$1,Results!$G:$H,2,FALSE)),"")</f>
        <v/>
      </c>
      <c r="AO4" s="2" t="str">
        <f>IFERROR(IFERROR(VLOOKUP($C4&amp;" "&amp;AO$1,Results!$F:$H,3,FALSE),-VLOOKUP($C4&amp;" "&amp;AO$1,Results!$G:$H,2,FALSE)),"")</f>
        <v/>
      </c>
      <c r="AP4" s="2" t="str">
        <f>IFERROR(IFERROR(VLOOKUP($C4&amp;" "&amp;AP$1,Results!$F:$H,3,FALSE),-VLOOKUP($C4&amp;" "&amp;AP$1,Results!$G:$H,2,FALSE)),"")</f>
        <v/>
      </c>
      <c r="AQ4" s="2" t="str">
        <f>IFERROR(IFERROR(VLOOKUP($C4&amp;" "&amp;AQ$1,Results!$F:$H,3,FALSE),-VLOOKUP($C4&amp;" "&amp;AQ$1,Results!$F:$H,2,FALSE)),"")</f>
        <v/>
      </c>
      <c r="AV4" s="5"/>
      <c r="AW4" s="5"/>
      <c r="AZ4" s="5"/>
      <c r="BA4" s="5"/>
      <c r="BE4" s="5"/>
      <c r="BF4" s="5"/>
      <c r="BH4" s="8"/>
      <c r="BI4" s="8"/>
      <c r="BJ4" s="82">
        <f t="shared" ref="BJ4:BJ41" si="5">SUM(U4:BH4)</f>
        <v>894</v>
      </c>
      <c r="BK4" s="5">
        <f t="shared" ref="BK4:BK41" si="6">COUNTIF(E4:J4,1)</f>
        <v>3</v>
      </c>
      <c r="BL4" s="5">
        <f t="shared" ref="BL4:BL41" si="7">COUNTIF(E4:J4,0)</f>
        <v>0</v>
      </c>
      <c r="BM4" s="5">
        <f t="shared" ref="BM4:BM41" si="8">COUNT(E4:J4)</f>
        <v>3</v>
      </c>
      <c r="BN4" s="65">
        <f t="shared" ref="BN4:BN41" si="9">+BK4/BM4</f>
        <v>1</v>
      </c>
      <c r="BQ4" s="60">
        <f t="shared" ref="BQ4:BQ41" si="10">SUM(U4:BI4)</f>
        <v>894</v>
      </c>
      <c r="BS4" s="5">
        <v>1</v>
      </c>
      <c r="BT4" s="5">
        <f t="shared" ref="BT4:BT41" si="11">A4</f>
        <v>1</v>
      </c>
      <c r="BU4" s="5">
        <f t="shared" ref="BU4:BU41" si="12">+BS4-BT4</f>
        <v>0</v>
      </c>
    </row>
    <row r="5" spans="1:73" ht="13.5" customHeight="1">
      <c r="A5" s="5">
        <v>2</v>
      </c>
      <c r="B5" s="5">
        <v>2</v>
      </c>
      <c r="C5" s="10" t="s">
        <v>8</v>
      </c>
      <c r="D5" s="10"/>
      <c r="E5" s="5"/>
      <c r="F5" s="5"/>
      <c r="G5" s="5">
        <f>IF(AND(X5&gt;0,$A5&lt;VLOOKUP(X$1,$C:$L,10,FALSE)),1,IF(AND(X5&lt;0,$A5&gt;VLOOKUP(X$1,$C:$L,10,FALSE)),1,0))</f>
        <v>1</v>
      </c>
      <c r="H5" s="5">
        <f>IF(AND(Z5&gt;0,$A5&lt;VLOOKUP(Z$1,$C:$L,10,FALSE)),1,IF(AND(Z5&lt;0,$A5&gt;VLOOKUP(Z$1,$C:$L,10,FALSE)),1,0))</f>
        <v>1</v>
      </c>
      <c r="I5" s="5">
        <f>IF(AND(AA5&gt;0,$A5&lt;VLOOKUP(AA$1,$C:$L,10,FALSE)),1,IF(AND(AA5&lt;0,$A5&gt;VLOOKUP(AA$1,$C:$L,10,FALSE)),1,0))</f>
        <v>1</v>
      </c>
      <c r="J5" s="5">
        <f>IF(AND(AB5&gt;0,$A5&lt;VLOOKUP(AB$1,$C:$L,10,FALSE)),1,IF(AND(AB5&lt;0,$A5&gt;VLOOKUP(AB$1,$C:$L,10,FALSE)),1,0))</f>
        <v>1</v>
      </c>
      <c r="K5" s="79" t="s">
        <v>134</v>
      </c>
      <c r="L5" s="5">
        <f t="shared" si="0"/>
        <v>2</v>
      </c>
      <c r="M5" s="2">
        <v>1</v>
      </c>
      <c r="N5" s="11">
        <f t="shared" si="1"/>
        <v>4</v>
      </c>
      <c r="O5" s="2">
        <f t="shared" si="2"/>
        <v>2</v>
      </c>
      <c r="P5" s="2">
        <f t="shared" si="3"/>
        <v>0</v>
      </c>
      <c r="Q5" s="12">
        <f t="shared" ref="Q5:Q7" si="13">COUNTIF($X5:$AA5,"&gt;0")</f>
        <v>2</v>
      </c>
      <c r="R5" s="13">
        <f t="shared" ref="R5:R7" si="14">COUNTIF($X5:$AA5,"&lt;0")</f>
        <v>1</v>
      </c>
      <c r="S5" s="14">
        <f t="shared" ref="S5:S7" si="15">COUNTIF($X5:$AA5,"=0")</f>
        <v>0</v>
      </c>
      <c r="T5" s="2">
        <f t="shared" si="4"/>
        <v>0</v>
      </c>
      <c r="U5" s="2">
        <f>IFERROR(IFERROR(VLOOKUP($C5&amp;" "&amp;U$1,Results!$F:$H,3,FALSE),-VLOOKUP($C5&amp;" "&amp;U$1,Results!$G:$H,2,FALSE)),"")</f>
        <v>-13</v>
      </c>
      <c r="V5" s="2">
        <f>IFERROR(IFERROR(VLOOKUP($C5&amp;" "&amp;V$1,Results!$F:$H,3,FALSE),-VLOOKUP($C5&amp;" "&amp;V$1,Results!$G:$H,2,FALSE)),"")</f>
        <v>102</v>
      </c>
      <c r="W5" s="2" t="str">
        <f>IFERROR(IFERROR(VLOOKUP($C5&amp;" "&amp;W$1,Results!$F:$H,3,FALSE),-VLOOKUP($C5&amp;" "&amp;W$1,Results!$G:$H,2,FALSE)),"")</f>
        <v/>
      </c>
      <c r="X5" s="44">
        <f>IFERROR(IFERROR(VLOOKUP($C5&amp;" "&amp;X$1,Results!$F:$H,3,FALSE),-VLOOKUP($C5&amp;" "&amp;X$1,Results!$G:$H,2,FALSE)),"")</f>
        <v>-66</v>
      </c>
      <c r="Y5" s="19" t="str">
        <f>IFERROR(IFERROR(VLOOKUP($C5&amp;" "&amp;Y$1,Results!$F:$H,3,FALSE),-VLOOKUP($C5&amp;" "&amp;Y$1,Results!$G:$H,2,FALSE)),"")</f>
        <v/>
      </c>
      <c r="Z5" s="19">
        <f>IFERROR(IFERROR(VLOOKUP($C5&amp;" "&amp;Z$1,Results!$F:$H,3,FALSE),-VLOOKUP($C5&amp;" "&amp;Z$1,Results!$G:$H,2,FALSE)),"")</f>
        <v>80</v>
      </c>
      <c r="AA5" s="45">
        <f>IFERROR(IFERROR(VLOOKUP($C5&amp;" "&amp;AA$1,Results!$F:$H,3,FALSE),-VLOOKUP($C5&amp;" "&amp;AA$1,Results!$G:$H,2,FALSE)),"")</f>
        <v>123</v>
      </c>
      <c r="AB5" s="2">
        <f>IFERROR(IFERROR(VLOOKUP($C5&amp;" "&amp;AB$1,Results!$F:$H,3,FALSE),-VLOOKUP($C5&amp;" "&amp;AB$1,Results!$G:$H,2,FALSE)),"")</f>
        <v>14</v>
      </c>
      <c r="AC5" s="2" t="str">
        <f>IFERROR(IFERROR(VLOOKUP($C5&amp;" "&amp;AC$1,Results!$F:$H,3,FALSE),-VLOOKUP($C5&amp;" "&amp;AC$1,Results!$G:$H,2,FALSE)),"")</f>
        <v/>
      </c>
      <c r="AD5" s="2" t="str">
        <f>IFERROR(IFERROR(VLOOKUP($C5&amp;" "&amp;AD$1,Results!$F:$H,3,FALSE),-VLOOKUP($C5&amp;" "&amp;AD$1,Results!$G:$H,2,FALSE)),"")</f>
        <v/>
      </c>
      <c r="AE5" s="2" t="str">
        <f>IFERROR(IFERROR(VLOOKUP($C5&amp;" "&amp;AE$1,Results!$F:$H,3,FALSE),-VLOOKUP($C5&amp;" "&amp;AE$1,Results!$G:$H,2,FALSE)),"")</f>
        <v/>
      </c>
      <c r="AF5" s="2" t="str">
        <f>IFERROR(IFERROR(VLOOKUP($C5&amp;" "&amp;AF$1,Results!$F:$H,3,FALSE),-VLOOKUP($C5&amp;" "&amp;AF$1,Results!$G:$H,2,FALSE)),"")</f>
        <v/>
      </c>
      <c r="AG5" s="2" t="str">
        <f>IFERROR(IFERROR(VLOOKUP($C5&amp;" "&amp;AG$1,Results!$F:$H,3,FALSE),-VLOOKUP($C5&amp;" "&amp;AG$1,Results!$G:$H,2,FALSE)),"")</f>
        <v/>
      </c>
      <c r="AH5" s="2" t="str">
        <f>IFERROR(IFERROR(VLOOKUP($C5&amp;" "&amp;AH$1,Results!$F:$H,3,FALSE),-VLOOKUP($C5&amp;" "&amp;AH$1,Results!$G:$H,2,FALSE)),"")</f>
        <v/>
      </c>
      <c r="AI5" s="2" t="str">
        <f>IFERROR(IFERROR(VLOOKUP($C5&amp;" "&amp;AI$1,Results!$F:$H,3,FALSE),-VLOOKUP($C5&amp;" "&amp;AI$1,Results!$G:$H,2,FALSE)),"")</f>
        <v/>
      </c>
      <c r="AJ5" s="2" t="str">
        <f>IFERROR(IFERROR(VLOOKUP($C5&amp;" "&amp;AJ$1,Results!$F:$H,3,FALSE),-VLOOKUP($C5&amp;" "&amp;AJ$1,Results!$G:$H,2,FALSE)),"")</f>
        <v/>
      </c>
      <c r="AK5" s="2" t="str">
        <f>IFERROR(IFERROR(VLOOKUP($C5&amp;" "&amp;AK$1,Results!$F:$H,3,FALSE),-VLOOKUP($C5&amp;" "&amp;AK$1,Results!$G:$H,2,FALSE)),"")</f>
        <v/>
      </c>
      <c r="AL5" s="2" t="str">
        <f>IFERROR(IFERROR(VLOOKUP($C5&amp;" "&amp;AL$1,Results!$F:$H,3,FALSE),-VLOOKUP($C5&amp;" "&amp;AL$1,Results!$G:$H,2,FALSE)),"")</f>
        <v/>
      </c>
      <c r="AM5" s="2" t="str">
        <f>IFERROR(IFERROR(VLOOKUP($C5&amp;" "&amp;AM$1,Results!$F:$H,3,FALSE),-VLOOKUP($C5&amp;" "&amp;AM$1,Results!$G:$H,2,FALSE)),"")</f>
        <v/>
      </c>
      <c r="AN5" s="2" t="str">
        <f>IFERROR(IFERROR(VLOOKUP($C5&amp;" "&amp;AN$1,Results!$F:$H,3,FALSE),-VLOOKUP($C5&amp;" "&amp;AN$1,Results!$G:$H,2,FALSE)),"")</f>
        <v/>
      </c>
      <c r="AO5" s="2" t="str">
        <f>IFERROR(IFERROR(VLOOKUP($C5&amp;" "&amp;AO$1,Results!$F:$H,3,FALSE),-VLOOKUP($C5&amp;" "&amp;AO$1,Results!$G:$H,2,FALSE)),"")</f>
        <v/>
      </c>
      <c r="AP5" s="2" t="str">
        <f>IFERROR(IFERROR(VLOOKUP($C5&amp;" "&amp;AP$1,Results!$F:$H,3,FALSE),-VLOOKUP($C5&amp;" "&amp;AP$1,Results!$G:$H,2,FALSE)),"")</f>
        <v/>
      </c>
      <c r="AV5" s="5"/>
      <c r="AW5" s="5"/>
      <c r="AZ5" s="5"/>
      <c r="BA5" s="5"/>
      <c r="BE5" s="5"/>
      <c r="BF5" s="5"/>
      <c r="BH5" s="8"/>
      <c r="BI5" s="8"/>
      <c r="BJ5" s="82">
        <f t="shared" si="5"/>
        <v>240</v>
      </c>
      <c r="BK5" s="5">
        <f t="shared" si="6"/>
        <v>4</v>
      </c>
      <c r="BL5" s="5">
        <f t="shared" si="7"/>
        <v>0</v>
      </c>
      <c r="BM5" s="5">
        <f t="shared" si="8"/>
        <v>4</v>
      </c>
      <c r="BN5" s="65">
        <f t="shared" si="9"/>
        <v>1</v>
      </c>
      <c r="BQ5" s="60">
        <f t="shared" si="10"/>
        <v>240</v>
      </c>
      <c r="BS5" s="5">
        <v>2</v>
      </c>
      <c r="BT5" s="5">
        <f t="shared" si="11"/>
        <v>2</v>
      </c>
      <c r="BU5" s="5">
        <f t="shared" si="12"/>
        <v>0</v>
      </c>
    </row>
    <row r="6" spans="1:73" ht="13.5" customHeight="1">
      <c r="A6" s="5">
        <v>4</v>
      </c>
      <c r="B6" s="5">
        <v>3</v>
      </c>
      <c r="C6" s="41" t="s">
        <v>6</v>
      </c>
      <c r="D6" s="41"/>
      <c r="E6" s="5">
        <f>IF(AND(Y6&gt;0,$A6&lt;VLOOKUP(Y$1,$C:$L,10,FALSE)),1,IF(AND(Y6&lt;0,$A6&gt;VLOOKUP(Y$1,$C:$L,10,FALSE)),1,0))</f>
        <v>1</v>
      </c>
      <c r="F6" s="5">
        <f>IF(AND(Z6&gt;0,$A6&lt;VLOOKUP(Z$1,$C:$L,10,FALSE)),1,IF(AND(Z6&lt;0,$A6&gt;VLOOKUP(Z$1,$C:$L,10,FALSE)),1,0))</f>
        <v>0</v>
      </c>
      <c r="G6" s="5">
        <f>IF(AND(AA6&gt;0,$A6&lt;VLOOKUP(AA$1,$C:$L,10,FALSE)),1,IF(AND(AA6&lt;0,$A6&gt;VLOOKUP(AA$1,$C:$L,10,FALSE)),1,0))</f>
        <v>0</v>
      </c>
      <c r="H6" s="5">
        <f>IF(AND(AC6&gt;0,$A6&lt;VLOOKUP(AC$1,$C:$L,10,FALSE)),1,IF(AND(AC6&lt;0,$A6&gt;VLOOKUP(AC$1,$C:$L,10,FALSE)),1,0))</f>
        <v>1</v>
      </c>
      <c r="I6" s="5">
        <f>IF(AND(AD6&gt;0,$A6&lt;VLOOKUP(AD$1,$C:$L,10,FALSE)),1,IF(AND(AD6&lt;0,$A6&gt;VLOOKUP(AD$1,$C:$L,10,FALSE)),1,0))</f>
        <v>1</v>
      </c>
      <c r="J6" s="5">
        <f>IF(AND(AE6&gt;0,$A6&lt;VLOOKUP(AE$1,$C:$L,10,FALSE)),1,IF(AND(AE6&lt;0,$A6&gt;VLOOKUP(AE$1,$C:$L,10,FALSE)),1,0))</f>
        <v>1</v>
      </c>
      <c r="K6" s="79" t="s">
        <v>134</v>
      </c>
      <c r="L6" s="5">
        <f t="shared" si="0"/>
        <v>3</v>
      </c>
      <c r="M6" s="2">
        <v>1</v>
      </c>
      <c r="N6" s="11">
        <f t="shared" si="1"/>
        <v>2</v>
      </c>
      <c r="O6" s="2">
        <f t="shared" si="2"/>
        <v>4</v>
      </c>
      <c r="P6" s="2">
        <f t="shared" si="3"/>
        <v>0</v>
      </c>
      <c r="Q6" s="12">
        <f t="shared" si="13"/>
        <v>1</v>
      </c>
      <c r="R6" s="13">
        <f t="shared" si="14"/>
        <v>2</v>
      </c>
      <c r="S6" s="14">
        <f t="shared" si="15"/>
        <v>0</v>
      </c>
      <c r="T6" s="2">
        <f t="shared" si="4"/>
        <v>0</v>
      </c>
      <c r="U6" s="2">
        <f>IFERROR(IFERROR(VLOOKUP($C6&amp;" "&amp;U$1,Results!$F:$H,3,FALSE),-VLOOKUP($C6&amp;" "&amp;U$1,Results!$G:$H,2,FALSE)),"")</f>
        <v>-1</v>
      </c>
      <c r="V6" s="2" t="str">
        <f>IFERROR(IFERROR(VLOOKUP($C6&amp;" "&amp;V$1,Results!$F:$H,3,FALSE),-VLOOKUP($C6&amp;" "&amp;V$1,Results!$G:$H,2,FALSE)),"")</f>
        <v/>
      </c>
      <c r="W6" s="2" t="str">
        <f>IFERROR(IFERROR(VLOOKUP($C6&amp;" "&amp;W$1,Results!$F:$H,3,FALSE),-VLOOKUP($C6&amp;" "&amp;W$1,Results!$G:$H,2,FALSE)),"")</f>
        <v/>
      </c>
      <c r="X6" s="51">
        <f>IFERROR(IFERROR(VLOOKUP($C6&amp;" "&amp;X$1,Results!$F:$H,3,FALSE),-VLOOKUP($C6&amp;" "&amp;X$1,Results!$G:$H,2,FALSE)),"")</f>
        <v>-173</v>
      </c>
      <c r="Y6" s="2">
        <f>IFERROR(IFERROR(VLOOKUP($C6&amp;" "&amp;Y$1,Results!$F:$H,3,FALSE),-VLOOKUP($C6&amp;" "&amp;Y$1,Results!$G:$H,2,FALSE)),"")</f>
        <v>-80</v>
      </c>
      <c r="Z6" s="2" t="str">
        <f>IFERROR(IFERROR(VLOOKUP($C6&amp;" "&amp;Z$1,Results!$F:$H,3,FALSE),-VLOOKUP($C6&amp;" "&amp;Z$1,Results!$G:$H,2,FALSE)),"")</f>
        <v/>
      </c>
      <c r="AA6" s="56">
        <f>IFERROR(IFERROR(VLOOKUP($C6&amp;" "&amp;AA$1,Results!$F:$H,3,FALSE),-VLOOKUP($C6&amp;" "&amp;AA$1,Results!$G:$H,2,FALSE)),"")</f>
        <v>17</v>
      </c>
      <c r="AB6" s="19">
        <f>IFERROR(IFERROR(VLOOKUP($C6&amp;" "&amp;AB$1,Results!$F:$H,3,FALSE),-VLOOKUP($C6&amp;" "&amp;AB$1,Results!$G:$H,2,FALSE)),"")</f>
        <v>-98</v>
      </c>
      <c r="AC6" s="19">
        <f>IFERROR(IFERROR(VLOOKUP($C6&amp;" "&amp;AC$1,Results!$F:$H,3,FALSE),-VLOOKUP($C6&amp;" "&amp;AC$1,Results!$G:$H,2,FALSE)),"")</f>
        <v>33</v>
      </c>
      <c r="AD6" s="19" t="str">
        <f>IFERROR(IFERROR(VLOOKUP($C6&amp;" "&amp;AD$1,Results!$F:$H,3,FALSE),-VLOOKUP($C6&amp;" "&amp;AD$1,Results!$G:$H,2,FALSE)),"")</f>
        <v/>
      </c>
      <c r="AE6" s="19" t="str">
        <f>IFERROR(IFERROR(VLOOKUP($C6&amp;" "&amp;AE$1,Results!$F:$H,3,FALSE),-VLOOKUP($C6&amp;" "&amp;AE$1,Results!$G:$H,2,FALSE)),"")</f>
        <v/>
      </c>
      <c r="AF6" s="2" t="str">
        <f>IFERROR(IFERROR(VLOOKUP($C6&amp;" "&amp;AF$1,Results!$F:$H,3,FALSE),-VLOOKUP($C6&amp;" "&amp;AF$1,Results!$G:$H,2,FALSE)),"")</f>
        <v/>
      </c>
      <c r="AG6" s="2" t="str">
        <f>IFERROR(IFERROR(VLOOKUP($C6&amp;" "&amp;AG$1,Results!$F:$H,3,FALSE),-VLOOKUP($C6&amp;" "&amp;AG$1,Results!$G:$H,2,FALSE)),"")</f>
        <v/>
      </c>
      <c r="AH6" s="2" t="str">
        <f>IFERROR(IFERROR(VLOOKUP($C6&amp;" "&amp;AH$1,Results!$F:$H,3,FALSE),-VLOOKUP($C6&amp;" "&amp;AH$1,Results!$G:$H,2,FALSE)),"")</f>
        <v/>
      </c>
      <c r="AI6" s="2" t="str">
        <f>IFERROR(IFERROR(VLOOKUP($C6&amp;" "&amp;AI$1,Results!$F:$H,3,FALSE),-VLOOKUP($C6&amp;" "&amp;AI$1,Results!$G:$H,2,FALSE)),"")</f>
        <v/>
      </c>
      <c r="AJ6" s="2" t="str">
        <f>IFERROR(IFERROR(VLOOKUP($C6&amp;" "&amp;AJ$1,Results!$F:$H,3,FALSE),-VLOOKUP($C6&amp;" "&amp;AJ$1,Results!$G:$H,2,FALSE)),"")</f>
        <v/>
      </c>
      <c r="AK6" s="2" t="str">
        <f>IFERROR(IFERROR(VLOOKUP($C6&amp;" "&amp;AK$1,Results!$F:$H,3,FALSE),-VLOOKUP($C6&amp;" "&amp;AK$1,Results!$G:$H,2,FALSE)),"")</f>
        <v/>
      </c>
      <c r="AL6" s="2" t="str">
        <f>IFERROR(IFERROR(VLOOKUP($C6&amp;" "&amp;AL$1,Results!$F:$H,3,FALSE),-VLOOKUP($C6&amp;" "&amp;AL$1,Results!$G:$H,2,FALSE)),"")</f>
        <v/>
      </c>
      <c r="AM6" s="2" t="str">
        <f>IFERROR(IFERROR(VLOOKUP($C6&amp;" "&amp;AM$1,Results!$F:$H,3,FALSE),-VLOOKUP($C6&amp;" "&amp;AM$1,Results!$G:$H,2,FALSE)),"")</f>
        <v/>
      </c>
      <c r="AN6" s="2" t="str">
        <f>IFERROR(IFERROR(VLOOKUP($C6&amp;" "&amp;AN$1,Results!$F:$H,3,FALSE),-VLOOKUP($C6&amp;" "&amp;AN$1,Results!$G:$H,2,FALSE)),"")</f>
        <v/>
      </c>
      <c r="AO6" s="2" t="str">
        <f>IFERROR(IFERROR(VLOOKUP($C6&amp;" "&amp;AO$1,Results!$F:$H,3,FALSE),-VLOOKUP($C6&amp;" "&amp;AO$1,Results!$G:$H,2,FALSE)),"")</f>
        <v/>
      </c>
      <c r="AP6" s="2" t="str">
        <f>IFERROR(IFERROR(VLOOKUP($C6&amp;" "&amp;AP$1,Results!$F:$H,3,FALSE),-VLOOKUP($C6&amp;" "&amp;AP$1,Results!$G:$H,2,FALSE)),"")</f>
        <v/>
      </c>
      <c r="AV6" s="5"/>
      <c r="AW6" s="5"/>
      <c r="AZ6" s="5"/>
      <c r="BA6" s="5"/>
      <c r="BE6" s="5"/>
      <c r="BF6" s="5"/>
      <c r="BH6" s="8"/>
      <c r="BI6" s="8"/>
      <c r="BJ6" s="82">
        <f t="shared" si="5"/>
        <v>-302</v>
      </c>
      <c r="BK6" s="5">
        <f t="shared" si="6"/>
        <v>4</v>
      </c>
      <c r="BL6" s="5">
        <f t="shared" si="7"/>
        <v>2</v>
      </c>
      <c r="BM6" s="5">
        <f t="shared" si="8"/>
        <v>6</v>
      </c>
      <c r="BN6" s="65">
        <f t="shared" si="9"/>
        <v>0.66666666666666663</v>
      </c>
      <c r="BQ6" s="60">
        <f t="shared" si="10"/>
        <v>-302</v>
      </c>
      <c r="BS6" s="5">
        <v>3</v>
      </c>
      <c r="BT6" s="5">
        <f t="shared" si="11"/>
        <v>4</v>
      </c>
      <c r="BU6" s="5">
        <f t="shared" si="12"/>
        <v>-1</v>
      </c>
    </row>
    <row r="7" spans="1:73" ht="13.5" customHeight="1" thickBot="1">
      <c r="A7" s="5">
        <v>9</v>
      </c>
      <c r="B7" s="5">
        <v>4</v>
      </c>
      <c r="C7" s="157" t="s">
        <v>9</v>
      </c>
      <c r="D7" s="10"/>
      <c r="E7" s="5">
        <f>IF(AND(Z7&gt;0,$A7&lt;VLOOKUP(Z$1,$C:$L,10,FALSE)),1,IF(AND(Z7&lt;0,$A7&gt;VLOOKUP(Z$1,$C:$L,10,FALSE)),1,0))</f>
        <v>1</v>
      </c>
      <c r="F7" s="5">
        <f>IF(AND(AA7&gt;0,$A7&lt;VLOOKUP(AA$1,$C:$L,10,FALSE)),1,IF(AND(AA7&lt;0,$A7&gt;VLOOKUP(AA$1,$C:$L,10,FALSE)),1,0))</f>
        <v>0</v>
      </c>
      <c r="G7" s="5">
        <f>IF(AND(AB7&gt;0,$A7&lt;VLOOKUP(AB$1,$C:$L,10,FALSE)),1,IF(AND(AB7&lt;0,$A7&gt;VLOOKUP(AB$1,$C:$L,10,FALSE)),1,0))</f>
        <v>1</v>
      </c>
      <c r="H7" s="5">
        <f>IF(AND(AD7&gt;0,$A7&lt;VLOOKUP(AD$1,$C:$L,10,FALSE)),1,IF(AND(AD7&lt;0,$A7&gt;VLOOKUP(AD$1,$C:$L,10,FALSE)),1,0))</f>
        <v>1</v>
      </c>
      <c r="I7" s="5">
        <f>IF(AND(AE7&gt;0,$A7&lt;VLOOKUP(AE$1,$C:$L,10,FALSE)),1,IF(AND(AE7&lt;0,$A7&gt;VLOOKUP(AE$1,$C:$L,10,FALSE)),1,0))</f>
        <v>0</v>
      </c>
      <c r="J7" s="5">
        <f>IF(AND(AF7&gt;0,$A7&lt;VLOOKUP(AF$1,$C:$L,10,FALSE)),1,IF(AND(AF7&lt;0,$A7&gt;VLOOKUP(AF$1,$C:$L,10,FALSE)),1,0))</f>
        <v>0</v>
      </c>
      <c r="K7" s="79" t="s">
        <v>134</v>
      </c>
      <c r="L7" s="5">
        <f t="shared" si="0"/>
        <v>4</v>
      </c>
      <c r="M7" s="2">
        <v>1</v>
      </c>
      <c r="N7" s="11">
        <f t="shared" si="1"/>
        <v>0</v>
      </c>
      <c r="O7" s="2">
        <f t="shared" si="2"/>
        <v>6</v>
      </c>
      <c r="P7" s="2">
        <f t="shared" si="3"/>
        <v>0</v>
      </c>
      <c r="Q7" s="12">
        <f t="shared" si="13"/>
        <v>0</v>
      </c>
      <c r="R7" s="13">
        <f t="shared" si="14"/>
        <v>3</v>
      </c>
      <c r="S7" s="14">
        <f t="shared" si="15"/>
        <v>0</v>
      </c>
      <c r="T7" s="2">
        <f t="shared" si="4"/>
        <v>0</v>
      </c>
      <c r="U7" s="2" t="str">
        <f>IFERROR(IFERROR(VLOOKUP($C7&amp;" "&amp;U$1,Results!$F:$H,3,FALSE),-VLOOKUP($C7&amp;" "&amp;U$1,Results!$G:$H,2,FALSE)),"")</f>
        <v/>
      </c>
      <c r="V7" s="2" t="str">
        <f>IFERROR(IFERROR(VLOOKUP($C7&amp;" "&amp;V$1,Results!$F:$H,3,FALSE),-VLOOKUP($C7&amp;" "&amp;V$1,Results!$G:$H,2,FALSE)),"")</f>
        <v/>
      </c>
      <c r="W7" s="2" t="str">
        <f>IFERROR(IFERROR(VLOOKUP($C7&amp;" "&amp;W$1,Results!$F:$H,3,FALSE),-VLOOKUP($C7&amp;" "&amp;W$1,Results!$G:$H,2,FALSE)),"")</f>
        <v/>
      </c>
      <c r="X7" s="52">
        <f>IFERROR(IFERROR(VLOOKUP($C7&amp;" "&amp;X$1,Results!$F:$H,3,FALSE),-VLOOKUP($C7&amp;" "&amp;X$1,Results!$G:$H,2,FALSE)),"")</f>
        <v>-225</v>
      </c>
      <c r="Y7" s="57">
        <f>IFERROR(IFERROR(VLOOKUP($C7&amp;" "&amp;Y$1,Results!$F:$H,3,FALSE),-VLOOKUP($C7&amp;" "&amp;Y$1,Results!$G:$H,2,FALSE)),"")</f>
        <v>-123</v>
      </c>
      <c r="Z7" s="57">
        <f>IFERROR(IFERROR(VLOOKUP($C7&amp;" "&amp;Z$1,Results!$F:$H,3,FALSE),-VLOOKUP($C7&amp;" "&amp;Z$1,Results!$G:$H,2,FALSE)),"")</f>
        <v>-17</v>
      </c>
      <c r="AA7" s="58" t="str">
        <f>IFERROR(IFERROR(VLOOKUP($C7&amp;" "&amp;AA$1,Results!$F:$H,3,FALSE),-VLOOKUP($C7&amp;" "&amp;AA$1,Results!$G:$H,2,FALSE)),"")</f>
        <v/>
      </c>
      <c r="AB7" s="19">
        <f>IFERROR(IFERROR(VLOOKUP($C7&amp;" "&amp;AB$1,Results!$F:$H,3,FALSE),-VLOOKUP($C7&amp;" "&amp;AB$1,Results!$G:$H,2,FALSE)),"")</f>
        <v>-115</v>
      </c>
      <c r="AC7" s="19">
        <f>IFERROR(IFERROR(VLOOKUP($C7&amp;" "&amp;AC$1,Results!$F:$H,3,FALSE),-VLOOKUP($C7&amp;" "&amp;AC$1,Results!$G:$H,2,FALSE)),"")</f>
        <v>-86</v>
      </c>
      <c r="AD7" s="19">
        <f>IFERROR(IFERROR(VLOOKUP($C7&amp;" "&amp;AD$1,Results!$F:$H,3,FALSE),-VLOOKUP($C7&amp;" "&amp;AD$1,Results!$G:$H,2,FALSE)),"")</f>
        <v>-9</v>
      </c>
      <c r="AE7" s="19" t="str">
        <f>IFERROR(IFERROR(VLOOKUP($C7&amp;" "&amp;AE$1,Results!$F:$H,3,FALSE),-VLOOKUP($C7&amp;" "&amp;AE$1,Results!$G:$H,2,FALSE)),"")</f>
        <v/>
      </c>
      <c r="AF7" s="19" t="str">
        <f>IFERROR(IFERROR(VLOOKUP($C7&amp;" "&amp;AF$1,Results!$F:$H,3,FALSE),-VLOOKUP($C7&amp;" "&amp;AF$1,Results!$G:$H,2,FALSE)),"")</f>
        <v/>
      </c>
      <c r="AG7" s="2" t="str">
        <f>IFERROR(IFERROR(VLOOKUP($C7&amp;" "&amp;AG$1,Results!$F:$H,3,FALSE),-VLOOKUP($C7&amp;" "&amp;AG$1,Results!$G:$H,2,FALSE)),"")</f>
        <v/>
      </c>
      <c r="AH7" s="2" t="str">
        <f>IFERROR(IFERROR(VLOOKUP($C7&amp;" "&amp;AH$1,Results!$F:$H,3,FALSE),-VLOOKUP($C7&amp;" "&amp;AH$1,Results!$G:$H,2,FALSE)),"")</f>
        <v/>
      </c>
      <c r="AI7" s="2" t="str">
        <f>IFERROR(IFERROR(VLOOKUP($C7&amp;" "&amp;AI$1,Results!$F:$H,3,FALSE),-VLOOKUP($C7&amp;" "&amp;AI$1,Results!$G:$H,2,FALSE)),"")</f>
        <v/>
      </c>
      <c r="AJ7" s="2" t="str">
        <f>IFERROR(IFERROR(VLOOKUP($C7&amp;" "&amp;AJ$1,Results!$F:$H,3,FALSE),-VLOOKUP($C7&amp;" "&amp;AJ$1,Results!$G:$H,2,FALSE)),"")</f>
        <v/>
      </c>
      <c r="AK7" s="2" t="str">
        <f>IFERROR(IFERROR(VLOOKUP($C7&amp;" "&amp;AK$1,Results!$F:$H,3,FALSE),-VLOOKUP($C7&amp;" "&amp;AK$1,Results!$G:$H,2,FALSE)),"")</f>
        <v/>
      </c>
      <c r="AL7" s="2" t="str">
        <f>IFERROR(IFERROR(VLOOKUP($C7&amp;" "&amp;AL$1,Results!$F:$H,3,FALSE),-VLOOKUP($C7&amp;" "&amp;AL$1,Results!$G:$H,2,FALSE)),"")</f>
        <v/>
      </c>
      <c r="AM7" s="2" t="str">
        <f>IFERROR(IFERROR(VLOOKUP($C7&amp;" "&amp;AM$1,Results!$F:$H,3,FALSE),-VLOOKUP($C7&amp;" "&amp;AM$1,Results!$G:$H,2,FALSE)),"")</f>
        <v/>
      </c>
      <c r="AN7" s="2" t="str">
        <f>IFERROR(IFERROR(VLOOKUP($C7&amp;" "&amp;AN$1,Results!$F:$H,3,FALSE),-VLOOKUP($C7&amp;" "&amp;AN$1,Results!$G:$H,2,FALSE)),"")</f>
        <v/>
      </c>
      <c r="AO7" s="2" t="str">
        <f>IFERROR(IFERROR(VLOOKUP($C7&amp;" "&amp;AO$1,Results!$F:$H,3,FALSE),-VLOOKUP($C7&amp;" "&amp;AO$1,Results!$G:$H,2,FALSE)),"")</f>
        <v/>
      </c>
      <c r="AP7" s="2" t="str">
        <f>IFERROR(IFERROR(VLOOKUP($C7&amp;" "&amp;AP$1,Results!$F:$H,3,FALSE),-VLOOKUP($C7&amp;" "&amp;AP$1,Results!$G:$H,2,FALSE)),"")</f>
        <v/>
      </c>
      <c r="AV7" s="5"/>
      <c r="AW7" s="5"/>
      <c r="AZ7" s="5"/>
      <c r="BA7" s="5"/>
      <c r="BE7" s="5"/>
      <c r="BF7" s="5"/>
      <c r="BH7" s="8"/>
      <c r="BI7" s="8"/>
      <c r="BJ7" s="82">
        <f t="shared" si="5"/>
        <v>-575</v>
      </c>
      <c r="BK7" s="5">
        <f t="shared" si="6"/>
        <v>3</v>
      </c>
      <c r="BL7" s="5">
        <f t="shared" si="7"/>
        <v>3</v>
      </c>
      <c r="BM7" s="5">
        <f t="shared" si="8"/>
        <v>6</v>
      </c>
      <c r="BN7" s="65">
        <f t="shared" si="9"/>
        <v>0.5</v>
      </c>
      <c r="BQ7" s="60">
        <f t="shared" si="10"/>
        <v>-575</v>
      </c>
      <c r="BS7" s="5">
        <v>5</v>
      </c>
      <c r="BT7" s="5">
        <f t="shared" si="11"/>
        <v>9</v>
      </c>
      <c r="BU7" s="5">
        <f t="shared" si="12"/>
        <v>-4</v>
      </c>
    </row>
    <row r="8" spans="1:73" ht="13.5" customHeight="1">
      <c r="A8" s="5">
        <v>7</v>
      </c>
      <c r="B8" s="5">
        <v>5</v>
      </c>
      <c r="C8" s="157" t="s">
        <v>63</v>
      </c>
      <c r="D8" s="41"/>
      <c r="E8" s="5">
        <f>IF(AND(AA8&gt;0,$A8&lt;VLOOKUP(AA$1,$C:$L,10,FALSE)),1,IF(AND(AA8&lt;0,$A8&gt;VLOOKUP(AA$1,$C:$L,10,FALSE)),1,0))</f>
        <v>0</v>
      </c>
      <c r="F8" s="5">
        <f>IF(AND(AB8&gt;0,$A8&lt;VLOOKUP(AB$1,$C:$L,10,FALSE)),1,IF(AND(AB8&lt;0,$A8&gt;VLOOKUP(AB$1,$C:$L,10,FALSE)),1,0))</f>
        <v>0</v>
      </c>
      <c r="G8" s="5">
        <f>IF(AND(AC8&gt;0,$A8&lt;VLOOKUP(AC$1,$C:$L,10,FALSE)),1,IF(AND(AC8&lt;0,$A8&gt;VLOOKUP(AC$1,$C:$L,10,FALSE)),1,0))</f>
        <v>1</v>
      </c>
      <c r="H8" s="5">
        <f>IF(AND(AE8&gt;0,$A8&lt;VLOOKUP(AE$1,$C:$L,10,FALSE)),1,IF(AND(AE8&lt;0,$A8&gt;VLOOKUP(AE$1,$C:$L,10,FALSE)),1,0))</f>
        <v>0</v>
      </c>
      <c r="I8" s="5">
        <f>IF(AND(AF8&gt;0,$A8&lt;VLOOKUP(AF$1,$C:$L,10,FALSE)),1,IF(AND(AF8&lt;0,$A8&gt;VLOOKUP(AF$1,$C:$L,10,FALSE)),1,0))</f>
        <v>1</v>
      </c>
      <c r="J8" s="5">
        <f>IF(AND(AG8&gt;0,$A8&lt;VLOOKUP(AG$1,$C:$L,10,FALSE)),1,IF(AND(AG8&lt;0,$A8&gt;VLOOKUP(AG$1,$C:$L,10,FALSE)),1,0))</f>
        <v>1</v>
      </c>
      <c r="K8" s="79" t="s">
        <v>134</v>
      </c>
      <c r="L8" s="5">
        <f t="shared" si="0"/>
        <v>5</v>
      </c>
      <c r="M8" s="2">
        <v>2</v>
      </c>
      <c r="N8" s="11">
        <f t="shared" si="1"/>
        <v>3</v>
      </c>
      <c r="O8" s="2">
        <f t="shared" si="2"/>
        <v>3</v>
      </c>
      <c r="P8" s="2">
        <f t="shared" si="3"/>
        <v>0</v>
      </c>
      <c r="Q8" s="12">
        <f>COUNTIF($AB8:$AE8,"&gt;0")</f>
        <v>1</v>
      </c>
      <c r="R8" s="13">
        <f>COUNTIF($AB8:$AE8,"&lt;0")</f>
        <v>2</v>
      </c>
      <c r="S8" s="14">
        <f>COUNTIF($AB8:$AE8,"=0")</f>
        <v>0</v>
      </c>
      <c r="T8" s="2">
        <f t="shared" si="4"/>
        <v>0</v>
      </c>
      <c r="U8" s="2" t="str">
        <f>IFERROR(IFERROR(VLOOKUP($C8&amp;" "&amp;U$1,Results!$F:$H,3,FALSE),-VLOOKUP($C8&amp;" "&amp;U$1,Results!$G:$H,2,FALSE)),"")</f>
        <v/>
      </c>
      <c r="V8" s="2" t="str">
        <f>IFERROR(IFERROR(VLOOKUP($C8&amp;" "&amp;V$1,Results!$F:$H,3,FALSE),-VLOOKUP($C8&amp;" "&amp;V$1,Results!$G:$H,2,FALSE)),"")</f>
        <v/>
      </c>
      <c r="W8" s="2" t="str">
        <f>IFERROR(IFERROR(VLOOKUP($C8&amp;" "&amp;W$1,Results!$F:$H,3,FALSE),-VLOOKUP($C8&amp;" "&amp;W$1,Results!$G:$H,2,FALSE)),"")</f>
        <v/>
      </c>
      <c r="X8" s="2" t="str">
        <f>IFERROR(IFERROR(VLOOKUP($C8&amp;" "&amp;X$1,Results!$F:$H,3,FALSE),-VLOOKUP($C8&amp;" "&amp;X$1,Results!$G:$H,2,FALSE)),"")</f>
        <v/>
      </c>
      <c r="Y8" s="2">
        <f>IFERROR(IFERROR(VLOOKUP($C8&amp;" "&amp;Y$1,Results!$F:$H,3,FALSE),-VLOOKUP($C8&amp;" "&amp;Y$1,Results!$G:$H,2,FALSE)),"")</f>
        <v>-14</v>
      </c>
      <c r="Z8" s="2">
        <f>IFERROR(IFERROR(VLOOKUP($C8&amp;" "&amp;Z$1,Results!$F:$H,3,FALSE),-VLOOKUP($C8&amp;" "&amp;Z$1,Results!$G:$H,2,FALSE)),"")</f>
        <v>98</v>
      </c>
      <c r="AA8" s="2">
        <f>IFERROR(IFERROR(VLOOKUP($C8&amp;" "&amp;AA$1,Results!$F:$H,3,FALSE),-VLOOKUP($C8&amp;" "&amp;AA$1,Results!$G:$H,2,FALSE)),"")</f>
        <v>115</v>
      </c>
      <c r="AB8" s="18" t="str">
        <f>IFERROR(IFERROR(VLOOKUP($C8&amp;" "&amp;AB$1,Results!$F:$H,3,FALSE),-VLOOKUP($C8&amp;" "&amp;AB$1,Results!$G:$H,2,FALSE)),"")</f>
        <v/>
      </c>
      <c r="AC8" s="42">
        <f>IFERROR(IFERROR(VLOOKUP($C8&amp;" "&amp;AC$1,Results!$F:$H,3,FALSE),-VLOOKUP($C8&amp;" "&amp;AC$1,Results!$G:$H,2,FALSE)),"")</f>
        <v>-44</v>
      </c>
      <c r="AD8" s="42">
        <f>IFERROR(IFERROR(VLOOKUP($C8&amp;" "&amp;AD$1,Results!$F:$H,3,FALSE),-VLOOKUP($C8&amp;" "&amp;AD$1,Results!$G:$H,2,FALSE)),"")</f>
        <v>75</v>
      </c>
      <c r="AE8" s="43">
        <f>IFERROR(IFERROR(VLOOKUP($C8&amp;" "&amp;AE$1,Results!$F:$H,3,FALSE),-VLOOKUP($C8&amp;" "&amp;AE$1,Results!$G:$H,2,FALSE)),"")</f>
        <v>-47</v>
      </c>
      <c r="AF8" s="19" t="str">
        <f>IFERROR(IFERROR(VLOOKUP($C8&amp;" "&amp;AF$1,Results!$F:$H,3,FALSE),-VLOOKUP($C8&amp;" "&amp;AF$1,Results!$G:$H,2,FALSE)),"")</f>
        <v/>
      </c>
      <c r="AG8" s="19" t="str">
        <f>IFERROR(IFERROR(VLOOKUP($C8&amp;" "&amp;AG$1,Results!$F:$H,3,FALSE),-VLOOKUP($C8&amp;" "&amp;AG$1,Results!$G:$H,2,FALSE)),"")</f>
        <v/>
      </c>
      <c r="AH8" s="2" t="str">
        <f>IFERROR(IFERROR(VLOOKUP($C8&amp;" "&amp;AH$1,Results!$F:$H,3,FALSE),-VLOOKUP($C8&amp;" "&amp;AH$1,Results!$G:$H,2,FALSE)),"")</f>
        <v/>
      </c>
      <c r="AI8" s="2" t="str">
        <f>IFERROR(IFERROR(VLOOKUP($C8&amp;" "&amp;AI$1,Results!$F:$H,3,FALSE),-VLOOKUP($C8&amp;" "&amp;AI$1,Results!$G:$H,2,FALSE)),"")</f>
        <v/>
      </c>
      <c r="AJ8" s="2" t="str">
        <f>IFERROR(IFERROR(VLOOKUP($C8&amp;" "&amp;AJ$1,Results!$F:$H,3,FALSE),-VLOOKUP($C8&amp;" "&amp;AJ$1,Results!$G:$H,2,FALSE)),"")</f>
        <v/>
      </c>
      <c r="AK8" s="2" t="str">
        <f>IFERROR(IFERROR(VLOOKUP($C8&amp;" "&amp;AK$1,Results!$F:$H,3,FALSE),-VLOOKUP($C8&amp;" "&amp;AK$1,Results!$G:$H,2,FALSE)),"")</f>
        <v/>
      </c>
      <c r="AL8" s="2" t="str">
        <f>IFERROR(IFERROR(VLOOKUP($C8&amp;" "&amp;AL$1,Results!$F:$H,3,FALSE),-VLOOKUP($C8&amp;" "&amp;AL$1,Results!$G:$H,2,FALSE)),"")</f>
        <v/>
      </c>
      <c r="AM8" s="2" t="str">
        <f>IFERROR(IFERROR(VLOOKUP($C8&amp;" "&amp;AM$1,Results!$F:$H,3,FALSE),-VLOOKUP($C8&amp;" "&amp;AM$1,Results!$G:$H,2,FALSE)),"")</f>
        <v/>
      </c>
      <c r="AN8" s="2" t="str">
        <f>IFERROR(IFERROR(VLOOKUP($C8&amp;" "&amp;AN$1,Results!$F:$H,3,FALSE),-VLOOKUP($C8&amp;" "&amp;AN$1,Results!$G:$H,2,FALSE)),"")</f>
        <v/>
      </c>
      <c r="AO8" s="2" t="str">
        <f>IFERROR(IFERROR(VLOOKUP($C8&amp;" "&amp;AO$1,Results!$F:$H,3,FALSE),-VLOOKUP($C8&amp;" "&amp;AO$1,Results!$G:$H,2,FALSE)),"")</f>
        <v/>
      </c>
      <c r="AP8" s="2" t="str">
        <f>IFERROR(IFERROR(VLOOKUP($C8&amp;" "&amp;AP$1,Results!$F:$H,3,FALSE),-VLOOKUP($C8&amp;" "&amp;AP$1,Results!$G:$H,2,FALSE)),"")</f>
        <v/>
      </c>
      <c r="AV8" s="5"/>
      <c r="AW8" s="5"/>
      <c r="AZ8" s="5"/>
      <c r="BA8" s="5"/>
      <c r="BE8" s="5"/>
      <c r="BF8" s="5"/>
      <c r="BH8" s="8"/>
      <c r="BI8" s="8"/>
      <c r="BJ8" s="82">
        <f t="shared" si="5"/>
        <v>183</v>
      </c>
      <c r="BK8" s="5">
        <f t="shared" si="6"/>
        <v>3</v>
      </c>
      <c r="BL8" s="5">
        <f t="shared" si="7"/>
        <v>3</v>
      </c>
      <c r="BM8" s="5">
        <f t="shared" si="8"/>
        <v>6</v>
      </c>
      <c r="BN8" s="65">
        <f t="shared" si="9"/>
        <v>0.5</v>
      </c>
      <c r="BQ8" s="60">
        <f t="shared" si="10"/>
        <v>183</v>
      </c>
      <c r="BS8" s="5">
        <v>8</v>
      </c>
      <c r="BT8" s="5">
        <f t="shared" si="11"/>
        <v>7</v>
      </c>
      <c r="BU8" s="5">
        <f t="shared" si="12"/>
        <v>1</v>
      </c>
    </row>
    <row r="9" spans="1:73" ht="13.5" customHeight="1">
      <c r="A9" s="5">
        <v>5</v>
      </c>
      <c r="B9" s="5">
        <v>6</v>
      </c>
      <c r="C9" s="10" t="s">
        <v>180</v>
      </c>
      <c r="D9" s="41"/>
      <c r="E9" s="5">
        <f>IF(AND(X9&gt;0,$A9&lt;VLOOKUP(X$1,$C:$L,10,FALSE)),1,IF(AND(X9&lt;0,$A9&gt;VLOOKUP(X$1,$C:$L,10,FALSE)),1,0))</f>
        <v>0</v>
      </c>
      <c r="F9" s="5">
        <f>IF(AND(Y9&gt;0,$A9&lt;VLOOKUP(Y$1,$C:$L,10,FALSE)),1,IF(AND(Y9&lt;0,$A9&gt;VLOOKUP(Y$1,$C:$L,10,FALSE)),1,0))</f>
        <v>0</v>
      </c>
      <c r="G9" s="5">
        <f>IF(AND(Z9&gt;0,$A9&lt;VLOOKUP(Z$1,$C:$L,10,FALSE)),1,IF(AND(Z9&lt;0,$A9&gt;VLOOKUP(Z$1,$C:$L,10,FALSE)),1,0))</f>
        <v>1</v>
      </c>
      <c r="H9" s="5">
        <f>IF(AND(AB9&gt;0,$A9&lt;VLOOKUP(AB$1,$C:$L,10,FALSE)),1,IF(AND(AB9&lt;0,$A9&gt;VLOOKUP(AB$1,$C:$L,10,FALSE)),1,0))</f>
        <v>0</v>
      </c>
      <c r="I9" s="5">
        <f>IF(AND(AC9&gt;0,$A9&lt;VLOOKUP(AC$1,$C:$L,10,FALSE)),1,IF(AND(AC9&lt;0,$A9&gt;VLOOKUP(AC$1,$C:$L,10,FALSE)),1,0))</f>
        <v>1</v>
      </c>
      <c r="J9" s="5">
        <f>IF(AND(AD9&gt;0,$A9&lt;VLOOKUP(AD$1,$C:$L,10,FALSE)),1,IF(AND(AD9&lt;0,$A9&gt;VLOOKUP(AD$1,$C:$L,10,FALSE)),1,0))</f>
        <v>0</v>
      </c>
      <c r="K9" s="79" t="s">
        <v>134</v>
      </c>
      <c r="L9" s="5">
        <f t="shared" si="0"/>
        <v>6</v>
      </c>
      <c r="M9" s="2">
        <v>2</v>
      </c>
      <c r="N9" s="11">
        <f t="shared" si="1"/>
        <v>4</v>
      </c>
      <c r="O9" s="2">
        <f t="shared" si="2"/>
        <v>2</v>
      </c>
      <c r="P9" s="2">
        <f t="shared" si="3"/>
        <v>0</v>
      </c>
      <c r="Q9" s="12">
        <f t="shared" ref="Q9:Q11" si="16">COUNTIF($AB9:$AE9,"&gt;0")</f>
        <v>2</v>
      </c>
      <c r="R9" s="13">
        <f t="shared" ref="R9:R11" si="17">COUNTIF($AB9:$AE9,"&lt;0")</f>
        <v>1</v>
      </c>
      <c r="S9" s="14">
        <f t="shared" ref="S9:S11" si="18">COUNTIF($AB9:$AE9,"=0")</f>
        <v>0</v>
      </c>
      <c r="T9" s="2">
        <f t="shared" si="4"/>
        <v>0</v>
      </c>
      <c r="U9" s="2" t="str">
        <f>IFERROR(IFERROR(VLOOKUP($C9&amp;" "&amp;U$1,Results!$F:$H,3,FALSE),-VLOOKUP($C9&amp;" "&amp;U$1,Results!$G:$H,2,FALSE)),"")</f>
        <v/>
      </c>
      <c r="V9" s="2" t="str">
        <f>IFERROR(IFERROR(VLOOKUP($C9&amp;" "&amp;V$1,Results!$F:$H,3,FALSE),-VLOOKUP($C9&amp;" "&amp;V$1,Results!$G:$H,2,FALSE)),"")</f>
        <v/>
      </c>
      <c r="W9" s="2" t="str">
        <f>IFERROR(IFERROR(VLOOKUP($C9&amp;" "&amp;W$1,Results!$F:$H,3,FALSE),-VLOOKUP($C9&amp;" "&amp;W$1,Results!$G:$H,2,FALSE)),"")</f>
        <v/>
      </c>
      <c r="X9" s="19" t="str">
        <f>IFERROR(IFERROR(VLOOKUP($C9&amp;" "&amp;X$1,Results!$F:$H,3,FALSE),-VLOOKUP($C9&amp;" "&amp;X$1,Results!$G:$H,2,FALSE)),"")</f>
        <v/>
      </c>
      <c r="Y9" s="19" t="str">
        <f>IFERROR(IFERROR(VLOOKUP($C9&amp;" "&amp;Y$1,Results!$F:$H,3,FALSE),-VLOOKUP($C9&amp;" "&amp;Y$1,Results!$G:$H,2,FALSE)),"")</f>
        <v/>
      </c>
      <c r="Z9" s="19">
        <f>IFERROR(IFERROR(VLOOKUP($C9&amp;" "&amp;Z$1,Results!$F:$H,3,FALSE),-VLOOKUP($C9&amp;" "&amp;Z$1,Results!$G:$H,2,FALSE)),"")</f>
        <v>-33</v>
      </c>
      <c r="AA9" s="19">
        <f>IFERROR(IFERROR(VLOOKUP($C9&amp;" "&amp;AA$1,Results!$F:$H,3,FALSE),-VLOOKUP($C9&amp;" "&amp;AA$1,Results!$G:$H,2,FALSE)),"")</f>
        <v>86</v>
      </c>
      <c r="AB9" s="51">
        <f>IFERROR(IFERROR(VLOOKUP($C9&amp;" "&amp;AB$1,Results!$F:$H,3,FALSE),-VLOOKUP($C9&amp;" "&amp;AB$1,Results!$G:$H,2,FALSE)),"")</f>
        <v>44</v>
      </c>
      <c r="AC9" s="2" t="str">
        <f>IFERROR(IFERROR(VLOOKUP($C9&amp;" "&amp;AC$1,Results!$F:$H,3,FALSE),-VLOOKUP($C9&amp;" "&amp;AC$1,Results!$G:$H,2,FALSE)),"")</f>
        <v/>
      </c>
      <c r="AD9" s="2">
        <f>IFERROR(IFERROR(VLOOKUP($C9&amp;" "&amp;AD$1,Results!$F:$H,3,FALSE),-VLOOKUP($C9&amp;" "&amp;AD$1,Results!$G:$H,2,FALSE)),"")</f>
        <v>-39</v>
      </c>
      <c r="AE9" s="56">
        <f>IFERROR(IFERROR(VLOOKUP($C9&amp;" "&amp;AE$1,Results!$F:$H,3,FALSE),-VLOOKUP($C9&amp;" "&amp;AE$1,Results!$G:$H,2,FALSE)),"")</f>
        <v>97</v>
      </c>
      <c r="AF9" s="2">
        <f>IFERROR(IFERROR(VLOOKUP($C9&amp;" "&amp;AF$1,Results!$F:$H,3,FALSE),-VLOOKUP($C9&amp;" "&amp;AF$1,Results!$G:$H,2,FALSE)),"")</f>
        <v>249</v>
      </c>
      <c r="AG9" s="2" t="str">
        <f>IFERROR(IFERROR(VLOOKUP($C9&amp;" "&amp;AG$1,Results!$F:$H,3,FALSE),-VLOOKUP($C9&amp;" "&amp;AG$1,Results!$G:$H,2,FALSE)),"")</f>
        <v/>
      </c>
      <c r="AH9" s="2" t="str">
        <f>IFERROR(IFERROR(VLOOKUP($C9&amp;" "&amp;AH$1,Results!$F:$H,3,FALSE),-VLOOKUP($C9&amp;" "&amp;AH$1,Results!$G:$H,2,FALSE)),"")</f>
        <v/>
      </c>
      <c r="AI9" s="2" t="str">
        <f>IFERROR(IFERROR(VLOOKUP($C9&amp;" "&amp;AI$1,Results!$F:$H,3,FALSE),-VLOOKUP($C9&amp;" "&amp;AI$1,Results!$G:$H,2,FALSE)),"")</f>
        <v/>
      </c>
      <c r="AJ9" s="2" t="str">
        <f>IFERROR(IFERROR(VLOOKUP($C9&amp;" "&amp;AJ$1,Results!$F:$H,3,FALSE),-VLOOKUP($C9&amp;" "&amp;AJ$1,Results!$G:$H,2,FALSE)),"")</f>
        <v/>
      </c>
      <c r="AK9" s="2" t="str">
        <f>IFERROR(IFERROR(VLOOKUP($C9&amp;" "&amp;AK$1,Results!$F:$H,3,FALSE),-VLOOKUP($C9&amp;" "&amp;AK$1,Results!$G:$H,2,FALSE)),"")</f>
        <v/>
      </c>
      <c r="AL9" s="2" t="str">
        <f>IFERROR(IFERROR(VLOOKUP($C9&amp;" "&amp;AL$1,Results!$F:$H,3,FALSE),-VLOOKUP($C9&amp;" "&amp;AL$1,Results!$G:$H,2,FALSE)),"")</f>
        <v/>
      </c>
      <c r="AM9" s="2" t="str">
        <f>IFERROR(IFERROR(VLOOKUP($C9&amp;" "&amp;AM$1,Results!$F:$H,3,FALSE),-VLOOKUP($C9&amp;" "&amp;AM$1,Results!$G:$H,2,FALSE)),"")</f>
        <v/>
      </c>
      <c r="AN9" s="2" t="str">
        <f>IFERROR(IFERROR(VLOOKUP($C9&amp;" "&amp;AN$1,Results!$F:$H,3,FALSE),-VLOOKUP($C9&amp;" "&amp;AN$1,Results!$G:$H,2,FALSE)),"")</f>
        <v/>
      </c>
      <c r="AO9" s="2" t="str">
        <f>IFERROR(IFERROR(VLOOKUP($C9&amp;" "&amp;AO$1,Results!$F:$H,3,FALSE),-VLOOKUP($C9&amp;" "&amp;AO$1,Results!$G:$H,2,FALSE)),"")</f>
        <v/>
      </c>
      <c r="AP9" s="2" t="str">
        <f>IFERROR(IFERROR(VLOOKUP($C9&amp;" "&amp;AP$1,Results!$F:$H,3,FALSE),-VLOOKUP($C9&amp;" "&amp;AP$1,Results!$G:$H,2,FALSE)),"")</f>
        <v/>
      </c>
      <c r="AV9" s="5"/>
      <c r="AW9" s="5"/>
      <c r="AZ9" s="5"/>
      <c r="BA9" s="5"/>
      <c r="BE9" s="5"/>
      <c r="BF9" s="5"/>
      <c r="BH9" s="8"/>
      <c r="BI9" s="8"/>
      <c r="BJ9" s="82">
        <f t="shared" si="5"/>
        <v>404</v>
      </c>
      <c r="BK9" s="5">
        <f t="shared" si="6"/>
        <v>2</v>
      </c>
      <c r="BL9" s="5">
        <f t="shared" si="7"/>
        <v>4</v>
      </c>
      <c r="BM9" s="5">
        <f t="shared" si="8"/>
        <v>6</v>
      </c>
      <c r="BN9" s="65">
        <f t="shared" si="9"/>
        <v>0.33333333333333331</v>
      </c>
      <c r="BQ9" s="60">
        <f t="shared" si="10"/>
        <v>404</v>
      </c>
      <c r="BS9" s="5">
        <v>6</v>
      </c>
      <c r="BT9" s="5">
        <f t="shared" si="11"/>
        <v>5</v>
      </c>
      <c r="BU9" s="5">
        <f t="shared" si="12"/>
        <v>1</v>
      </c>
    </row>
    <row r="10" spans="1:73" ht="13.5" customHeight="1">
      <c r="A10" s="5">
        <v>3</v>
      </c>
      <c r="B10" s="5">
        <v>7</v>
      </c>
      <c r="C10" s="155" t="s">
        <v>54</v>
      </c>
      <c r="D10" s="10"/>
      <c r="E10" s="5"/>
      <c r="F10" s="5">
        <f>IF(AND(X10&gt;0,$A10&lt;VLOOKUP(X$1,$C:$L,10,FALSE)),1,IF(AND(X10&lt;0,$A10&gt;VLOOKUP(X$1,$C:$L,10,FALSE)),1,0))</f>
        <v>0</v>
      </c>
      <c r="G10" s="5">
        <f>IF(AND(Y10&gt;0,$A10&lt;VLOOKUP(Y$1,$C:$L,10,FALSE)),1,IF(AND(Y10&lt;0,$A10&gt;VLOOKUP(Y$1,$C:$L,10,FALSE)),1,0))</f>
        <v>0</v>
      </c>
      <c r="H10" s="5">
        <f>IF(AND(AA10&gt;0,$A10&lt;VLOOKUP(AA$1,$C:$L,10,FALSE)),1,IF(AND(AA10&lt;0,$A10&gt;VLOOKUP(AA$1,$C:$L,10,FALSE)),1,0))</f>
        <v>1</v>
      </c>
      <c r="I10" s="5">
        <f>IF(AND(AB10&gt;0,$A10&lt;VLOOKUP(AB$1,$C:$L,10,FALSE)),1,IF(AND(AB10&lt;0,$A10&gt;VLOOKUP(AB$1,$C:$L,10,FALSE)),1,0))</f>
        <v>0</v>
      </c>
      <c r="J10" s="5">
        <f>IF(AND(AC10&gt;0,$A10&lt;VLOOKUP(AC$1,$C:$L,10,FALSE)),1,IF(AND(AC10&lt;0,$A10&gt;VLOOKUP(AC$1,$C:$L,10,FALSE)),1,0))</f>
        <v>1</v>
      </c>
      <c r="K10" s="79" t="s">
        <v>134</v>
      </c>
      <c r="L10" s="5">
        <f t="shared" si="0"/>
        <v>7</v>
      </c>
      <c r="M10" s="2">
        <v>2</v>
      </c>
      <c r="N10" s="11">
        <f t="shared" si="1"/>
        <v>5</v>
      </c>
      <c r="O10" s="2">
        <f t="shared" si="2"/>
        <v>1</v>
      </c>
      <c r="P10" s="2">
        <f t="shared" si="3"/>
        <v>0</v>
      </c>
      <c r="Q10" s="12">
        <f t="shared" si="16"/>
        <v>2</v>
      </c>
      <c r="R10" s="13">
        <f t="shared" si="17"/>
        <v>1</v>
      </c>
      <c r="S10" s="14">
        <f t="shared" si="18"/>
        <v>0</v>
      </c>
      <c r="T10" s="2">
        <f t="shared" si="4"/>
        <v>0</v>
      </c>
      <c r="U10" s="2" t="str">
        <f>IFERROR(IFERROR(VLOOKUP($C10&amp;" "&amp;U$1,Results!$F:$H,3,FALSE),-VLOOKUP($C10&amp;" "&amp;U$1,Results!$G:$H,2,FALSE)),"")</f>
        <v/>
      </c>
      <c r="V10" s="2" t="str">
        <f>IFERROR(IFERROR(VLOOKUP($C10&amp;" "&amp;V$1,Results!$F:$H,3,FALSE),-VLOOKUP($C10&amp;" "&amp;V$1,Results!$G:$H,2,FALSE)),"")</f>
        <v/>
      </c>
      <c r="W10" s="2" t="str">
        <f>IFERROR(IFERROR(VLOOKUP($C10&amp;" "&amp;W$1,Results!$F:$H,3,FALSE),-VLOOKUP($C10&amp;" "&amp;W$1,Results!$G:$H,2,FALSE)),"")</f>
        <v/>
      </c>
      <c r="X10" s="19" t="str">
        <f>IFERROR(IFERROR(VLOOKUP($C10&amp;" "&amp;X$1,Results!$F:$H,3,FALSE),-VLOOKUP($C10&amp;" "&amp;X$1,Results!$G:$H,2,FALSE)),"")</f>
        <v/>
      </c>
      <c r="Y10" s="19" t="str">
        <f>IFERROR(IFERROR(VLOOKUP($C10&amp;" "&amp;Y$1,Results!$F:$H,3,FALSE),-VLOOKUP($C10&amp;" "&amp;Y$1,Results!$G:$H,2,FALSE)),"")</f>
        <v/>
      </c>
      <c r="Z10" s="19" t="str">
        <f>IFERROR(IFERROR(VLOOKUP($C10&amp;" "&amp;Z$1,Results!$F:$H,3,FALSE),-VLOOKUP($C10&amp;" "&amp;Z$1,Results!$G:$H,2,FALSE)),"")</f>
        <v/>
      </c>
      <c r="AA10" s="19">
        <f>IFERROR(IFERROR(VLOOKUP($C10&amp;" "&amp;AA$1,Results!$F:$H,3,FALSE),-VLOOKUP($C10&amp;" "&amp;AA$1,Results!$G:$H,2,FALSE)),"")</f>
        <v>9</v>
      </c>
      <c r="AB10" s="51">
        <f>IFERROR(IFERROR(VLOOKUP($C10&amp;" "&amp;AB$1,Results!$F:$H,3,FALSE),-VLOOKUP($C10&amp;" "&amp;AB$1,Results!$G:$H,2,FALSE)),"")</f>
        <v>-75</v>
      </c>
      <c r="AC10" s="2">
        <f>IFERROR(IFERROR(VLOOKUP($C10&amp;" "&amp;AC$1,Results!$F:$H,3,FALSE),-VLOOKUP($C10&amp;" "&amp;AC$1,Results!$G:$H,2,FALSE)),"")</f>
        <v>39</v>
      </c>
      <c r="AD10" s="2" t="str">
        <f>IFERROR(IFERROR(VLOOKUP($C10&amp;" "&amp;AD$1,Results!$F:$H,3,FALSE),-VLOOKUP($C10&amp;" "&amp;AD$1,Results!$G:$H,2,FALSE)),"")</f>
        <v/>
      </c>
      <c r="AE10" s="56">
        <f>IFERROR(IFERROR(VLOOKUP($C10&amp;" "&amp;AE$1,Results!$F:$H,3,FALSE),-VLOOKUP($C10&amp;" "&amp;AE$1,Results!$G:$H,2,FALSE)),"")</f>
        <v>8</v>
      </c>
      <c r="AF10" s="2">
        <f>IFERROR(IFERROR(VLOOKUP($C10&amp;" "&amp;AF$1,Results!$F:$H,3,FALSE),-VLOOKUP($C10&amp;" "&amp;AF$1,Results!$G:$H,2,FALSE)),"")</f>
        <v>108</v>
      </c>
      <c r="AG10" s="2">
        <f>IFERROR(IFERROR(VLOOKUP($C10&amp;" "&amp;AG$1,Results!$F:$H,3,FALSE),-VLOOKUP($C10&amp;" "&amp;AG$1,Results!$G:$H,2,FALSE)),"")</f>
        <v>26</v>
      </c>
      <c r="AH10" s="2" t="str">
        <f>IFERROR(IFERROR(VLOOKUP($C10&amp;" "&amp;AH$1,Results!$F:$H,3,FALSE),-VLOOKUP($C10&amp;" "&amp;AH$1,Results!$G:$H,2,FALSE)),"")</f>
        <v/>
      </c>
      <c r="AI10" s="2" t="str">
        <f>IFERROR(IFERROR(VLOOKUP($C10&amp;" "&amp;AI$1,Results!$F:$H,3,FALSE),-VLOOKUP($C10&amp;" "&amp;AI$1,Results!$G:$H,2,FALSE)),"")</f>
        <v/>
      </c>
      <c r="AJ10" s="2" t="str">
        <f>IFERROR(IFERROR(VLOOKUP($C10&amp;" "&amp;AJ$1,Results!$F:$H,3,FALSE),-VLOOKUP($C10&amp;" "&amp;AJ$1,Results!$G:$H,2,FALSE)),"")</f>
        <v/>
      </c>
      <c r="AK10" s="2" t="str">
        <f>IFERROR(IFERROR(VLOOKUP($C10&amp;" "&amp;AK$1,Results!$F:$H,3,FALSE),-VLOOKUP($C10&amp;" "&amp;AK$1,Results!$G:$H,2,FALSE)),"")</f>
        <v/>
      </c>
      <c r="AL10" s="2" t="str">
        <f>IFERROR(IFERROR(VLOOKUP($C10&amp;" "&amp;AL$1,Results!$F:$H,3,FALSE),-VLOOKUP($C10&amp;" "&amp;AL$1,Results!$G:$H,2,FALSE)),"")</f>
        <v/>
      </c>
      <c r="AM10" s="2" t="str">
        <f>IFERROR(IFERROR(VLOOKUP($C10&amp;" "&amp;AM$1,Results!$F:$H,3,FALSE),-VLOOKUP($C10&amp;" "&amp;AM$1,Results!$G:$H,2,FALSE)),"")</f>
        <v/>
      </c>
      <c r="AN10" s="2" t="str">
        <f>IFERROR(IFERROR(VLOOKUP($C10&amp;" "&amp;AN$1,Results!$F:$H,3,FALSE),-VLOOKUP($C10&amp;" "&amp;AN$1,Results!$G:$H,2,FALSE)),"")</f>
        <v/>
      </c>
      <c r="AO10" s="2" t="str">
        <f>IFERROR(IFERROR(VLOOKUP($C10&amp;" "&amp;AO$1,Results!$F:$H,3,FALSE),-VLOOKUP($C10&amp;" "&amp;AO$1,Results!$G:$H,2,FALSE)),"")</f>
        <v/>
      </c>
      <c r="AP10" s="2" t="str">
        <f>IFERROR(IFERROR(VLOOKUP($C10&amp;" "&amp;AP$1,Results!$F:$H,3,FALSE),-VLOOKUP($C10&amp;" "&amp;AP$1,Results!$G:$H,2,FALSE)),"")</f>
        <v/>
      </c>
      <c r="AV10" s="5"/>
      <c r="AW10" s="5"/>
      <c r="AZ10" s="5"/>
      <c r="BA10" s="5"/>
      <c r="BE10" s="5"/>
      <c r="BF10" s="5"/>
      <c r="BH10" s="8"/>
      <c r="BI10" s="8"/>
      <c r="BJ10" s="82">
        <f t="shared" si="5"/>
        <v>115</v>
      </c>
      <c r="BK10" s="5">
        <f t="shared" si="6"/>
        <v>2</v>
      </c>
      <c r="BL10" s="5">
        <f t="shared" si="7"/>
        <v>3</v>
      </c>
      <c r="BM10" s="5">
        <f t="shared" si="8"/>
        <v>5</v>
      </c>
      <c r="BN10" s="65">
        <f t="shared" si="9"/>
        <v>0.4</v>
      </c>
      <c r="BQ10" s="60">
        <f t="shared" si="10"/>
        <v>115</v>
      </c>
      <c r="BS10" s="5">
        <v>4</v>
      </c>
      <c r="BT10" s="5">
        <f t="shared" si="11"/>
        <v>3</v>
      </c>
      <c r="BU10" s="5">
        <f t="shared" si="12"/>
        <v>1</v>
      </c>
    </row>
    <row r="11" spans="1:73" ht="13.5" customHeight="1" thickBot="1">
      <c r="A11" s="5">
        <v>6</v>
      </c>
      <c r="B11" s="5">
        <v>8</v>
      </c>
      <c r="C11" s="41" t="s">
        <v>56</v>
      </c>
      <c r="D11" s="41"/>
      <c r="E11" s="5">
        <f>IF(AND(AC11&gt;0,$A11&lt;VLOOKUP(AC$1,$C:$L,10,FALSE)),1,IF(AND(AC11&lt;0,$A11&gt;VLOOKUP(AC$1,$C:$L,10,FALSE)),1,0))</f>
        <v>0</v>
      </c>
      <c r="F11" s="5">
        <f>IF(AND(AD11&gt;0,$A11&lt;VLOOKUP(AD$1,$C:$L,10,FALSE)),1,IF(AND(AD11&lt;0,$A11&gt;VLOOKUP(AD$1,$C:$L,10,FALSE)),1,0))</f>
        <v>0</v>
      </c>
      <c r="G11" s="5">
        <f>IF(AND(AE11&gt;0,$A11&lt;VLOOKUP(AE$1,$C:$L,10,FALSE)),1,IF(AND(AE11&lt;0,$A11&gt;VLOOKUP(AE$1,$C:$L,10,FALSE)),1,0))</f>
        <v>1</v>
      </c>
      <c r="H11" s="5">
        <f>IF(AND(AG11&gt;0,$A11&lt;VLOOKUP(AG$1,$C:$L,10,FALSE)),1,IF(AND(AG11&lt;0,$A11&gt;VLOOKUP(AG$1,$C:$L,10,FALSE)),1,0))</f>
        <v>1</v>
      </c>
      <c r="I11" s="5">
        <f>IF(AND(AH11&gt;0,$A11&lt;VLOOKUP(AH$1,$C:$L,10,FALSE)),1,IF(AND(AH11&lt;0,$A11&gt;VLOOKUP(AH$1,$C:$L,10,FALSE)),1,0))</f>
        <v>1</v>
      </c>
      <c r="J11" s="5">
        <f>IF(AND(AI11&gt;0,$A11&lt;VLOOKUP(AI$1,$C:$L,10,FALSE)),1,IF(AND(AI11&lt;0,$A11&gt;VLOOKUP(AI$1,$C:$L,10,FALSE)),1,0))</f>
        <v>1</v>
      </c>
      <c r="K11" s="79" t="s">
        <v>134</v>
      </c>
      <c r="L11" s="5">
        <f t="shared" si="0"/>
        <v>8</v>
      </c>
      <c r="M11" s="2">
        <v>2</v>
      </c>
      <c r="N11" s="11">
        <f t="shared" si="1"/>
        <v>4</v>
      </c>
      <c r="O11" s="2">
        <f t="shared" si="2"/>
        <v>2</v>
      </c>
      <c r="P11" s="2">
        <f t="shared" si="3"/>
        <v>0</v>
      </c>
      <c r="Q11" s="12">
        <f t="shared" si="16"/>
        <v>1</v>
      </c>
      <c r="R11" s="13">
        <f t="shared" si="17"/>
        <v>2</v>
      </c>
      <c r="S11" s="14">
        <f t="shared" si="18"/>
        <v>0</v>
      </c>
      <c r="T11" s="2">
        <f t="shared" si="4"/>
        <v>0</v>
      </c>
      <c r="U11" s="2" t="str">
        <f>IFERROR(IFERROR(VLOOKUP($C11&amp;" "&amp;U$1,Results!$F:$H,3,FALSE),-VLOOKUP($C11&amp;" "&amp;U$1,Results!$G:$H,2,FALSE)),"")</f>
        <v/>
      </c>
      <c r="V11" s="2" t="str">
        <f>IFERROR(IFERROR(VLOOKUP($C11&amp;" "&amp;V$1,Results!$F:$H,3,FALSE),-VLOOKUP($C11&amp;" "&amp;V$1,Results!$G:$H,2,FALSE)),"")</f>
        <v/>
      </c>
      <c r="W11" s="2" t="str">
        <f>IFERROR(IFERROR(VLOOKUP($C11&amp;" "&amp;W$1,Results!$F:$H,3,FALSE),-VLOOKUP($C11&amp;" "&amp;W$1,Results!$G:$H,2,FALSE)),"")</f>
        <v/>
      </c>
      <c r="X11" s="2" t="str">
        <f>IFERROR(IFERROR(VLOOKUP($C11&amp;" "&amp;X$1,Results!$F:$H,3,FALSE),-VLOOKUP($C11&amp;" "&amp;X$1,Results!$G:$H,2,FALSE)),"")</f>
        <v/>
      </c>
      <c r="Y11" s="2" t="str">
        <f>IFERROR(IFERROR(VLOOKUP($C11&amp;" "&amp;Y$1,Results!$F:$H,3,FALSE),-VLOOKUP($C11&amp;" "&amp;Y$1,Results!$G:$H,2,FALSE)),"")</f>
        <v/>
      </c>
      <c r="Z11" s="2" t="str">
        <f>IFERROR(IFERROR(VLOOKUP($C11&amp;" "&amp;Z$1,Results!$F:$H,3,FALSE),-VLOOKUP($C11&amp;" "&amp;Z$1,Results!$G:$H,2,FALSE)),"")</f>
        <v/>
      </c>
      <c r="AA11" s="2" t="str">
        <f>IFERROR(IFERROR(VLOOKUP($C11&amp;" "&amp;AA$1,Results!$F:$H,3,FALSE),-VLOOKUP($C11&amp;" "&amp;AA$1,Results!$G:$H,2,FALSE)),"")</f>
        <v/>
      </c>
      <c r="AB11" s="52">
        <f>IFERROR(IFERROR(VLOOKUP($C11&amp;" "&amp;AB$1,Results!$F:$H,3,FALSE),-VLOOKUP($C11&amp;" "&amp;AB$1,Results!$G:$H,2,FALSE)),"")</f>
        <v>47</v>
      </c>
      <c r="AC11" s="47">
        <f>IFERROR(IFERROR(VLOOKUP($C11&amp;" "&amp;AC$1,Results!$F:$H,3,FALSE),-VLOOKUP($C11&amp;" "&amp;AC$1,Results!$G:$H,2,FALSE)),"")</f>
        <v>-97</v>
      </c>
      <c r="AD11" s="47">
        <f>IFERROR(IFERROR(VLOOKUP($C11&amp;" "&amp;AD$1,Results!$F:$H,3,FALSE),-VLOOKUP($C11&amp;" "&amp;AD$1,Results!$G:$H,2,FALSE)),"")</f>
        <v>-8</v>
      </c>
      <c r="AE11" s="20" t="str">
        <f>IFERROR(IFERROR(VLOOKUP($C11&amp;" "&amp;AE$1,Results!$F:$H,3,FALSE),-VLOOKUP($C11&amp;" "&amp;AE$1,Results!$G:$H,2,FALSE)),"")</f>
        <v/>
      </c>
      <c r="AF11" s="19">
        <f>IFERROR(IFERROR(VLOOKUP($C11&amp;" "&amp;AF$1,Results!$F:$H,3,FALSE),-VLOOKUP($C11&amp;" "&amp;AF$1,Results!$G:$H,2,FALSE)),"")</f>
        <v>41</v>
      </c>
      <c r="AG11" s="19">
        <f>IFERROR(IFERROR(VLOOKUP($C11&amp;" "&amp;AG$1,Results!$F:$H,3,FALSE),-VLOOKUP($C11&amp;" "&amp;AG$1,Results!$G:$H,2,FALSE)),"")</f>
        <v>37</v>
      </c>
      <c r="AH11" s="19">
        <f>IFERROR(IFERROR(VLOOKUP($C11&amp;" "&amp;AH$1,Results!$F:$H,3,FALSE),-VLOOKUP($C11&amp;" "&amp;AH$1,Results!$G:$H,2,FALSE)),"")</f>
        <v>16</v>
      </c>
      <c r="AI11" s="19" t="str">
        <f>IFERROR(IFERROR(VLOOKUP($C11&amp;" "&amp;AI$1,Results!$F:$H,3,FALSE),-VLOOKUP($C11&amp;" "&amp;AI$1,Results!$G:$H,2,FALSE)),"")</f>
        <v/>
      </c>
      <c r="AJ11" s="2" t="str">
        <f>IFERROR(IFERROR(VLOOKUP($C11&amp;" "&amp;AJ$1,Results!$F:$H,3,FALSE),-VLOOKUP($C11&amp;" "&amp;AJ$1,Results!$G:$H,2,FALSE)),"")</f>
        <v/>
      </c>
      <c r="AK11" s="2" t="str">
        <f>IFERROR(IFERROR(VLOOKUP($C11&amp;" "&amp;AK$1,Results!$F:$H,3,FALSE),-VLOOKUP($C11&amp;" "&amp;AK$1,Results!$G:$H,2,FALSE)),"")</f>
        <v/>
      </c>
      <c r="AL11" s="2" t="str">
        <f>IFERROR(IFERROR(VLOOKUP($C11&amp;" "&amp;AL$1,Results!$F:$H,3,FALSE),-VLOOKUP($C11&amp;" "&amp;AL$1,Results!$G:$H,2,FALSE)),"")</f>
        <v/>
      </c>
      <c r="AM11" s="2" t="str">
        <f>IFERROR(IFERROR(VLOOKUP($C11&amp;" "&amp;AM$1,Results!$F:$H,3,FALSE),-VLOOKUP($C11&amp;" "&amp;AM$1,Results!$G:$H,2,FALSE)),"")</f>
        <v/>
      </c>
      <c r="AN11" s="2" t="str">
        <f>IFERROR(IFERROR(VLOOKUP($C11&amp;" "&amp;AN$1,Results!$F:$H,3,FALSE),-VLOOKUP($C11&amp;" "&amp;AN$1,Results!$G:$H,2,FALSE)),"")</f>
        <v/>
      </c>
      <c r="AO11" s="2" t="str">
        <f>IFERROR(IFERROR(VLOOKUP($C11&amp;" "&amp;AO$1,Results!$F:$H,3,FALSE),-VLOOKUP($C11&amp;" "&amp;AO$1,Results!$G:$H,2,FALSE)),"")</f>
        <v/>
      </c>
      <c r="AP11" s="2" t="str">
        <f>IFERROR(IFERROR(VLOOKUP($C11&amp;" "&amp;AP$1,Results!$F:$H,3,FALSE),-VLOOKUP($C11&amp;" "&amp;AP$1,Results!$G:$H,2,FALSE)),"")</f>
        <v/>
      </c>
      <c r="AV11" s="5"/>
      <c r="AW11" s="5"/>
      <c r="AZ11" s="5"/>
      <c r="BA11" s="5"/>
      <c r="BE11" s="5"/>
      <c r="BF11" s="5"/>
      <c r="BH11" s="8"/>
      <c r="BI11" s="8"/>
      <c r="BJ11" s="82">
        <f t="shared" si="5"/>
        <v>36</v>
      </c>
      <c r="BK11" s="5">
        <f t="shared" si="6"/>
        <v>4</v>
      </c>
      <c r="BL11" s="5">
        <f t="shared" si="7"/>
        <v>2</v>
      </c>
      <c r="BM11" s="5">
        <f t="shared" si="8"/>
        <v>6</v>
      </c>
      <c r="BN11" s="65">
        <f t="shared" si="9"/>
        <v>0.66666666666666663</v>
      </c>
      <c r="BQ11" s="60">
        <f t="shared" si="10"/>
        <v>36</v>
      </c>
      <c r="BS11" s="5">
        <v>9</v>
      </c>
      <c r="BT11" s="5">
        <f t="shared" si="11"/>
        <v>6</v>
      </c>
      <c r="BU11" s="5">
        <f t="shared" si="12"/>
        <v>3</v>
      </c>
    </row>
    <row r="12" spans="1:73" ht="13.5" customHeight="1">
      <c r="A12" s="5">
        <v>14</v>
      </c>
      <c r="B12" s="5">
        <v>9</v>
      </c>
      <c r="C12" s="157" t="s">
        <v>55</v>
      </c>
      <c r="D12" s="41"/>
      <c r="E12" s="5">
        <f>IF(AND(AB12&gt;0,$A12&lt;VLOOKUP(AB$1,$C:$L,10,FALSE)),1,IF(AND(AB12&lt;0,$A12&gt;VLOOKUP(AB$1,$C:$L,10,FALSE)),1,0))</f>
        <v>0</v>
      </c>
      <c r="F12" s="5">
        <f>IF(AND(AC12&gt;0,$A12&lt;VLOOKUP(AC$1,$C:$L,10,FALSE)),1,IF(AND(AC12&lt;0,$A12&gt;VLOOKUP(AC$1,$C:$L,10,FALSE)),1,0))</f>
        <v>1</v>
      </c>
      <c r="G12" s="5">
        <f>IF(AND(AD12&gt;0,$A12&lt;VLOOKUP(AD$1,$C:$L,10,FALSE)),1,IF(AND(AD12&lt;0,$A12&gt;VLOOKUP(AD$1,$C:$L,10,FALSE)),1,0))</f>
        <v>1</v>
      </c>
      <c r="H12" s="5">
        <f>IF(AND(AF12&gt;0,$A12&lt;VLOOKUP(AF$1,$C:$L,10,FALSE)),1,IF(AND(AF12&lt;0,$A12&gt;VLOOKUP(AF$1,$C:$L,10,FALSE)),1,0))</f>
        <v>0</v>
      </c>
      <c r="I12" s="5">
        <f>IF(AND(AG12&gt;0,$A12&lt;VLOOKUP(AG$1,$C:$L,10,FALSE)),1,IF(AND(AG12&lt;0,$A12&gt;VLOOKUP(AG$1,$C:$L,10,FALSE)),1,0))</f>
        <v>1</v>
      </c>
      <c r="J12" s="5">
        <f>IF(AND(AH12&gt;0,$A12&lt;VLOOKUP(AH$1,$C:$L,10,FALSE)),1,IF(AND(AH12&lt;0,$A12&gt;VLOOKUP(AH$1,$C:$L,10,FALSE)),1,0))</f>
        <v>1</v>
      </c>
      <c r="K12" s="79" t="s">
        <v>134</v>
      </c>
      <c r="L12" s="5">
        <f t="shared" si="0"/>
        <v>9</v>
      </c>
      <c r="M12" s="2">
        <v>3</v>
      </c>
      <c r="N12" s="11">
        <f t="shared" si="1"/>
        <v>0</v>
      </c>
      <c r="O12" s="2">
        <f t="shared" si="2"/>
        <v>6</v>
      </c>
      <c r="P12" s="2">
        <f t="shared" si="3"/>
        <v>0</v>
      </c>
      <c r="Q12" s="12">
        <f>COUNTIF($AF12:$AI12,"&gt;0")</f>
        <v>0</v>
      </c>
      <c r="R12" s="13">
        <f>COUNTIF($AF12:$AI12,"&lt;0")</f>
        <v>3</v>
      </c>
      <c r="S12" s="14">
        <f>COUNTIF($AF12:$AI12,"=0")</f>
        <v>0</v>
      </c>
      <c r="T12" s="2">
        <f t="shared" si="4"/>
        <v>0</v>
      </c>
      <c r="U12" s="2" t="str">
        <f>IFERROR(IFERROR(VLOOKUP($C12&amp;" "&amp;U$1,Results!$F:$H,3,FALSE),-VLOOKUP($C12&amp;" "&amp;U$1,Results!$G:$H,2,FALSE)),"")</f>
        <v/>
      </c>
      <c r="V12" s="2" t="str">
        <f>IFERROR(IFERROR(VLOOKUP($C12&amp;" "&amp;V$1,Results!$F:$H,3,FALSE),-VLOOKUP($C12&amp;" "&amp;V$1,Results!$G:$H,2,FALSE)),"")</f>
        <v/>
      </c>
      <c r="W12" s="2" t="str">
        <f>IFERROR(IFERROR(VLOOKUP($C12&amp;" "&amp;W$1,Results!$F:$H,3,FALSE),-VLOOKUP($C12&amp;" "&amp;W$1,Results!$G:$H,2,FALSE)),"")</f>
        <v/>
      </c>
      <c r="X12" s="2" t="str">
        <f>IFERROR(IFERROR(VLOOKUP($C12&amp;" "&amp;X$1,Results!$F:$H,3,FALSE),-VLOOKUP($C12&amp;" "&amp;X$1,Results!$G:$H,2,FALSE)),"")</f>
        <v/>
      </c>
      <c r="Y12" s="2" t="str">
        <f>IFERROR(IFERROR(VLOOKUP($C12&amp;" "&amp;Y$1,Results!$F:$H,3,FALSE),-VLOOKUP($C12&amp;" "&amp;Y$1,Results!$G:$H,2,FALSE)),"")</f>
        <v/>
      </c>
      <c r="Z12" s="2" t="str">
        <f>IFERROR(IFERROR(VLOOKUP($C12&amp;" "&amp;Z$1,Results!$F:$H,3,FALSE),-VLOOKUP($C12&amp;" "&amp;Z$1,Results!$G:$H,2,FALSE)),"")</f>
        <v/>
      </c>
      <c r="AA12" s="2" t="str">
        <f>IFERROR(IFERROR(VLOOKUP($C12&amp;" "&amp;AA$1,Results!$F:$H,3,FALSE),-VLOOKUP($C12&amp;" "&amp;AA$1,Results!$G:$H,2,FALSE)),"")</f>
        <v/>
      </c>
      <c r="AB12" s="19" t="str">
        <f>IFERROR(IFERROR(VLOOKUP($C12&amp;" "&amp;AB$1,Results!$F:$H,3,FALSE),-VLOOKUP($C12&amp;" "&amp;AB$1,Results!$G:$H,2,FALSE)),"")</f>
        <v/>
      </c>
      <c r="AC12" s="19">
        <f>IFERROR(IFERROR(VLOOKUP($C12&amp;" "&amp;AC$1,Results!$F:$H,3,FALSE),-VLOOKUP($C12&amp;" "&amp;AC$1,Results!$G:$H,2,FALSE)),"")</f>
        <v>-249</v>
      </c>
      <c r="AD12" s="19">
        <f>IFERROR(IFERROR(VLOOKUP($C12&amp;" "&amp;AD$1,Results!$F:$H,3,FALSE),-VLOOKUP($C12&amp;" "&amp;AD$1,Results!$G:$H,2,FALSE)),"")</f>
        <v>-108</v>
      </c>
      <c r="AE12" s="19">
        <f>IFERROR(IFERROR(VLOOKUP($C12&amp;" "&amp;AE$1,Results!$F:$H,3,FALSE),-VLOOKUP($C12&amp;" "&amp;AE$1,Results!$G:$H,2,FALSE)),"")</f>
        <v>-41</v>
      </c>
      <c r="AF12" s="18" t="str">
        <f>IFERROR(IFERROR(VLOOKUP($C12&amp;" "&amp;AF$1,Results!$F:$H,3,FALSE),-VLOOKUP($C12&amp;" "&amp;AF$1,Results!$G:$H,2,FALSE)),"")</f>
        <v/>
      </c>
      <c r="AG12" s="42">
        <f>IFERROR(IFERROR(VLOOKUP($C12&amp;" "&amp;AG$1,Results!$F:$H,3,FALSE),-VLOOKUP($C12&amp;" "&amp;AG$1,Results!$G:$H,2,FALSE)),"")</f>
        <v>-92</v>
      </c>
      <c r="AH12" s="42">
        <f>IFERROR(IFERROR(VLOOKUP($C12&amp;" "&amp;AH$1,Results!$F:$H,3,FALSE),-VLOOKUP($C12&amp;" "&amp;AH$1,Results!$G:$H,2,FALSE)),"")</f>
        <v>-116</v>
      </c>
      <c r="AI12" s="55">
        <f>IFERROR(IFERROR(VLOOKUP($C12&amp;" "&amp;AI$1,Results!$F:$H,3,FALSE),-VLOOKUP($C12&amp;" "&amp;AI$1,Results!$G:$H,2,FALSE)),"")</f>
        <v>-19</v>
      </c>
      <c r="AJ12" s="2" t="str">
        <f>IFERROR(IFERROR(VLOOKUP($C12&amp;" "&amp;AJ$1,Results!$F:$H,3,FALSE),-VLOOKUP($C12&amp;" "&amp;AJ$1,Results!$G:$H,2,FALSE)),"")</f>
        <v/>
      </c>
      <c r="AK12" s="2" t="str">
        <f>IFERROR(IFERROR(VLOOKUP($C12&amp;" "&amp;AK$1,Results!$F:$H,3,FALSE),-VLOOKUP($C12&amp;" "&amp;AK$1,Results!$G:$H,2,FALSE)),"")</f>
        <v/>
      </c>
      <c r="AL12" s="2" t="str">
        <f>IFERROR(IFERROR(VLOOKUP($C12&amp;" "&amp;AL$1,Results!$F:$H,3,FALSE),-VLOOKUP($C12&amp;" "&amp;AL$1,Results!$G:$H,2,FALSE)),"")</f>
        <v/>
      </c>
      <c r="AM12" s="2" t="str">
        <f>IFERROR(IFERROR(VLOOKUP($C12&amp;" "&amp;AM$1,Results!$F:$H,3,FALSE),-VLOOKUP($C12&amp;" "&amp;AM$1,Results!$G:$H,2,FALSE)),"")</f>
        <v/>
      </c>
      <c r="AN12" s="2" t="str">
        <f>IFERROR(IFERROR(VLOOKUP($C12&amp;" "&amp;AN$1,Results!$F:$H,3,FALSE),-VLOOKUP($C12&amp;" "&amp;AN$1,Results!$G:$H,2,FALSE)),"")</f>
        <v/>
      </c>
      <c r="AO12" s="2" t="str">
        <f>IFERROR(IFERROR(VLOOKUP($C12&amp;" "&amp;AO$1,Results!$F:$H,3,FALSE),-VLOOKUP($C12&amp;" "&amp;AO$1,Results!$G:$H,2,FALSE)),"")</f>
        <v/>
      </c>
      <c r="AP12" s="2" t="str">
        <f>IFERROR(IFERROR(VLOOKUP($C12&amp;" "&amp;AP$1,Results!$F:$H,3,FALSE),-VLOOKUP($C12&amp;" "&amp;AP$1,Results!$G:$H,2,FALSE)),"")</f>
        <v/>
      </c>
      <c r="AV12" s="5"/>
      <c r="AW12" s="5"/>
      <c r="AZ12" s="5"/>
      <c r="BA12" s="5"/>
      <c r="BE12" s="5"/>
      <c r="BF12" s="5"/>
      <c r="BH12" s="8"/>
      <c r="BI12" s="8"/>
      <c r="BJ12" s="82">
        <f t="shared" si="5"/>
        <v>-625</v>
      </c>
      <c r="BK12" s="5">
        <f t="shared" si="6"/>
        <v>4</v>
      </c>
      <c r="BL12" s="5">
        <f t="shared" si="7"/>
        <v>2</v>
      </c>
      <c r="BM12" s="5">
        <f t="shared" si="8"/>
        <v>6</v>
      </c>
      <c r="BN12" s="65">
        <f t="shared" si="9"/>
        <v>0.66666666666666663</v>
      </c>
      <c r="BQ12" s="60">
        <f t="shared" si="10"/>
        <v>-625</v>
      </c>
      <c r="BS12" s="5">
        <v>12</v>
      </c>
      <c r="BT12" s="5">
        <f t="shared" si="11"/>
        <v>14</v>
      </c>
      <c r="BU12" s="5">
        <f t="shared" si="12"/>
        <v>-2</v>
      </c>
    </row>
    <row r="13" spans="1:73" ht="13.5" customHeight="1">
      <c r="A13" s="5">
        <v>8</v>
      </c>
      <c r="B13" s="5">
        <v>10</v>
      </c>
      <c r="C13" s="156" t="s">
        <v>84</v>
      </c>
      <c r="D13" s="41"/>
      <c r="E13" s="5">
        <f>IF(AND(AH13&gt;0,$A13&lt;VLOOKUP(AH$1,$C:$L,10,FALSE)),1,IF(AND(AH13&lt;0,$A13&gt;VLOOKUP(AH$1,$C:$L,10,FALSE)),1,0))</f>
        <v>1</v>
      </c>
      <c r="F13" s="5">
        <f>IF(AND(AI13&gt;0,$A13&lt;VLOOKUP(AI$1,$C:$L,10,FALSE)),1,IF(AND(AI13&lt;0,$A13&gt;VLOOKUP(AI$1,$C:$L,10,FALSE)),1,0))</f>
        <v>1</v>
      </c>
      <c r="G13" s="5">
        <f>IF(AND(AJ13&gt;0,$A13&lt;VLOOKUP(AJ$1,$C:$L,10,FALSE)),1,IF(AND(AJ13&lt;0,$A13&gt;VLOOKUP(AJ$1,$C:$L,10,FALSE)),1,0))</f>
        <v>1</v>
      </c>
      <c r="H13" s="5">
        <f>IF(AND(AL13&gt;0,$A13&lt;VLOOKUP(AL$1,$C:$L,10,FALSE)),1,IF(AND(AL13&lt;0,$A13&gt;VLOOKUP(AL$1,$C:$L,10,FALSE)),1,0))</f>
        <v>1</v>
      </c>
      <c r="I13" s="5">
        <f>IF(AND(AM13&gt;0,$A13&lt;VLOOKUP(AM$1,$C:$L,10,FALSE)),1,IF(AND(AM13&lt;0,$A13&gt;VLOOKUP(AM$1,$C:$L,10,FALSE)),1,0))</f>
        <v>1</v>
      </c>
      <c r="J13" s="5">
        <f>IF(AND(AN13&gt;0,$A13&lt;VLOOKUP(AN$1,$C:$L,10,FALSE)),1,IF(AND(AN13&lt;0,$A13&gt;VLOOKUP(AN$1,$C:$L,10,FALSE)),1,0))</f>
        <v>1</v>
      </c>
      <c r="K13" s="79" t="s">
        <v>134</v>
      </c>
      <c r="L13" s="5">
        <f t="shared" si="0"/>
        <v>10</v>
      </c>
      <c r="M13" s="2">
        <v>3</v>
      </c>
      <c r="N13" s="11">
        <f t="shared" ref="N13:N27" si="19">COUNTIF($U13:$BH13,"&gt;0")</f>
        <v>4</v>
      </c>
      <c r="O13" s="2">
        <f t="shared" ref="O13:O27" si="20">COUNTIF($U13:$BH13,"&lt;0")</f>
        <v>2</v>
      </c>
      <c r="P13" s="2">
        <f t="shared" ref="P13:P27" si="21">COUNTIF($U13:$BH13,"=0")</f>
        <v>0</v>
      </c>
      <c r="Q13" s="12">
        <f t="shared" ref="Q13:Q15" si="22">COUNTIF($AF13:$AI13,"&gt;0")</f>
        <v>3</v>
      </c>
      <c r="R13" s="13">
        <f t="shared" ref="R13:R15" si="23">COUNTIF($AF13:$AI13,"&lt;0")</f>
        <v>0</v>
      </c>
      <c r="S13" s="14">
        <f t="shared" ref="S13:S15" si="24">COUNTIF($AF13:$AI13,"=0")</f>
        <v>0</v>
      </c>
      <c r="T13" s="2">
        <f t="shared" si="4"/>
        <v>0</v>
      </c>
      <c r="U13" s="2" t="str">
        <f>IFERROR(IFERROR(VLOOKUP($C13&amp;" "&amp;U$1,Results!$F:$H,3,FALSE),-VLOOKUP($C13&amp;" "&amp;U$1,Results!$G:$H,2,FALSE)),"")</f>
        <v/>
      </c>
      <c r="V13" s="2" t="str">
        <f>IFERROR(IFERROR(VLOOKUP($C13&amp;" "&amp;V$1,Results!$F:$H,3,FALSE),-VLOOKUP($C13&amp;" "&amp;V$1,Results!$G:$H,2,FALSE)),"")</f>
        <v/>
      </c>
      <c r="W13" s="2" t="str">
        <f>IFERROR(IFERROR(VLOOKUP($C13&amp;" "&amp;W$1,Results!$F:$H,3,FALSE),-VLOOKUP($C13&amp;" "&amp;W$1,Results!$G:$H,2,FALSE)),"")</f>
        <v/>
      </c>
      <c r="X13" s="2" t="str">
        <f>IFERROR(IFERROR(VLOOKUP($C13&amp;" "&amp;X$1,Results!$F:$H,3,FALSE),-VLOOKUP($C13&amp;" "&amp;X$1,Results!$G:$H,2,FALSE)),"")</f>
        <v/>
      </c>
      <c r="Y13" s="2" t="str">
        <f>IFERROR(IFERROR(VLOOKUP($C13&amp;" "&amp;Y$1,Results!$F:$H,3,FALSE),-VLOOKUP($C13&amp;" "&amp;Y$1,Results!$G:$H,2,FALSE)),"")</f>
        <v/>
      </c>
      <c r="Z13" s="2" t="str">
        <f>IFERROR(IFERROR(VLOOKUP($C13&amp;" "&amp;Z$1,Results!$F:$H,3,FALSE),-VLOOKUP($C13&amp;" "&amp;Z$1,Results!$G:$H,2,FALSE)),"")</f>
        <v/>
      </c>
      <c r="AA13" s="2" t="str">
        <f>IFERROR(IFERROR(VLOOKUP($C13&amp;" "&amp;AA$1,Results!$F:$H,3,FALSE),-VLOOKUP($C13&amp;" "&amp;AA$1,Results!$G:$H,2,FALSE)),"")</f>
        <v/>
      </c>
      <c r="AB13" s="2" t="str">
        <f>IFERROR(IFERROR(VLOOKUP($C13&amp;" "&amp;AB$1,Results!$F:$H,3,FALSE),-VLOOKUP($C13&amp;" "&amp;AB$1,Results!$G:$H,2,FALSE)),"")</f>
        <v/>
      </c>
      <c r="AC13" s="2" t="str">
        <f>IFERROR(IFERROR(VLOOKUP($C13&amp;" "&amp;AC$1,Results!$F:$H,3,FALSE),-VLOOKUP($C13&amp;" "&amp;AC$1,Results!$G:$H,2,FALSE)),"")</f>
        <v/>
      </c>
      <c r="AD13" s="2">
        <f>IFERROR(IFERROR(VLOOKUP($C13&amp;" "&amp;AD$1,Results!$F:$H,3,FALSE),-VLOOKUP($C13&amp;" "&amp;AD$1,Results!$G:$H,2,FALSE)),"")</f>
        <v>-26</v>
      </c>
      <c r="AE13" s="2">
        <f>IFERROR(IFERROR(VLOOKUP($C13&amp;" "&amp;AE$1,Results!$F:$H,3,FALSE),-VLOOKUP($C13&amp;" "&amp;AE$1,Results!$G:$H,2,FALSE)),"")</f>
        <v>-37</v>
      </c>
      <c r="AF13" s="51">
        <f>IFERROR(IFERROR(VLOOKUP($C13&amp;" "&amp;AF$1,Results!$F:$H,3,FALSE),-VLOOKUP($C13&amp;" "&amp;AF$1,Results!$G:$H,2,FALSE)),"")</f>
        <v>92</v>
      </c>
      <c r="AG13" s="2" t="str">
        <f>IFERROR(IFERROR(VLOOKUP($C13&amp;" "&amp;AG$1,Results!$F:$H,3,FALSE),-VLOOKUP($C13&amp;" "&amp;AG$1,Results!$G:$H,2,FALSE)),"")</f>
        <v/>
      </c>
      <c r="AH13" s="2">
        <f>IFERROR(IFERROR(VLOOKUP($C13&amp;" "&amp;AH$1,Results!$F:$H,3,FALSE),-VLOOKUP($C13&amp;" "&amp;AH$1,Results!$G:$H,2,FALSE)),"")</f>
        <v>20</v>
      </c>
      <c r="AI13" s="56">
        <f>IFERROR(IFERROR(VLOOKUP($C13&amp;" "&amp;AI$1,Results!$F:$H,3,FALSE),-VLOOKUP($C13&amp;" "&amp;AI$1,Results!$G:$H,2,FALSE)),"")</f>
        <v>126</v>
      </c>
      <c r="AJ13" s="19">
        <f>IFERROR(IFERROR(VLOOKUP($C13&amp;" "&amp;AJ$1,Results!$F:$H,3,FALSE),-VLOOKUP($C13&amp;" "&amp;AJ$1,Results!$G:$H,2,FALSE)),"")</f>
        <v>71</v>
      </c>
      <c r="AK13" s="19" t="str">
        <f>IFERROR(IFERROR(VLOOKUP($C13&amp;" "&amp;AK$1,Results!$F:$H,3,FALSE),-VLOOKUP($C13&amp;" "&amp;AK$1,Results!$G:$H,2,FALSE)),"")</f>
        <v/>
      </c>
      <c r="AL13" s="19" t="str">
        <f>IFERROR(IFERROR(VLOOKUP($C13&amp;" "&amp;AL$1,Results!$F:$H,3,FALSE),-VLOOKUP($C13&amp;" "&amp;AL$1,Results!$G:$H,2,FALSE)),"")</f>
        <v/>
      </c>
      <c r="AM13" s="19" t="str">
        <f>IFERROR(IFERROR(VLOOKUP($C13&amp;" "&amp;AM$1,Results!$F:$H,3,FALSE),-VLOOKUP($C13&amp;" "&amp;AM$1,Results!$G:$H,2,FALSE)),"")</f>
        <v/>
      </c>
      <c r="AN13" s="2" t="str">
        <f>IFERROR(IFERROR(VLOOKUP($C13&amp;" "&amp;AN$1,Results!$F:$H,3,FALSE),-VLOOKUP($C13&amp;" "&amp;AN$1,Results!$G:$H,2,FALSE)),"")</f>
        <v/>
      </c>
      <c r="AO13" s="2" t="str">
        <f>IFERROR(IFERROR(VLOOKUP($C13&amp;" "&amp;AO$1,Results!$F:$H,3,FALSE),-VLOOKUP($C13&amp;" "&amp;AO$1,Results!$G:$H,2,FALSE)),"")</f>
        <v/>
      </c>
      <c r="AP13" s="2" t="str">
        <f>IFERROR(IFERROR(VLOOKUP($C13&amp;" "&amp;AP$1,Results!$F:$H,3,FALSE),-VLOOKUP($C13&amp;" "&amp;AP$1,Results!$G:$H,2,FALSE)),"")</f>
        <v/>
      </c>
      <c r="BE13" s="2"/>
      <c r="BH13" s="15"/>
      <c r="BI13" s="15"/>
      <c r="BJ13" s="82">
        <f t="shared" si="5"/>
        <v>246</v>
      </c>
      <c r="BK13" s="5">
        <f t="shared" si="6"/>
        <v>6</v>
      </c>
      <c r="BL13" s="5">
        <f t="shared" si="7"/>
        <v>0</v>
      </c>
      <c r="BM13" s="5">
        <f t="shared" si="8"/>
        <v>6</v>
      </c>
      <c r="BN13" s="65">
        <f t="shared" si="9"/>
        <v>1</v>
      </c>
      <c r="BQ13" s="60">
        <f t="shared" si="10"/>
        <v>246</v>
      </c>
      <c r="BS13" s="5">
        <v>14</v>
      </c>
      <c r="BT13" s="5">
        <f t="shared" si="11"/>
        <v>8</v>
      </c>
      <c r="BU13" s="5">
        <f t="shared" si="12"/>
        <v>6</v>
      </c>
    </row>
    <row r="14" spans="1:73" ht="13.5" customHeight="1">
      <c r="A14" s="5">
        <v>10</v>
      </c>
      <c r="B14" s="5">
        <v>11</v>
      </c>
      <c r="C14" s="41" t="s">
        <v>48</v>
      </c>
      <c r="D14" s="41"/>
      <c r="E14" s="5">
        <f>IF(AND(AD14&gt;0,$A14&lt;VLOOKUP(AD$1,$C:$L,10,FALSE)),1,IF(AND(AD14&lt;0,$A14&gt;VLOOKUP(AD$1,$C:$L,10,FALSE)),1,0))</f>
        <v>0</v>
      </c>
      <c r="F14" s="5">
        <f>IF(AND(AE14&gt;0,$A14&lt;VLOOKUP(AE$1,$C:$L,10,FALSE)),1,IF(AND(AE14&lt;0,$A14&gt;VLOOKUP(AE$1,$C:$L,10,FALSE)),1,0))</f>
        <v>1</v>
      </c>
      <c r="G14" s="5">
        <f>IF(AND(AF14&gt;0,$A14&lt;VLOOKUP(AF$1,$C:$L,10,FALSE)),1,IF(AND(AF14&lt;0,$A14&gt;VLOOKUP(AF$1,$C:$L,10,FALSE)),1,0))</f>
        <v>0</v>
      </c>
      <c r="H14" s="5">
        <f>IF(AND(AH14&gt;0,$A14&lt;VLOOKUP(AH$1,$C:$L,10,FALSE)),1,IF(AND(AH14&lt;0,$A14&gt;VLOOKUP(AH$1,$C:$L,10,FALSE)),1,0))</f>
        <v>1</v>
      </c>
      <c r="I14" s="5">
        <f>IF(AND(AI14&gt;0,$A14&lt;VLOOKUP(AI$1,$C:$L,10,FALSE)),1,IF(AND(AI14&lt;0,$A14&gt;VLOOKUP(AI$1,$C:$L,10,FALSE)),1,0))</f>
        <v>1</v>
      </c>
      <c r="J14" s="5">
        <f>IF(AND(AJ14&gt;0,$A14&lt;VLOOKUP(AJ$1,$C:$L,10,FALSE)),1,IF(AND(AJ14&lt;0,$A14&gt;VLOOKUP(AJ$1,$C:$L,10,FALSE)),1,0))</f>
        <v>1</v>
      </c>
      <c r="K14" s="79" t="s">
        <v>134</v>
      </c>
      <c r="L14" s="5">
        <f t="shared" si="0"/>
        <v>11</v>
      </c>
      <c r="M14" s="2">
        <v>3</v>
      </c>
      <c r="N14" s="11">
        <f t="shared" si="19"/>
        <v>4</v>
      </c>
      <c r="O14" s="2">
        <f t="shared" si="20"/>
        <v>2</v>
      </c>
      <c r="P14" s="2">
        <f t="shared" si="21"/>
        <v>0</v>
      </c>
      <c r="Q14" s="12">
        <f t="shared" si="22"/>
        <v>2</v>
      </c>
      <c r="R14" s="13">
        <f t="shared" si="23"/>
        <v>1</v>
      </c>
      <c r="S14" s="14">
        <f t="shared" si="24"/>
        <v>0</v>
      </c>
      <c r="T14" s="2">
        <f t="shared" si="4"/>
        <v>0</v>
      </c>
      <c r="U14" s="2" t="str">
        <f>IFERROR(IFERROR(VLOOKUP($C14&amp;" "&amp;U$1,Results!$F:$H,3,FALSE),-VLOOKUP($C14&amp;" "&amp;U$1,Results!$G:$H,2,FALSE)),"")</f>
        <v/>
      </c>
      <c r="V14" s="2" t="str">
        <f>IFERROR(IFERROR(VLOOKUP($C14&amp;" "&amp;V$1,Results!$F:$H,3,FALSE),-VLOOKUP($C14&amp;" "&amp;V$1,Results!$G:$H,2,FALSE)),"")</f>
        <v/>
      </c>
      <c r="W14" s="2" t="str">
        <f>IFERROR(IFERROR(VLOOKUP($C14&amp;" "&amp;W$1,Results!$F:$H,3,FALSE),-VLOOKUP($C14&amp;" "&amp;W$1,Results!$G:$H,2,FALSE)),"")</f>
        <v/>
      </c>
      <c r="X14" s="2" t="str">
        <f>IFERROR(IFERROR(VLOOKUP($C14&amp;" "&amp;X$1,Results!$F:$H,3,FALSE),-VLOOKUP($C14&amp;" "&amp;X$1,Results!$G:$H,2,FALSE)),"")</f>
        <v/>
      </c>
      <c r="Y14" s="2" t="str">
        <f>IFERROR(IFERROR(VLOOKUP($C14&amp;" "&amp;Y$1,Results!$F:$H,3,FALSE),-VLOOKUP($C14&amp;" "&amp;Y$1,Results!$G:$H,2,FALSE)),"")</f>
        <v/>
      </c>
      <c r="Z14" s="2" t="str">
        <f>IFERROR(IFERROR(VLOOKUP($C14&amp;" "&amp;Z$1,Results!$F:$H,3,FALSE),-VLOOKUP($C14&amp;" "&amp;Z$1,Results!$G:$H,2,FALSE)),"")</f>
        <v/>
      </c>
      <c r="AA14" s="2" t="str">
        <f>IFERROR(IFERROR(VLOOKUP($C14&amp;" "&amp;AA$1,Results!$F:$H,3,FALSE),-VLOOKUP($C14&amp;" "&amp;AA$1,Results!$G:$H,2,FALSE)),"")</f>
        <v/>
      </c>
      <c r="AB14" s="2" t="str">
        <f>IFERROR(IFERROR(VLOOKUP($C14&amp;" "&amp;AB$1,Results!$F:$H,3,FALSE),-VLOOKUP($C14&amp;" "&amp;AB$1,Results!$G:$H,2,FALSE)),"")</f>
        <v/>
      </c>
      <c r="AC14" s="2" t="str">
        <f>IFERROR(IFERROR(VLOOKUP($C14&amp;" "&amp;AC$1,Results!$F:$H,3,FALSE),-VLOOKUP($C14&amp;" "&amp;AC$1,Results!$G:$H,2,FALSE)),"")</f>
        <v/>
      </c>
      <c r="AD14" s="19" t="str">
        <f>IFERROR(IFERROR(VLOOKUP($C14&amp;" "&amp;AD$1,Results!$F:$H,3,FALSE),-VLOOKUP($C14&amp;" "&amp;AD$1,Results!$G:$H,2,FALSE)),"")</f>
        <v/>
      </c>
      <c r="AE14" s="19">
        <f>IFERROR(IFERROR(VLOOKUP($C14&amp;" "&amp;AE$1,Results!$F:$H,3,FALSE),-VLOOKUP($C14&amp;" "&amp;AE$1,Results!$G:$H,2,FALSE)),"")</f>
        <v>-16</v>
      </c>
      <c r="AF14" s="44">
        <f>IFERROR(IFERROR(VLOOKUP($C14&amp;" "&amp;AF$1,Results!$F:$H,3,FALSE),-VLOOKUP($C14&amp;" "&amp;AF$1,Results!$G:$H,2,FALSE)),"")</f>
        <v>116</v>
      </c>
      <c r="AG14" s="19">
        <f>IFERROR(IFERROR(VLOOKUP($C14&amp;" "&amp;AG$1,Results!$F:$H,3,FALSE),-VLOOKUP($C14&amp;" "&amp;AG$1,Results!$G:$H,2,FALSE)),"")</f>
        <v>-20</v>
      </c>
      <c r="AH14" s="19" t="str">
        <f>IFERROR(IFERROR(VLOOKUP($C14&amp;" "&amp;AH$1,Results!$F:$H,3,FALSE),-VLOOKUP($C14&amp;" "&amp;AH$1,Results!$G:$H,2,FALSE)),"")</f>
        <v/>
      </c>
      <c r="AI14" s="45">
        <f>IFERROR(IFERROR(VLOOKUP($C14&amp;" "&amp;AI$1,Results!$F:$H,3,FALSE),-VLOOKUP($C14&amp;" "&amp;AI$1,Results!$G:$H,2,FALSE)),"")</f>
        <v>62</v>
      </c>
      <c r="AJ14" s="2">
        <f>IFERROR(IFERROR(VLOOKUP($C14&amp;" "&amp;AJ$1,Results!$F:$H,3,FALSE),-VLOOKUP($C14&amp;" "&amp;AJ$1,Results!$G:$H,2,FALSE)),"")</f>
        <v>19</v>
      </c>
      <c r="AK14" s="2">
        <f>IFERROR(IFERROR(VLOOKUP($C14&amp;" "&amp;AK$1,Results!$F:$H,3,FALSE),-VLOOKUP($C14&amp;" "&amp;AK$1,Results!$G:$H,2,FALSE)),"")</f>
        <v>72</v>
      </c>
      <c r="AL14" s="2" t="str">
        <f>IFERROR(IFERROR(VLOOKUP($C14&amp;" "&amp;AL$1,Results!$F:$H,3,FALSE),-VLOOKUP($C14&amp;" "&amp;AL$1,Results!$G:$H,2,FALSE)),"")</f>
        <v/>
      </c>
      <c r="AM14" s="2" t="str">
        <f>IFERROR(IFERROR(VLOOKUP($C14&amp;" "&amp;AM$1,Results!$F:$H,3,FALSE),-VLOOKUP($C14&amp;" "&amp;AM$1,Results!$G:$H,2,FALSE)),"")</f>
        <v/>
      </c>
      <c r="AN14" s="2" t="str">
        <f>IFERROR(IFERROR(VLOOKUP($C14&amp;" "&amp;AN$1,Results!$F:$H,3,FALSE),-VLOOKUP($C14&amp;" "&amp;AN$1,Results!$G:$H,2,FALSE)),"")</f>
        <v/>
      </c>
      <c r="AO14" s="2" t="str">
        <f>IFERROR(IFERROR(VLOOKUP($C14&amp;" "&amp;AO$1,Results!$F:$H,3,FALSE),-VLOOKUP($C14&amp;" "&amp;AO$1,Results!$G:$H,2,FALSE)),"")</f>
        <v/>
      </c>
      <c r="AP14" s="2" t="str">
        <f>IFERROR(IFERROR(VLOOKUP($C14&amp;" "&amp;AP$1,Results!$F:$H,3,FALSE),-VLOOKUP($C14&amp;" "&amp;AP$1,Results!$G:$H,2,FALSE)),"")</f>
        <v/>
      </c>
      <c r="AV14" s="5"/>
      <c r="AW14" s="5"/>
      <c r="AZ14" s="5"/>
      <c r="BA14" s="5"/>
      <c r="BE14" s="5"/>
      <c r="BF14" s="5"/>
      <c r="BH14" s="8"/>
      <c r="BI14" s="8"/>
      <c r="BJ14" s="82">
        <f t="shared" si="5"/>
        <v>233</v>
      </c>
      <c r="BK14" s="5">
        <f t="shared" si="6"/>
        <v>4</v>
      </c>
      <c r="BL14" s="5">
        <f t="shared" si="7"/>
        <v>2</v>
      </c>
      <c r="BM14" s="5">
        <f t="shared" si="8"/>
        <v>6</v>
      </c>
      <c r="BN14" s="65">
        <f t="shared" si="9"/>
        <v>0.66666666666666663</v>
      </c>
      <c r="BQ14" s="60">
        <f t="shared" si="10"/>
        <v>233</v>
      </c>
      <c r="BS14" s="5">
        <v>7</v>
      </c>
      <c r="BT14" s="5">
        <f t="shared" si="11"/>
        <v>10</v>
      </c>
      <c r="BU14" s="5">
        <f t="shared" si="12"/>
        <v>-3</v>
      </c>
    </row>
    <row r="15" spans="1:73" ht="13.5" customHeight="1" thickBot="1">
      <c r="A15" s="5">
        <v>13</v>
      </c>
      <c r="B15" s="5">
        <v>12</v>
      </c>
      <c r="C15" s="41" t="s">
        <v>49</v>
      </c>
      <c r="D15" s="41"/>
      <c r="E15" s="5">
        <f>IF(AND(AG15&gt;0,$A15&lt;VLOOKUP(AG$1,$C:$L,10,FALSE)),1,IF(AND(AG15&lt;0,$A15&gt;VLOOKUP(AG$1,$C:$L,10,FALSE)),1,0))</f>
        <v>1</v>
      </c>
      <c r="F15" s="5">
        <f>IF(AND(AH15&gt;0,$A15&lt;VLOOKUP(AH$1,$C:$L,10,FALSE)),1,IF(AND(AH15&lt;0,$A15&gt;VLOOKUP(AH$1,$C:$L,10,FALSE)),1,0))</f>
        <v>1</v>
      </c>
      <c r="G15" s="5">
        <f>IF(AND(AI15&gt;0,$A15&lt;VLOOKUP(AI$1,$C:$L,10,FALSE)),1,IF(AND(AI15&lt;0,$A15&gt;VLOOKUP(AI$1,$C:$L,10,FALSE)),1,0))</f>
        <v>0</v>
      </c>
      <c r="H15" s="5">
        <f>IF(AND(AK15&gt;0,$A15&lt;VLOOKUP(AK$1,$C:$L,10,FALSE)),1,IF(AND(AK15&lt;0,$A15&gt;VLOOKUP(AK$1,$C:$L,10,FALSE)),1,0))</f>
        <v>1</v>
      </c>
      <c r="I15" s="5">
        <f>IF(AND(AL15&gt;0,$A15&lt;VLOOKUP(AL$1,$C:$L,10,FALSE)),1,IF(AND(AL15&lt;0,$A15&gt;VLOOKUP(AL$1,$C:$L,10,FALSE)),1,0))</f>
        <v>0</v>
      </c>
      <c r="J15" s="5">
        <f>IF(AND(AM15&gt;0,$A15&lt;VLOOKUP(AM$1,$C:$L,10,FALSE)),1,IF(AND(AM15&lt;0,$A15&gt;VLOOKUP(AM$1,$C:$L,10,FALSE)),1,0))</f>
        <v>1</v>
      </c>
      <c r="K15" s="79" t="s">
        <v>134</v>
      </c>
      <c r="L15" s="5">
        <f t="shared" si="0"/>
        <v>12</v>
      </c>
      <c r="M15" s="2">
        <v>3</v>
      </c>
      <c r="N15" s="11">
        <f t="shared" si="19"/>
        <v>2</v>
      </c>
      <c r="O15" s="2">
        <f t="shared" si="20"/>
        <v>4</v>
      </c>
      <c r="P15" s="2">
        <f t="shared" si="21"/>
        <v>0</v>
      </c>
      <c r="Q15" s="12">
        <f t="shared" si="22"/>
        <v>1</v>
      </c>
      <c r="R15" s="13">
        <f t="shared" si="23"/>
        <v>2</v>
      </c>
      <c r="S15" s="14">
        <f t="shared" si="24"/>
        <v>0</v>
      </c>
      <c r="T15" s="2">
        <f t="shared" si="4"/>
        <v>0</v>
      </c>
      <c r="U15" s="2" t="str">
        <f>IFERROR(IFERROR(VLOOKUP($C15&amp;" "&amp;U$1,Results!$F:$H,3,FALSE),-VLOOKUP($C15&amp;" "&amp;U$1,Results!$G:$H,2,FALSE)),"")</f>
        <v/>
      </c>
      <c r="V15" s="2" t="str">
        <f>IFERROR(IFERROR(VLOOKUP($C15&amp;" "&amp;V$1,Results!$F:$H,3,FALSE),-VLOOKUP($C15&amp;" "&amp;V$1,Results!$G:$H,2,FALSE)),"")</f>
        <v/>
      </c>
      <c r="W15" s="2" t="str">
        <f>IFERROR(IFERROR(VLOOKUP($C15&amp;" "&amp;W$1,Results!$F:$H,3,FALSE),-VLOOKUP($C15&amp;" "&amp;W$1,Results!$G:$H,2,FALSE)),"")</f>
        <v/>
      </c>
      <c r="X15" s="2" t="str">
        <f>IFERROR(IFERROR(VLOOKUP($C15&amp;" "&amp;X$1,Results!$F:$H,3,FALSE),-VLOOKUP($C15&amp;" "&amp;X$1,Results!$G:$H,2,FALSE)),"")</f>
        <v/>
      </c>
      <c r="Y15" s="2" t="str">
        <f>IFERROR(IFERROR(VLOOKUP($C15&amp;" "&amp;Y$1,Results!$F:$H,3,FALSE),-VLOOKUP($C15&amp;" "&amp;Y$1,Results!$G:$H,2,FALSE)),"")</f>
        <v/>
      </c>
      <c r="Z15" s="2" t="str">
        <f>IFERROR(IFERROR(VLOOKUP($C15&amp;" "&amp;Z$1,Results!$F:$H,3,FALSE),-VLOOKUP($C15&amp;" "&amp;Z$1,Results!$G:$H,2,FALSE)),"")</f>
        <v/>
      </c>
      <c r="AA15" s="2" t="str">
        <f>IFERROR(IFERROR(VLOOKUP($C15&amp;" "&amp;AA$1,Results!$F:$H,3,FALSE),-VLOOKUP($C15&amp;" "&amp;AA$1,Results!$G:$H,2,FALSE)),"")</f>
        <v/>
      </c>
      <c r="AB15" s="2" t="str">
        <f>IFERROR(IFERROR(VLOOKUP($C15&amp;" "&amp;AB$1,Results!$F:$H,3,FALSE),-VLOOKUP($C15&amp;" "&amp;AB$1,Results!$G:$H,2,FALSE)),"")</f>
        <v/>
      </c>
      <c r="AC15" s="2" t="str">
        <f>IFERROR(IFERROR(VLOOKUP($C15&amp;" "&amp;AC$1,Results!$F:$H,3,FALSE),-VLOOKUP($C15&amp;" "&amp;AC$1,Results!$G:$H,2,FALSE)),"")</f>
        <v/>
      </c>
      <c r="AD15" s="2" t="str">
        <f>IFERROR(IFERROR(VLOOKUP($C15&amp;" "&amp;AD$1,Results!$F:$H,3,FALSE),-VLOOKUP($C15&amp;" "&amp;AD$1,Results!$G:$H,2,FALSE)),"")</f>
        <v/>
      </c>
      <c r="AE15" s="2" t="str">
        <f>IFERROR(IFERROR(VLOOKUP($C15&amp;" "&amp;AE$1,Results!$F:$H,3,FALSE),-VLOOKUP($C15&amp;" "&amp;AE$1,Results!$G:$H,2,FALSE)),"")</f>
        <v/>
      </c>
      <c r="AF15" s="52">
        <f>IFERROR(IFERROR(VLOOKUP($C15&amp;" "&amp;AF$1,Results!$F:$H,3,FALSE),-VLOOKUP($C15&amp;" "&amp;AF$1,Results!$G:$H,2,FALSE)),"")</f>
        <v>19</v>
      </c>
      <c r="AG15" s="57">
        <f>IFERROR(IFERROR(VLOOKUP($C15&amp;" "&amp;AG$1,Results!$F:$H,3,FALSE),-VLOOKUP($C15&amp;" "&amp;AG$1,Results!$G:$H,2,FALSE)),"")</f>
        <v>-126</v>
      </c>
      <c r="AH15" s="57">
        <f>IFERROR(IFERROR(VLOOKUP($C15&amp;" "&amp;AH$1,Results!$F:$H,3,FALSE),-VLOOKUP($C15&amp;" "&amp;AH$1,Results!$G:$H,2,FALSE)),"")</f>
        <v>-62</v>
      </c>
      <c r="AI15" s="58" t="str">
        <f>IFERROR(IFERROR(VLOOKUP($C15&amp;" "&amp;AI$1,Results!$F:$H,3,FALSE),-VLOOKUP($C15&amp;" "&amp;AI$1,Results!$G:$H,2,FALSE)),"")</f>
        <v/>
      </c>
      <c r="AJ15" s="19">
        <f>IFERROR(IFERROR(VLOOKUP($C15&amp;" "&amp;AJ$1,Results!$F:$H,3,FALSE),-VLOOKUP($C15&amp;" "&amp;AJ$1,Results!$G:$H,2,FALSE)),"")</f>
        <v>-1</v>
      </c>
      <c r="AK15" s="19">
        <f>IFERROR(IFERROR(VLOOKUP($C15&amp;" "&amp;AK$1,Results!$F:$H,3,FALSE),-VLOOKUP($C15&amp;" "&amp;AK$1,Results!$G:$H,2,FALSE)),"")</f>
        <v>238</v>
      </c>
      <c r="AL15" s="19">
        <f>IFERROR(IFERROR(VLOOKUP($C15&amp;" "&amp;AL$1,Results!$F:$H,3,FALSE),-VLOOKUP($C15&amp;" "&amp;AL$1,Results!$G:$H,2,FALSE)),"")</f>
        <v>-113</v>
      </c>
      <c r="AM15" s="19" t="str">
        <f>IFERROR(IFERROR(VLOOKUP($C15&amp;" "&amp;AM$1,Results!$F:$H,3,FALSE),-VLOOKUP($C15&amp;" "&amp;AM$1,Results!$G:$H,2,FALSE)),"")</f>
        <v/>
      </c>
      <c r="AN15" s="2" t="str">
        <f>IFERROR(IFERROR(VLOOKUP($C15&amp;" "&amp;AN$1,Results!$F:$H,3,FALSE),-VLOOKUP($C15&amp;" "&amp;AN$1,Results!$G:$H,2,FALSE)),"")</f>
        <v/>
      </c>
      <c r="AO15" s="2" t="str">
        <f>IFERROR(IFERROR(VLOOKUP($C15&amp;" "&amp;AO$1,Results!$F:$H,3,FALSE),-VLOOKUP($C15&amp;" "&amp;AO$1,Results!$G:$H,2,FALSE)),"")</f>
        <v/>
      </c>
      <c r="AP15" s="2" t="str">
        <f>IFERROR(IFERROR(VLOOKUP($C15&amp;" "&amp;AP$1,Results!$F:$H,3,FALSE),-VLOOKUP($C15&amp;" "&amp;AP$1,Results!$G:$H,2,FALSE)),"")</f>
        <v/>
      </c>
      <c r="BE15" s="2"/>
      <c r="BH15" s="15"/>
      <c r="BI15" s="15"/>
      <c r="BJ15" s="82">
        <f t="shared" si="5"/>
        <v>-45</v>
      </c>
      <c r="BK15" s="5">
        <f t="shared" si="6"/>
        <v>4</v>
      </c>
      <c r="BL15" s="5">
        <f t="shared" si="7"/>
        <v>2</v>
      </c>
      <c r="BM15" s="5">
        <f t="shared" si="8"/>
        <v>6</v>
      </c>
      <c r="BN15" s="65">
        <f t="shared" si="9"/>
        <v>0.66666666666666663</v>
      </c>
      <c r="BQ15" s="60">
        <f t="shared" si="10"/>
        <v>-45</v>
      </c>
      <c r="BS15" s="5">
        <v>19</v>
      </c>
      <c r="BT15" s="5">
        <f t="shared" si="11"/>
        <v>13</v>
      </c>
      <c r="BU15" s="5">
        <f t="shared" si="12"/>
        <v>6</v>
      </c>
    </row>
    <row r="16" spans="1:73" ht="13.5" customHeight="1">
      <c r="A16" s="5">
        <v>11</v>
      </c>
      <c r="B16" s="5">
        <v>13</v>
      </c>
      <c r="C16" s="156" t="s">
        <v>5</v>
      </c>
      <c r="D16" s="41"/>
      <c r="E16" s="5">
        <f>IF(AND(AK16&gt;0,$A16&lt;VLOOKUP(AK$1,$C:$L,10,FALSE)),1,IF(AND(AK16&lt;0,$A16&gt;VLOOKUP(AK$1,$C:$L,10,FALSE)),1,0))</f>
        <v>1</v>
      </c>
      <c r="F16" s="5">
        <f>IF(AND(AL16&gt;0,$A16&lt;VLOOKUP(AL$1,$C:$L,10,FALSE)),1,IF(AND(AL16&lt;0,$A16&gt;VLOOKUP(AL$1,$C:$L,10,FALSE)),1,0))</f>
        <v>1</v>
      </c>
      <c r="G16" s="5">
        <f>IF(AND(AM16&gt;0,$A16&lt;VLOOKUP(AM$1,$C:$L,10,FALSE)),1,IF(AND(AM16&lt;0,$A16&gt;VLOOKUP(AM$1,$C:$L,10,FALSE)),1,0))</f>
        <v>1</v>
      </c>
      <c r="H16" s="5">
        <f>IF(AND(AO16&gt;0,$A16&lt;VLOOKUP(AO$1,$C:$L,10,FALSE)),1,IF(AND(AO16&lt;0,$A16&gt;VLOOKUP(AO$1,$C:$L,10,FALSE)),1,0))</f>
        <v>1</v>
      </c>
      <c r="I16" s="5">
        <f>IF(AND(AP16&gt;0,$A16&lt;VLOOKUP(AP$1,$C:$L,10,FALSE)),1,IF(AND(AP16&lt;0,$A16&gt;VLOOKUP(AP$1,$C:$L,10,FALSE)),1,0))</f>
        <v>1</v>
      </c>
      <c r="J16" s="5">
        <f>IF(AND(AQ16&gt;0,$A16&lt;VLOOKUP(AQ$1,$C:$L,10,FALSE)),1,IF(AND(AQ16&lt;0,$A16&gt;VLOOKUP(AQ$1,$C:$L,10,FALSE)),1,0))</f>
        <v>1</v>
      </c>
      <c r="K16" s="79" t="s">
        <v>134</v>
      </c>
      <c r="L16" s="5">
        <f t="shared" si="0"/>
        <v>13</v>
      </c>
      <c r="M16" s="2">
        <v>4</v>
      </c>
      <c r="N16" s="11">
        <f t="shared" si="19"/>
        <v>4</v>
      </c>
      <c r="O16" s="2">
        <f t="shared" si="20"/>
        <v>2</v>
      </c>
      <c r="P16" s="2">
        <f t="shared" si="21"/>
        <v>0</v>
      </c>
      <c r="Q16" s="12">
        <f>COUNTIF($AJ16:$AM16,"&gt;0")</f>
        <v>3</v>
      </c>
      <c r="R16" s="13">
        <f>COUNTIF($AJ16:$AM16,"&lt;0")</f>
        <v>0</v>
      </c>
      <c r="S16" s="14">
        <f>COUNTIF($AJ16:$AM16,"=0")</f>
        <v>0</v>
      </c>
      <c r="T16" s="2">
        <f t="shared" si="4"/>
        <v>0</v>
      </c>
      <c r="U16" s="2" t="str">
        <f>IFERROR(IFERROR(VLOOKUP($C16&amp;" "&amp;U$1,Results!$F:$H,3,FALSE),-VLOOKUP($C16&amp;" "&amp;U$1,Results!$G:$H,2,FALSE)),"")</f>
        <v/>
      </c>
      <c r="V16" s="2" t="str">
        <f>IFERROR(IFERROR(VLOOKUP($C16&amp;" "&amp;V$1,Results!$F:$H,3,FALSE),-VLOOKUP($C16&amp;" "&amp;V$1,Results!$G:$H,2,FALSE)),"")</f>
        <v/>
      </c>
      <c r="W16" s="2" t="str">
        <f>IFERROR(IFERROR(VLOOKUP($C16&amp;" "&amp;W$1,Results!$F:$H,3,FALSE),-VLOOKUP($C16&amp;" "&amp;W$1,Results!$G:$H,2,FALSE)),"")</f>
        <v/>
      </c>
      <c r="X16" s="2" t="str">
        <f>IFERROR(IFERROR(VLOOKUP($C16&amp;" "&amp;X$1,Results!$F:$H,3,FALSE),-VLOOKUP($C16&amp;" "&amp;X$1,Results!$G:$H,2,FALSE)),"")</f>
        <v/>
      </c>
      <c r="Y16" s="2" t="str">
        <f>IFERROR(IFERROR(VLOOKUP($C16&amp;" "&amp;Y$1,Results!$F:$H,3,FALSE),-VLOOKUP($C16&amp;" "&amp;Y$1,Results!$G:$H,2,FALSE)),"")</f>
        <v/>
      </c>
      <c r="Z16" s="2" t="str">
        <f>IFERROR(IFERROR(VLOOKUP($C16&amp;" "&amp;Z$1,Results!$F:$H,3,FALSE),-VLOOKUP($C16&amp;" "&amp;Z$1,Results!$G:$H,2,FALSE)),"")</f>
        <v/>
      </c>
      <c r="AA16" s="2" t="str">
        <f>IFERROR(IFERROR(VLOOKUP($C16&amp;" "&amp;AA$1,Results!$F:$H,3,FALSE),-VLOOKUP($C16&amp;" "&amp;AA$1,Results!$G:$H,2,FALSE)),"")</f>
        <v/>
      </c>
      <c r="AB16" s="2" t="str">
        <f>IFERROR(IFERROR(VLOOKUP($C16&amp;" "&amp;AB$1,Results!$F:$H,3,FALSE),-VLOOKUP($C16&amp;" "&amp;AB$1,Results!$G:$H,2,FALSE)),"")</f>
        <v/>
      </c>
      <c r="AC16" s="2" t="str">
        <f>IFERROR(IFERROR(VLOOKUP($C16&amp;" "&amp;AC$1,Results!$F:$H,3,FALSE),-VLOOKUP($C16&amp;" "&amp;AC$1,Results!$G:$H,2,FALSE)),"")</f>
        <v/>
      </c>
      <c r="AD16" s="2" t="str">
        <f>IFERROR(IFERROR(VLOOKUP($C16&amp;" "&amp;AD$1,Results!$F:$H,3,FALSE),-VLOOKUP($C16&amp;" "&amp;AD$1,Results!$G:$H,2,FALSE)),"")</f>
        <v/>
      </c>
      <c r="AE16" s="2" t="str">
        <f>IFERROR(IFERROR(VLOOKUP($C16&amp;" "&amp;AE$1,Results!$F:$H,3,FALSE),-VLOOKUP($C16&amp;" "&amp;AE$1,Results!$G:$H,2,FALSE)),"")</f>
        <v/>
      </c>
      <c r="AF16" s="2" t="str">
        <f>IFERROR(IFERROR(VLOOKUP($C16&amp;" "&amp;AF$1,Results!$F:$H,3,FALSE),-VLOOKUP($C16&amp;" "&amp;AF$1,Results!$G:$H,2,FALSE)),"")</f>
        <v/>
      </c>
      <c r="AG16" s="2">
        <f>IFERROR(IFERROR(VLOOKUP($C16&amp;" "&amp;AG$1,Results!$F:$H,3,FALSE),-VLOOKUP($C16&amp;" "&amp;AG$1,Results!$G:$H,2,FALSE)),"")</f>
        <v>-71</v>
      </c>
      <c r="AH16" s="2">
        <f>IFERROR(IFERROR(VLOOKUP($C16&amp;" "&amp;AH$1,Results!$F:$H,3,FALSE),-VLOOKUP($C16&amp;" "&amp;AH$1,Results!$G:$H,2,FALSE)),"")</f>
        <v>-19</v>
      </c>
      <c r="AI16" s="2">
        <f>IFERROR(IFERROR(VLOOKUP($C16&amp;" "&amp;AI$1,Results!$F:$H,3,FALSE),-VLOOKUP($C16&amp;" "&amp;AI$1,Results!$G:$H,2,FALSE)),"")</f>
        <v>1</v>
      </c>
      <c r="AJ16" s="35" t="str">
        <f>IFERROR(IFERROR(VLOOKUP($C16&amp;" "&amp;AJ$1,Results!$F:$H,3,FALSE),-VLOOKUP($C16&amp;" "&amp;AJ$1,Results!$G:$H,2,FALSE)),"")</f>
        <v/>
      </c>
      <c r="AK16" s="49">
        <f>IFERROR(IFERROR(VLOOKUP($C16&amp;" "&amp;AK$1,Results!$F:$H,3,FALSE),-VLOOKUP($C16&amp;" "&amp;AK$1,Results!$G:$H,2,FALSE)),"")</f>
        <v>95</v>
      </c>
      <c r="AL16" s="49">
        <f>IFERROR(IFERROR(VLOOKUP($C16&amp;" "&amp;AL$1,Results!$F:$H,3,FALSE),-VLOOKUP($C16&amp;" "&amp;AL$1,Results!$G:$H,2,FALSE)),"")</f>
        <v>23</v>
      </c>
      <c r="AM16" s="55">
        <f>IFERROR(IFERROR(VLOOKUP($C16&amp;" "&amp;AM$1,Results!$F:$H,3,FALSE),-VLOOKUP($C16&amp;" "&amp;AM$1,Results!$G:$H,2,FALSE)),"")</f>
        <v>96</v>
      </c>
      <c r="AN16" s="19" t="str">
        <f>IFERROR(IFERROR(VLOOKUP($C16&amp;" "&amp;AN$1,Results!$F:$H,3,FALSE),-VLOOKUP($C16&amp;" "&amp;AN$1,Results!$G:$H,2,FALSE)),"")</f>
        <v/>
      </c>
      <c r="AO16" s="19" t="str">
        <f>IFERROR(IFERROR(VLOOKUP($C16&amp;" "&amp;AO$1,Results!$F:$H,3,FALSE),-VLOOKUP($C16&amp;" "&amp;AO$1,Results!$G:$H,2,FALSE)),"")</f>
        <v/>
      </c>
      <c r="AP16" s="19" t="str">
        <f>IFERROR(IFERROR(VLOOKUP($C16&amp;" "&amp;AP$1,Results!$F:$H,3,FALSE),-VLOOKUP($C16&amp;" "&amp;AP$1,Results!$G:$H,2,FALSE)),"")</f>
        <v/>
      </c>
      <c r="AQ16" s="19" t="str">
        <f>IFERROR(IFERROR(VLOOKUP($C16&amp;" "&amp;AQ$1,Results!$F:$H,3,FALSE),-VLOOKUP($C16&amp;" "&amp;AQ$1,Results!$G:$H,2,FALSE)),"")</f>
        <v/>
      </c>
      <c r="AR16" s="2" t="str">
        <f>IFERROR(IFERROR(VLOOKUP($C16&amp;" "&amp;AR$1,Results!$F:$H,3,FALSE),-VLOOKUP($C16&amp;" "&amp;AR$1,Results!$G:$H,2,FALSE)),"")</f>
        <v/>
      </c>
      <c r="AS16" s="2" t="str">
        <f>IFERROR(IFERROR(VLOOKUP($C16&amp;" "&amp;AS$1,Results!$F:$H,3,FALSE),-VLOOKUP($C16&amp;" "&amp;AS$1,Results!$G:$H,2,FALSE)),"")</f>
        <v/>
      </c>
      <c r="AT16" s="2" t="str">
        <f>IFERROR(IFERROR(VLOOKUP($C16&amp;" "&amp;AT$1,Results!$F:$H,3,FALSE),-VLOOKUP($C16&amp;" "&amp;AT$1,Results!$G:$H,2,FALSE)),"")</f>
        <v/>
      </c>
      <c r="AU16" s="2" t="str">
        <f>IFERROR(IFERROR(VLOOKUP($C16&amp;" "&amp;AU$1,Results!$F:$H,3,FALSE),-VLOOKUP($C16&amp;" "&amp;AU$1,Results!$G:$H,2,FALSE)),"")</f>
        <v/>
      </c>
      <c r="AV16" s="2" t="str">
        <f>IFERROR(IFERROR(VLOOKUP($C16&amp;" "&amp;AV$1,Results!$F:$H,3,FALSE),-VLOOKUP($C16&amp;" "&amp;AV$1,Results!$G:$H,2,FALSE)),"")</f>
        <v/>
      </c>
      <c r="AW16" s="2" t="str">
        <f>IFERROR(IFERROR(VLOOKUP($C16&amp;" "&amp;AW$1,Results!$F:$H,3,FALSE),-VLOOKUP($C16&amp;" "&amp;AW$1,Results!$G:$H,2,FALSE)),"")</f>
        <v/>
      </c>
      <c r="AX16" s="2" t="str">
        <f>IFERROR(IFERROR(VLOOKUP($C16&amp;" "&amp;AX$1,Results!$F:$H,3,FALSE),-VLOOKUP($C16&amp;" "&amp;AX$1,Results!$G:$H,2,FALSE)),"")</f>
        <v/>
      </c>
      <c r="AY16" s="2" t="str">
        <f>IFERROR(IFERROR(VLOOKUP($C16&amp;" "&amp;AY$1,Results!$F:$H,3,FALSE),-VLOOKUP($C16&amp;" "&amp;AY$1,Results!$G:$H,2,FALSE)),"")</f>
        <v/>
      </c>
      <c r="BE16" s="2"/>
      <c r="BH16" s="15"/>
      <c r="BI16" s="15"/>
      <c r="BJ16" s="82">
        <f t="shared" si="5"/>
        <v>125</v>
      </c>
      <c r="BK16" s="5">
        <f t="shared" si="6"/>
        <v>6</v>
      </c>
      <c r="BL16" s="5">
        <f t="shared" si="7"/>
        <v>0</v>
      </c>
      <c r="BM16" s="5">
        <f t="shared" si="8"/>
        <v>6</v>
      </c>
      <c r="BN16" s="65">
        <f t="shared" si="9"/>
        <v>1</v>
      </c>
      <c r="BQ16" s="60">
        <f t="shared" si="10"/>
        <v>125</v>
      </c>
      <c r="BS16" s="5">
        <v>22</v>
      </c>
      <c r="BT16" s="5">
        <f t="shared" si="11"/>
        <v>11</v>
      </c>
      <c r="BU16" s="5">
        <f t="shared" si="12"/>
        <v>11</v>
      </c>
    </row>
    <row r="17" spans="1:73" ht="13.5" customHeight="1">
      <c r="A17" s="5">
        <v>17</v>
      </c>
      <c r="B17" s="5">
        <v>14</v>
      </c>
      <c r="C17" s="41" t="s">
        <v>156</v>
      </c>
      <c r="D17" s="10"/>
      <c r="E17" s="5">
        <f>IF(AND(AF17&gt;0,$A17&lt;VLOOKUP(AF$1,$C:$L,10,FALSE)),1,IF(AND(AF17&lt;0,$A17&gt;VLOOKUP(AF$1,$C:$L,10,FALSE)),1,0))</f>
        <v>0</v>
      </c>
      <c r="F17" s="5">
        <f>IF(AND(AG17&gt;0,$A17&lt;VLOOKUP(AG$1,$C:$L,10,FALSE)),1,IF(AND(AG17&lt;0,$A17&gt;VLOOKUP(AG$1,$C:$L,10,FALSE)),1,0))</f>
        <v>0</v>
      </c>
      <c r="G17" s="5">
        <f>IF(AND(AH17&gt;0,$A17&lt;VLOOKUP(AH$1,$C:$L,10,FALSE)),1,IF(AND(AH17&lt;0,$A17&gt;VLOOKUP(AH$1,$C:$L,10,FALSE)),1,0))</f>
        <v>1</v>
      </c>
      <c r="H17" s="5">
        <f>IF(AND(AJ17&gt;0,$A17&lt;VLOOKUP(AJ$1,$C:$L,10,FALSE)),1,IF(AND(AJ17&lt;0,$A17&gt;VLOOKUP(AJ$1,$C:$L,10,FALSE)),1,0))</f>
        <v>1</v>
      </c>
      <c r="I17" s="5">
        <f>IF(AND(AK17&gt;0,$A17&lt;VLOOKUP(AK$1,$C:$L,10,FALSE)),1,IF(AND(AK17&lt;0,$A17&gt;VLOOKUP(AK$1,$C:$L,10,FALSE)),1,0))</f>
        <v>0</v>
      </c>
      <c r="J17" s="5">
        <f>IF(AND(AL17&gt;0,$A17&lt;VLOOKUP(AL$1,$C:$L,10,FALSE)),1,IF(AND(AL17&lt;0,$A17&gt;VLOOKUP(AL$1,$C:$L,10,FALSE)),1,0))</f>
        <v>1</v>
      </c>
      <c r="K17" s="79" t="s">
        <v>134</v>
      </c>
      <c r="L17" s="5">
        <f t="shared" si="0"/>
        <v>14</v>
      </c>
      <c r="M17" s="2">
        <v>4</v>
      </c>
      <c r="N17" s="11">
        <f t="shared" si="19"/>
        <v>1</v>
      </c>
      <c r="O17" s="2">
        <f t="shared" si="20"/>
        <v>5</v>
      </c>
      <c r="P17" s="2">
        <f t="shared" si="21"/>
        <v>0</v>
      </c>
      <c r="Q17" s="12">
        <f t="shared" ref="Q17:Q19" si="25">COUNTIF($AJ17:$AM17,"&gt;0")</f>
        <v>1</v>
      </c>
      <c r="R17" s="13">
        <f t="shared" ref="R17:R19" si="26">COUNTIF($AJ17:$AM17,"&lt;0")</f>
        <v>2</v>
      </c>
      <c r="S17" s="14">
        <f t="shared" ref="S17:S19" si="27">COUNTIF($AJ17:$AM17,"=0")</f>
        <v>0</v>
      </c>
      <c r="T17" s="2">
        <f t="shared" si="4"/>
        <v>0</v>
      </c>
      <c r="U17" s="2" t="str">
        <f>IFERROR(IFERROR(VLOOKUP($C17&amp;" "&amp;U$1,Results!$F:$H,3,FALSE),-VLOOKUP($C17&amp;" "&amp;U$1,Results!$G:$H,2,FALSE)),"")</f>
        <v/>
      </c>
      <c r="V17" s="2" t="str">
        <f>IFERROR(IFERROR(VLOOKUP($C17&amp;" "&amp;V$1,Results!$F:$H,3,FALSE),-VLOOKUP($C17&amp;" "&amp;V$1,Results!$G:$H,2,FALSE)),"")</f>
        <v/>
      </c>
      <c r="W17" s="2" t="str">
        <f>IFERROR(IFERROR(VLOOKUP($C17&amp;" "&amp;W$1,Results!$F:$H,3,FALSE),-VLOOKUP($C17&amp;" "&amp;W$1,Results!$G:$H,2,FALSE)),"")</f>
        <v/>
      </c>
      <c r="X17" s="2" t="str">
        <f>IFERROR(IFERROR(VLOOKUP($C17&amp;" "&amp;X$1,Results!$F:$H,3,FALSE),-VLOOKUP($C17&amp;" "&amp;X$1,Results!$G:$H,2,FALSE)),"")</f>
        <v/>
      </c>
      <c r="Y17" s="2" t="str">
        <f>IFERROR(IFERROR(VLOOKUP($C17&amp;" "&amp;Y$1,Results!$F:$H,3,FALSE),-VLOOKUP($C17&amp;" "&amp;Y$1,Results!$G:$H,2,FALSE)),"")</f>
        <v/>
      </c>
      <c r="Z17" s="2" t="str">
        <f>IFERROR(IFERROR(VLOOKUP($C17&amp;" "&amp;Z$1,Results!$F:$H,3,FALSE),-VLOOKUP($C17&amp;" "&amp;Z$1,Results!$G:$H,2,FALSE)),"")</f>
        <v/>
      </c>
      <c r="AA17" s="2" t="str">
        <f>IFERROR(IFERROR(VLOOKUP($C17&amp;" "&amp;AA$1,Results!$F:$H,3,FALSE),-VLOOKUP($C17&amp;" "&amp;AA$1,Results!$G:$H,2,FALSE)),"")</f>
        <v/>
      </c>
      <c r="AB17" s="2" t="str">
        <f>IFERROR(IFERROR(VLOOKUP($C17&amp;" "&amp;AB$1,Results!$F:$H,3,FALSE),-VLOOKUP($C17&amp;" "&amp;AB$1,Results!$G:$H,2,FALSE)),"")</f>
        <v/>
      </c>
      <c r="AC17" s="2" t="str">
        <f>IFERROR(IFERROR(VLOOKUP($C17&amp;" "&amp;AC$1,Results!$F:$H,3,FALSE),-VLOOKUP($C17&amp;" "&amp;AC$1,Results!$G:$H,2,FALSE)),"")</f>
        <v/>
      </c>
      <c r="AD17" s="2" t="str">
        <f>IFERROR(IFERROR(VLOOKUP($C17&amp;" "&amp;AD$1,Results!$F:$H,3,FALSE),-VLOOKUP($C17&amp;" "&amp;AD$1,Results!$G:$H,2,FALSE)),"")</f>
        <v/>
      </c>
      <c r="AE17" s="2" t="str">
        <f>IFERROR(IFERROR(VLOOKUP($C17&amp;" "&amp;AE$1,Results!$F:$H,3,FALSE),-VLOOKUP($C17&amp;" "&amp;AE$1,Results!$G:$H,2,FALSE)),"")</f>
        <v/>
      </c>
      <c r="AF17" s="19" t="str">
        <f>IFERROR(IFERROR(VLOOKUP($C17&amp;" "&amp;AF$1,Results!$F:$H,3,FALSE),-VLOOKUP($C17&amp;" "&amp;AF$1,Results!$G:$H,2,FALSE)),"")</f>
        <v/>
      </c>
      <c r="AG17" s="19" t="str">
        <f>IFERROR(IFERROR(VLOOKUP($C17&amp;" "&amp;AG$1,Results!$F:$H,3,FALSE),-VLOOKUP($C17&amp;" "&amp;AG$1,Results!$G:$H,2,FALSE)),"")</f>
        <v/>
      </c>
      <c r="AH17" s="19">
        <f>IFERROR(IFERROR(VLOOKUP($C17&amp;" "&amp;AH$1,Results!$F:$H,3,FALSE),-VLOOKUP($C17&amp;" "&amp;AH$1,Results!$G:$H,2,FALSE)),"")</f>
        <v>-72</v>
      </c>
      <c r="AI17" s="19">
        <f>IFERROR(IFERROR(VLOOKUP($C17&amp;" "&amp;AI$1,Results!$F:$H,3,FALSE),-VLOOKUP($C17&amp;" "&amp;AI$1,Results!$G:$H,2,FALSE)),"")</f>
        <v>-238</v>
      </c>
      <c r="AJ17" s="51">
        <f>IFERROR(IFERROR(VLOOKUP($C17&amp;" "&amp;AJ$1,Results!$F:$H,3,FALSE),-VLOOKUP($C17&amp;" "&amp;AJ$1,Results!$G:$H,2,FALSE)),"")</f>
        <v>-95</v>
      </c>
      <c r="AK17" s="2" t="str">
        <f>IFERROR(IFERROR(VLOOKUP($C17&amp;" "&amp;AK$1,Results!$F:$H,3,FALSE),-VLOOKUP($C17&amp;" "&amp;AK$1,Results!$G:$H,2,FALSE)),"")</f>
        <v/>
      </c>
      <c r="AL17" s="2">
        <f>IFERROR(IFERROR(VLOOKUP($C17&amp;" "&amp;AL$1,Results!$F:$H,3,FALSE),-VLOOKUP($C17&amp;" "&amp;AL$1,Results!$G:$H,2,FALSE)),"")</f>
        <v>-71</v>
      </c>
      <c r="AM17" s="56">
        <f>IFERROR(IFERROR(VLOOKUP($C17&amp;" "&amp;AM$1,Results!$F:$H,3,FALSE),-VLOOKUP($C17&amp;" "&amp;AM$1,Results!$G:$H,2,FALSE)),"")</f>
        <v>66</v>
      </c>
      <c r="AN17" s="2">
        <f>IFERROR(IFERROR(VLOOKUP($C17&amp;" "&amp;AN$1,Results!$F:$H,3,FALSE),-VLOOKUP($C17&amp;" "&amp;AN$1,Results!$G:$H,2,FALSE)),"")</f>
        <v>-34</v>
      </c>
      <c r="AO17" s="2" t="str">
        <f>IFERROR(IFERROR(VLOOKUP($C17&amp;" "&amp;AO$1,Results!$F:$H,3,FALSE),-VLOOKUP($C17&amp;" "&amp;AO$1,Results!$G:$H,2,FALSE)),"")</f>
        <v/>
      </c>
      <c r="AP17" s="2" t="str">
        <f>IFERROR(IFERROR(VLOOKUP($C17&amp;" "&amp;AP$1,Results!$F:$H,3,FALSE),-VLOOKUP($C17&amp;" "&amp;AP$1,Results!$G:$H,2,FALSE)),"")</f>
        <v/>
      </c>
      <c r="AV17" s="5"/>
      <c r="AW17" s="5"/>
      <c r="AZ17" s="5"/>
      <c r="BA17" s="5"/>
      <c r="BE17" s="5"/>
      <c r="BF17" s="5"/>
      <c r="BH17" s="8"/>
      <c r="BI17" s="8"/>
      <c r="BJ17" s="82">
        <f t="shared" si="5"/>
        <v>-444</v>
      </c>
      <c r="BK17" s="5">
        <f t="shared" si="6"/>
        <v>3</v>
      </c>
      <c r="BL17" s="5">
        <f t="shared" si="7"/>
        <v>3</v>
      </c>
      <c r="BM17" s="5">
        <f t="shared" si="8"/>
        <v>6</v>
      </c>
      <c r="BN17" s="65">
        <f t="shared" si="9"/>
        <v>0.5</v>
      </c>
      <c r="BQ17" s="60">
        <f t="shared" si="10"/>
        <v>-444</v>
      </c>
      <c r="BS17" s="5">
        <v>10</v>
      </c>
      <c r="BT17" s="5">
        <f t="shared" si="11"/>
        <v>17</v>
      </c>
      <c r="BU17" s="5">
        <f t="shared" si="12"/>
        <v>-7</v>
      </c>
    </row>
    <row r="18" spans="1:73" ht="12.75" customHeight="1">
      <c r="A18" s="5">
        <v>12</v>
      </c>
      <c r="B18" s="5">
        <v>15</v>
      </c>
      <c r="C18" s="10" t="s">
        <v>50</v>
      </c>
      <c r="D18" s="41"/>
      <c r="E18" s="5">
        <f>IF(AND(AE18&gt;0,$A18&lt;VLOOKUP(AE$1,$C:$L,10,FALSE)),1,IF(AND(AE18&lt;0,$A18&gt;VLOOKUP(AE$1,$C:$L,10,FALSE)),1,0))</f>
        <v>0</v>
      </c>
      <c r="F18" s="5">
        <f>IF(AND(AF18&gt;0,$A18&lt;VLOOKUP(AF$1,$C:$L,10,FALSE)),1,IF(AND(AF18&lt;0,$A18&gt;VLOOKUP(AF$1,$C:$L,10,FALSE)),1,0))</f>
        <v>0</v>
      </c>
      <c r="G18" s="5">
        <f>IF(AND(AG18&gt;0,$A18&lt;VLOOKUP(AG$1,$C:$L,10,FALSE)),1,IF(AND(AG18&lt;0,$A18&gt;VLOOKUP(AG$1,$C:$L,10,FALSE)),1,0))</f>
        <v>0</v>
      </c>
      <c r="H18" s="5">
        <f>IF(AND(AI18&gt;0,$A18&lt;VLOOKUP(AI$1,$C:$L,10,FALSE)),1,IF(AND(AI18&lt;0,$A18&gt;VLOOKUP(AI$1,$C:$L,10,FALSE)),1,0))</f>
        <v>0</v>
      </c>
      <c r="I18" s="5">
        <f>IF(AND(AJ18&gt;0,$A18&lt;VLOOKUP(AJ$1,$C:$L,10,FALSE)),1,IF(AND(AJ18&lt;0,$A18&gt;VLOOKUP(AJ$1,$C:$L,10,FALSE)),1,0))</f>
        <v>0</v>
      </c>
      <c r="J18" s="5">
        <f>IF(AND(AK18&gt;0,$A18&lt;VLOOKUP(AK$1,$C:$L,10,FALSE)),1,IF(AND(AK18&lt;0,$A18&gt;VLOOKUP(AK$1,$C:$L,10,FALSE)),1,0))</f>
        <v>1</v>
      </c>
      <c r="K18" s="79" t="s">
        <v>134</v>
      </c>
      <c r="L18" s="5">
        <f t="shared" si="0"/>
        <v>15</v>
      </c>
      <c r="M18" s="2">
        <v>4</v>
      </c>
      <c r="N18" s="11">
        <f t="shared" si="19"/>
        <v>4</v>
      </c>
      <c r="O18" s="2">
        <f t="shared" si="20"/>
        <v>2</v>
      </c>
      <c r="P18" s="2">
        <f t="shared" si="21"/>
        <v>0</v>
      </c>
      <c r="Q18" s="12">
        <f t="shared" si="25"/>
        <v>1</v>
      </c>
      <c r="R18" s="13">
        <f t="shared" si="26"/>
        <v>2</v>
      </c>
      <c r="S18" s="14">
        <f t="shared" si="27"/>
        <v>0</v>
      </c>
      <c r="T18" s="2">
        <f t="shared" si="4"/>
        <v>0</v>
      </c>
      <c r="U18" s="2" t="str">
        <f>IFERROR(IFERROR(VLOOKUP($C18&amp;" "&amp;U$1,Results!$F:$H,3,FALSE),-VLOOKUP($C18&amp;" "&amp;U$1,Results!$G:$H,2,FALSE)),"")</f>
        <v/>
      </c>
      <c r="V18" s="2" t="str">
        <f>IFERROR(IFERROR(VLOOKUP($C18&amp;" "&amp;V$1,Results!$F:$H,3,FALSE),-VLOOKUP($C18&amp;" "&amp;V$1,Results!$G:$H,2,FALSE)),"")</f>
        <v/>
      </c>
      <c r="W18" s="2" t="str">
        <f>IFERROR(IFERROR(VLOOKUP($C18&amp;" "&amp;W$1,Results!$F:$H,3,FALSE),-VLOOKUP($C18&amp;" "&amp;W$1,Results!$G:$H,2,FALSE)),"")</f>
        <v/>
      </c>
      <c r="X18" s="2" t="str">
        <f>IFERROR(IFERROR(VLOOKUP($C18&amp;" "&amp;X$1,Results!$F:$H,3,FALSE),-VLOOKUP($C18&amp;" "&amp;X$1,Results!$G:$H,2,FALSE)),"")</f>
        <v/>
      </c>
      <c r="Y18" s="2" t="str">
        <f>IFERROR(IFERROR(VLOOKUP($C18&amp;" "&amp;Y$1,Results!$F:$H,3,FALSE),-VLOOKUP($C18&amp;" "&amp;Y$1,Results!$G:$H,2,FALSE)),"")</f>
        <v/>
      </c>
      <c r="Z18" s="2" t="str">
        <f>IFERROR(IFERROR(VLOOKUP($C18&amp;" "&amp;Z$1,Results!$F:$H,3,FALSE),-VLOOKUP($C18&amp;" "&amp;Z$1,Results!$G:$H,2,FALSE)),"")</f>
        <v/>
      </c>
      <c r="AA18" s="2" t="str">
        <f>IFERROR(IFERROR(VLOOKUP($C18&amp;" "&amp;AA$1,Results!$F:$H,3,FALSE),-VLOOKUP($C18&amp;" "&amp;AA$1,Results!$G:$H,2,FALSE)),"")</f>
        <v/>
      </c>
      <c r="AB18" s="48" t="str">
        <f>IFERROR(IFERROR(VLOOKUP($C18&amp;" "&amp;AB$1,Results!$F:$H,3,FALSE),-VLOOKUP($C18&amp;" "&amp;AB$1,Results!$G:$H,2,FALSE)),"")</f>
        <v/>
      </c>
      <c r="AC18" s="2" t="str">
        <f>IFERROR(IFERROR(VLOOKUP($C18&amp;" "&amp;AC$1,Results!$F:$H,3,FALSE),-VLOOKUP($C18&amp;" "&amp;AC$1,Results!$G:$H,2,FALSE)),"")</f>
        <v/>
      </c>
      <c r="AD18" s="2" t="str">
        <f>IFERROR(IFERROR(VLOOKUP($C18&amp;" "&amp;AD$1,Results!$F:$H,3,FALSE),-VLOOKUP($C18&amp;" "&amp;AD$1,Results!$G:$H,2,FALSE)),"")</f>
        <v/>
      </c>
      <c r="AE18" s="19" t="str">
        <f>IFERROR(IFERROR(VLOOKUP($C18&amp;" "&amp;AE$1,Results!$F:$H,3,FALSE),-VLOOKUP($C18&amp;" "&amp;AE$1,Results!$G:$H,2,FALSE)),"")</f>
        <v/>
      </c>
      <c r="AF18" s="19" t="str">
        <f>IFERROR(IFERROR(VLOOKUP($C18&amp;" "&amp;AF$1,Results!$F:$H,3,FALSE),-VLOOKUP($C18&amp;" "&amp;AF$1,Results!$G:$H,2,FALSE)),"")</f>
        <v/>
      </c>
      <c r="AG18" s="19" t="str">
        <f>IFERROR(IFERROR(VLOOKUP($C18&amp;" "&amp;AG$1,Results!$F:$H,3,FALSE),-VLOOKUP($C18&amp;" "&amp;AG$1,Results!$G:$H,2,FALSE)),"")</f>
        <v/>
      </c>
      <c r="AH18" s="19" t="str">
        <f>IFERROR(IFERROR(VLOOKUP($C18&amp;" "&amp;AH$1,Results!$F:$H,3,FALSE),-VLOOKUP($C18&amp;" "&amp;AH$1,Results!$G:$H,2,FALSE)),"")</f>
        <v/>
      </c>
      <c r="AI18" s="19">
        <f>IFERROR(IFERROR(VLOOKUP($C18&amp;" "&amp;AI$1,Results!$F:$H,3,FALSE),-VLOOKUP($C18&amp;" "&amp;AI$1,Results!$G:$H,2,FALSE)),"")</f>
        <v>113</v>
      </c>
      <c r="AJ18" s="51">
        <f>IFERROR(IFERROR(VLOOKUP($C18&amp;" "&amp;AJ$1,Results!$F:$H,3,FALSE),-VLOOKUP($C18&amp;" "&amp;AJ$1,Results!$G:$H,2,FALSE)),"")</f>
        <v>-23</v>
      </c>
      <c r="AK18" s="2">
        <f>IFERROR(IFERROR(VLOOKUP($C18&amp;" "&amp;AK$1,Results!$F:$H,3,FALSE),-VLOOKUP($C18&amp;" "&amp;AK$1,Results!$G:$H,2,FALSE)),"")</f>
        <v>71</v>
      </c>
      <c r="AL18" s="2" t="str">
        <f>IFERROR(IFERROR(VLOOKUP($C18&amp;" "&amp;AL$1,Results!$F:$H,3,FALSE),-VLOOKUP($C18&amp;" "&amp;AL$1,Results!$G:$H,2,FALSE)),"")</f>
        <v/>
      </c>
      <c r="AM18" s="56">
        <f>IFERROR(IFERROR(VLOOKUP($C18&amp;" "&amp;AM$1,Results!$F:$H,3,FALSE),-VLOOKUP($C18&amp;" "&amp;AM$1,Results!$G:$H,2,FALSE)),"")</f>
        <v>-60</v>
      </c>
      <c r="AN18" s="2">
        <f>IFERROR(IFERROR(VLOOKUP($C18&amp;" "&amp;AN$1,Results!$F:$H,3,FALSE),-VLOOKUP($C18&amp;" "&amp;AN$1,Results!$G:$H,2,FALSE)),"")</f>
        <v>101</v>
      </c>
      <c r="AO18" s="2">
        <f>IFERROR(IFERROR(VLOOKUP($C18&amp;" "&amp;AO$1,Results!$F:$H,3,FALSE),-VLOOKUP($C18&amp;" "&amp;AO$1,Results!$G:$H,2,FALSE)),"")</f>
        <v>9</v>
      </c>
      <c r="AP18" s="2" t="str">
        <f>IFERROR(IFERROR(VLOOKUP($C18&amp;" "&amp;AP$1,Results!$F:$H,3,FALSE),-VLOOKUP($C18&amp;" "&amp;AP$1,Results!$G:$H,2,FALSE)),"")</f>
        <v/>
      </c>
      <c r="AV18" s="5"/>
      <c r="AW18" s="5"/>
      <c r="AZ18" s="5"/>
      <c r="BA18" s="5"/>
      <c r="BE18" s="5"/>
      <c r="BF18" s="5"/>
      <c r="BH18" s="8"/>
      <c r="BI18" s="8"/>
      <c r="BJ18" s="82">
        <f t="shared" si="5"/>
        <v>211</v>
      </c>
      <c r="BK18" s="5">
        <f t="shared" si="6"/>
        <v>1</v>
      </c>
      <c r="BL18" s="5">
        <f t="shared" si="7"/>
        <v>5</v>
      </c>
      <c r="BM18" s="5">
        <f t="shared" si="8"/>
        <v>6</v>
      </c>
      <c r="BN18" s="65">
        <f t="shared" si="9"/>
        <v>0.16666666666666666</v>
      </c>
      <c r="BQ18" s="60">
        <f t="shared" si="10"/>
        <v>211</v>
      </c>
      <c r="BS18" s="5">
        <v>13</v>
      </c>
      <c r="BT18" s="5">
        <f t="shared" si="11"/>
        <v>12</v>
      </c>
      <c r="BU18" s="5">
        <f t="shared" si="12"/>
        <v>1</v>
      </c>
    </row>
    <row r="19" spans="1:73" ht="13.5" customHeight="1" thickBot="1">
      <c r="A19" s="5">
        <v>18</v>
      </c>
      <c r="B19" s="5">
        <v>16</v>
      </c>
      <c r="C19" s="157" t="s">
        <v>53</v>
      </c>
      <c r="D19" s="41"/>
      <c r="E19" s="5">
        <f>IF(AND(AI19&gt;0,$A19&lt;VLOOKUP(AI$1,$C:$L,10,FALSE)),1,IF(AND(AI19&lt;0,$A19&gt;VLOOKUP(AI$1,$C:$L,10,FALSE)),1,0))</f>
        <v>0</v>
      </c>
      <c r="F19" s="5">
        <f>IF(AND(AJ19&gt;0,$A19&lt;VLOOKUP(AJ$1,$C:$L,10,FALSE)),1,IF(AND(AJ19&lt;0,$A19&gt;VLOOKUP(AJ$1,$C:$L,10,FALSE)),1,0))</f>
        <v>1</v>
      </c>
      <c r="G19" s="5">
        <f>IF(AND(AK19&gt;0,$A19&lt;VLOOKUP(AK$1,$C:$L,10,FALSE)),1,IF(AND(AK19&lt;0,$A19&gt;VLOOKUP(AK$1,$C:$L,10,FALSE)),1,0))</f>
        <v>1</v>
      </c>
      <c r="H19" s="5">
        <f>IF(AND(AM19&gt;0,$A19&lt;VLOOKUP(AM$1,$C:$L,10,FALSE)),1,IF(AND(AM19&lt;0,$A19&gt;VLOOKUP(AM$1,$C:$L,10,FALSE)),1,0))</f>
        <v>0</v>
      </c>
      <c r="I19" s="5">
        <f>IF(AND(AN19&gt;0,$A19&lt;VLOOKUP(AN$1,$C:$L,10,FALSE)),1,IF(AND(AN19&lt;0,$A19&gt;VLOOKUP(AN$1,$C:$L,10,FALSE)),1,0))</f>
        <v>0</v>
      </c>
      <c r="J19" s="5">
        <f>IF(AND(AO19&gt;0,$A19&lt;VLOOKUP(AO$1,$C:$L,10,FALSE)),1,IF(AND(AO19&lt;0,$A19&gt;VLOOKUP(AO$1,$C:$L,10,FALSE)),1,0))</f>
        <v>0</v>
      </c>
      <c r="K19" s="79" t="s">
        <v>134</v>
      </c>
      <c r="L19" s="5">
        <f t="shared" si="0"/>
        <v>16</v>
      </c>
      <c r="M19" s="2">
        <v>4</v>
      </c>
      <c r="N19" s="11">
        <f t="shared" si="19"/>
        <v>3</v>
      </c>
      <c r="O19" s="2">
        <f t="shared" si="20"/>
        <v>3</v>
      </c>
      <c r="P19" s="2">
        <f t="shared" si="21"/>
        <v>0</v>
      </c>
      <c r="Q19" s="12">
        <f t="shared" si="25"/>
        <v>1</v>
      </c>
      <c r="R19" s="13">
        <f t="shared" si="26"/>
        <v>2</v>
      </c>
      <c r="S19" s="14">
        <f t="shared" si="27"/>
        <v>0</v>
      </c>
      <c r="T19" s="2">
        <f t="shared" si="4"/>
        <v>0</v>
      </c>
      <c r="U19" s="2" t="str">
        <f>IFERROR(IFERROR(VLOOKUP($C19&amp;" "&amp;U$1,Results!$F:$H,3,FALSE),-VLOOKUP($C19&amp;" "&amp;U$1,Results!$G:$H,2,FALSE)),"")</f>
        <v/>
      </c>
      <c r="V19" s="2" t="str">
        <f>IFERROR(IFERROR(VLOOKUP($C19&amp;" "&amp;V$1,Results!$F:$H,3,FALSE),-VLOOKUP($C19&amp;" "&amp;V$1,Results!$G:$H,2,FALSE)),"")</f>
        <v/>
      </c>
      <c r="W19" s="2" t="str">
        <f>IFERROR(IFERROR(VLOOKUP($C19&amp;" "&amp;W$1,Results!$F:$H,3,FALSE),-VLOOKUP($C19&amp;" "&amp;W$1,Results!$G:$H,2,FALSE)),"")</f>
        <v/>
      </c>
      <c r="X19" s="2" t="str">
        <f>IFERROR(IFERROR(VLOOKUP($C19&amp;" "&amp;X$1,Results!$F:$H,3,FALSE),-VLOOKUP($C19&amp;" "&amp;X$1,Results!$G:$H,2,FALSE)),"")</f>
        <v/>
      </c>
      <c r="Y19" s="2" t="str">
        <f>IFERROR(IFERROR(VLOOKUP($C19&amp;" "&amp;Y$1,Results!$F:$H,3,FALSE),-VLOOKUP($C19&amp;" "&amp;Y$1,Results!$G:$H,2,FALSE)),"")</f>
        <v/>
      </c>
      <c r="Z19" s="2" t="str">
        <f>IFERROR(IFERROR(VLOOKUP($C19&amp;" "&amp;Z$1,Results!$F:$H,3,FALSE),-VLOOKUP($C19&amp;" "&amp;Z$1,Results!$G:$H,2,FALSE)),"")</f>
        <v/>
      </c>
      <c r="AA19" s="2" t="str">
        <f>IFERROR(IFERROR(VLOOKUP($C19&amp;" "&amp;AA$1,Results!$F:$H,3,FALSE),-VLOOKUP($C19&amp;" "&amp;AA$1,Results!$G:$H,2,FALSE)),"")</f>
        <v/>
      </c>
      <c r="AB19" s="2" t="str">
        <f>IFERROR(IFERROR(VLOOKUP($C19&amp;" "&amp;AB$1,Results!$F:$H,3,FALSE),-VLOOKUP($C19&amp;" "&amp;AB$1,Results!$G:$H,2,FALSE)),"")</f>
        <v/>
      </c>
      <c r="AC19" s="2" t="str">
        <f>IFERROR(IFERROR(VLOOKUP($C19&amp;" "&amp;AC$1,Results!$F:$H,3,FALSE),-VLOOKUP($C19&amp;" "&amp;AC$1,Results!$G:$H,2,FALSE)),"")</f>
        <v/>
      </c>
      <c r="AD19" s="2" t="str">
        <f>IFERROR(IFERROR(VLOOKUP($C19&amp;" "&amp;AD$1,Results!$F:$H,3,FALSE),-VLOOKUP($C19&amp;" "&amp;AD$1,Results!$G:$H,2,FALSE)),"")</f>
        <v/>
      </c>
      <c r="AE19" s="2" t="str">
        <f>IFERROR(IFERROR(VLOOKUP($C19&amp;" "&amp;AE$1,Results!$F:$H,3,FALSE),-VLOOKUP($C19&amp;" "&amp;AE$1,Results!$G:$H,2,FALSE)),"")</f>
        <v/>
      </c>
      <c r="AF19" s="2" t="str">
        <f>IFERROR(IFERROR(VLOOKUP($C19&amp;" "&amp;AF$1,Results!$F:$H,3,FALSE),-VLOOKUP($C19&amp;" "&amp;AF$1,Results!$G:$H,2,FALSE)),"")</f>
        <v/>
      </c>
      <c r="AG19" s="2" t="str">
        <f>IFERROR(IFERROR(VLOOKUP($C19&amp;" "&amp;AG$1,Results!$F:$H,3,FALSE),-VLOOKUP($C19&amp;" "&amp;AG$1,Results!$G:$H,2,FALSE)),"")</f>
        <v/>
      </c>
      <c r="AH19" s="2" t="str">
        <f>IFERROR(IFERROR(VLOOKUP($C19&amp;" "&amp;AH$1,Results!$F:$H,3,FALSE),-VLOOKUP($C19&amp;" "&amp;AH$1,Results!$G:$H,2,FALSE)),"")</f>
        <v/>
      </c>
      <c r="AI19" s="2" t="str">
        <f>IFERROR(IFERROR(VLOOKUP($C19&amp;" "&amp;AI$1,Results!$F:$H,3,FALSE),-VLOOKUP($C19&amp;" "&amp;AI$1,Results!$G:$H,2,FALSE)),"")</f>
        <v/>
      </c>
      <c r="AJ19" s="46">
        <f>IFERROR(IFERROR(VLOOKUP($C19&amp;" "&amp;AJ$1,Results!$F:$H,3,FALSE),-VLOOKUP($C19&amp;" "&amp;AJ$1,Results!$G:$H,2,FALSE)),"")</f>
        <v>-96</v>
      </c>
      <c r="AK19" s="47">
        <f>IFERROR(IFERROR(VLOOKUP($C19&amp;" "&amp;AK$1,Results!$F:$H,3,FALSE),-VLOOKUP($C19&amp;" "&amp;AK$1,Results!$G:$H,2,FALSE)),"")</f>
        <v>-66</v>
      </c>
      <c r="AL19" s="47">
        <f>IFERROR(IFERROR(VLOOKUP($C19&amp;" "&amp;AL$1,Results!$F:$H,3,FALSE),-VLOOKUP($C19&amp;" "&amp;AL$1,Results!$G:$H,2,FALSE)),"")</f>
        <v>60</v>
      </c>
      <c r="AM19" s="20" t="str">
        <f>IFERROR(IFERROR(VLOOKUP($C19&amp;" "&amp;AM$1,Results!$F:$H,3,FALSE),-VLOOKUP($C19&amp;" "&amp;AM$1,Results!$G:$H,2,FALSE)),"")</f>
        <v/>
      </c>
      <c r="AN19" s="2">
        <f>IFERROR(IFERROR(VLOOKUP($C19&amp;" "&amp;AN$1,Results!$F:$H,3,FALSE),-VLOOKUP($C19&amp;" "&amp;AN$1,Results!$G:$H,2,FALSE)),"")</f>
        <v>182</v>
      </c>
      <c r="AO19" s="2">
        <f>IFERROR(IFERROR(VLOOKUP($C19&amp;" "&amp;AO$1,Results!$F:$H,3,FALSE),-VLOOKUP($C19&amp;" "&amp;AO$1,Results!$G:$H,2,FALSE)),"")</f>
        <v>-34</v>
      </c>
      <c r="AP19" s="2">
        <f>IFERROR(IFERROR(VLOOKUP($C19&amp;" "&amp;AP$1,Results!$F:$H,3,FALSE),-VLOOKUP($C19&amp;" "&amp;AP$1,Results!$G:$H,2,FALSE)),"")</f>
        <v>108</v>
      </c>
      <c r="BE19" s="2"/>
      <c r="BH19" s="15"/>
      <c r="BI19" s="15"/>
      <c r="BJ19" s="82">
        <f t="shared" si="5"/>
        <v>154</v>
      </c>
      <c r="BK19" s="5">
        <f t="shared" si="6"/>
        <v>2</v>
      </c>
      <c r="BL19" s="5">
        <f t="shared" si="7"/>
        <v>4</v>
      </c>
      <c r="BM19" s="5">
        <f t="shared" si="8"/>
        <v>6</v>
      </c>
      <c r="BN19" s="65">
        <f t="shared" si="9"/>
        <v>0.33333333333333331</v>
      </c>
      <c r="BQ19" s="60">
        <f t="shared" si="10"/>
        <v>154</v>
      </c>
      <c r="BS19" s="5">
        <v>11</v>
      </c>
      <c r="BT19" s="5">
        <f t="shared" si="11"/>
        <v>18</v>
      </c>
      <c r="BU19" s="5">
        <f t="shared" si="12"/>
        <v>-7</v>
      </c>
    </row>
    <row r="20" spans="1:73" ht="13.5" customHeight="1">
      <c r="A20" s="5">
        <v>16</v>
      </c>
      <c r="B20" s="5">
        <v>17</v>
      </c>
      <c r="C20" s="41" t="s">
        <v>52</v>
      </c>
      <c r="D20" s="41"/>
      <c r="E20" s="5">
        <f>IF(AND(AN20&gt;0,$A20&lt;VLOOKUP(AN$1,$C:$L,10,FALSE)),1,IF(AND(AN20&lt;0,$A20&gt;VLOOKUP(AN$1,$C:$L,10,FALSE)),1,0))</f>
        <v>1</v>
      </c>
      <c r="F20" s="5">
        <f>IF(AND(AO20&gt;0,$A20&lt;VLOOKUP(AO$1,$C:$L,10,FALSE)),1,IF(AND(AO20&lt;0,$A20&gt;VLOOKUP(AO$1,$C:$L,10,FALSE)),1,0))</f>
        <v>0</v>
      </c>
      <c r="G20" s="5">
        <f>IF(AND(AP20&gt;0,$A20&lt;VLOOKUP(AP$1,$C:$L,10,FALSE)),1,IF(AND(AP20&lt;0,$A20&gt;VLOOKUP(AP$1,$C:$L,10,FALSE)),1,0))</f>
        <v>1</v>
      </c>
      <c r="H20" s="5">
        <f>IF(AND(AR20&gt;0,$A20&lt;VLOOKUP(AR$1,$C:$L,10,FALSE)),1,IF(AND(AR20&lt;0,$A20&gt;VLOOKUP(AR$1,$C:$L,10,FALSE)),1,0))</f>
        <v>1</v>
      </c>
      <c r="I20" s="5">
        <f>IF(AND(AS20&gt;0,$A20&lt;VLOOKUP(AS$1,$C:$L,10,FALSE)),1,IF(AND(AS20&lt;0,$A20&gt;VLOOKUP(AS$1,$C:$L,10,FALSE)),1,0))</f>
        <v>1</v>
      </c>
      <c r="J20" s="5">
        <f>IF(AND(AT20&gt;0,$A20&lt;VLOOKUP(AT$1,$C:$L,10,FALSE)),1,IF(AND(AT20&lt;0,$A20&gt;VLOOKUP(AT$1,$C:$L,10,FALSE)),1,0))</f>
        <v>1</v>
      </c>
      <c r="K20" s="79" t="s">
        <v>134</v>
      </c>
      <c r="L20" s="5">
        <f t="shared" si="0"/>
        <v>17</v>
      </c>
      <c r="M20" s="2">
        <v>5</v>
      </c>
      <c r="N20" s="11">
        <f t="shared" si="19"/>
        <v>3</v>
      </c>
      <c r="O20" s="2">
        <f t="shared" si="20"/>
        <v>3</v>
      </c>
      <c r="P20" s="2">
        <f t="shared" si="21"/>
        <v>0</v>
      </c>
      <c r="Q20" s="12">
        <f>COUNTIF($AN20:$AQ20,"&gt;0")</f>
        <v>2</v>
      </c>
      <c r="R20" s="13">
        <f>COUNTIF($AN20:$AQ20,"&lt;0")</f>
        <v>1</v>
      </c>
      <c r="S20" s="14">
        <f>COUNTIF($AN20:$AQ20,"=0")</f>
        <v>0</v>
      </c>
      <c r="T20" s="2">
        <f t="shared" si="4"/>
        <v>0</v>
      </c>
      <c r="U20" s="2" t="str">
        <f>IFERROR(IFERROR(VLOOKUP($C20&amp;" "&amp;U$1,Results!$F:$H,3,FALSE),-VLOOKUP($C20&amp;" "&amp;U$1,Results!$G:$H,2,FALSE)),"")</f>
        <v/>
      </c>
      <c r="V20" s="2" t="str">
        <f>IFERROR(IFERROR(VLOOKUP($C20&amp;" "&amp;V$1,Results!$F:$H,3,FALSE),-VLOOKUP($C20&amp;" "&amp;V$1,Results!$G:$H,2,FALSE)),"")</f>
        <v/>
      </c>
      <c r="W20" s="2" t="str">
        <f>IFERROR(IFERROR(VLOOKUP($C20&amp;" "&amp;W$1,Results!$F:$H,3,FALSE),-VLOOKUP($C20&amp;" "&amp;W$1,Results!$G:$H,2,FALSE)),"")</f>
        <v/>
      </c>
      <c r="X20" s="2" t="str">
        <f>IFERROR(IFERROR(VLOOKUP($C20&amp;" "&amp;X$1,Results!$F:$H,3,FALSE),-VLOOKUP($C20&amp;" "&amp;X$1,Results!$G:$H,2,FALSE)),"")</f>
        <v/>
      </c>
      <c r="Y20" s="2" t="str">
        <f>IFERROR(IFERROR(VLOOKUP($C20&amp;" "&amp;Y$1,Results!$F:$H,3,FALSE),-VLOOKUP($C20&amp;" "&amp;Y$1,Results!$G:$H,2,FALSE)),"")</f>
        <v/>
      </c>
      <c r="Z20" s="2" t="str">
        <f>IFERROR(IFERROR(VLOOKUP($C20&amp;" "&amp;Z$1,Results!$F:$H,3,FALSE),-VLOOKUP($C20&amp;" "&amp;Z$1,Results!$G:$H,2,FALSE)),"")</f>
        <v/>
      </c>
      <c r="AA20" s="2" t="str">
        <f>IFERROR(IFERROR(VLOOKUP($C20&amp;" "&amp;AA$1,Results!$F:$H,3,FALSE),-VLOOKUP($C20&amp;" "&amp;AA$1,Results!$G:$H,2,FALSE)),"")</f>
        <v/>
      </c>
      <c r="AB20" s="2" t="str">
        <f>IFERROR(IFERROR(VLOOKUP($C20&amp;" "&amp;AB$1,Results!$F:$H,3,FALSE),-VLOOKUP($C20&amp;" "&amp;AB$1,Results!$G:$H,2,FALSE)),"")</f>
        <v/>
      </c>
      <c r="AC20" s="2" t="str">
        <f>IFERROR(IFERROR(VLOOKUP($C20&amp;" "&amp;AC$1,Results!$F:$H,3,FALSE),-VLOOKUP($C20&amp;" "&amp;AC$1,Results!$G:$H,2,FALSE)),"")</f>
        <v/>
      </c>
      <c r="AD20" s="2" t="str">
        <f>IFERROR(IFERROR(VLOOKUP($C20&amp;" "&amp;AD$1,Results!$F:$H,3,FALSE),-VLOOKUP($C20&amp;" "&amp;AD$1,Results!$G:$H,2,FALSE)),"")</f>
        <v/>
      </c>
      <c r="AE20" s="2" t="str">
        <f>IFERROR(IFERROR(VLOOKUP($C20&amp;" "&amp;AE$1,Results!$F:$H,3,FALSE),-VLOOKUP($C20&amp;" "&amp;AE$1,Results!$G:$H,2,FALSE)),"")</f>
        <v/>
      </c>
      <c r="AF20" s="2" t="str">
        <f>IFERROR(IFERROR(VLOOKUP($C20&amp;" "&amp;AF$1,Results!$F:$H,3,FALSE),-VLOOKUP($C20&amp;" "&amp;AF$1,Results!$G:$H,2,FALSE)),"")</f>
        <v/>
      </c>
      <c r="AG20" s="2" t="str">
        <f>IFERROR(IFERROR(VLOOKUP($C20&amp;" "&amp;AG$1,Results!$F:$H,3,FALSE),-VLOOKUP($C20&amp;" "&amp;AG$1,Results!$G:$H,2,FALSE)),"")</f>
        <v/>
      </c>
      <c r="AH20" s="2" t="str">
        <f>IFERROR(IFERROR(VLOOKUP($C20&amp;" "&amp;AH$1,Results!$F:$H,3,FALSE),-VLOOKUP($C20&amp;" "&amp;AH$1,Results!$G:$H,2,FALSE)),"")</f>
        <v/>
      </c>
      <c r="AI20" s="2" t="str">
        <f>IFERROR(IFERROR(VLOOKUP($C20&amp;" "&amp;AI$1,Results!$F:$H,3,FALSE),-VLOOKUP($C20&amp;" "&amp;AI$1,Results!$G:$H,2,FALSE)),"")</f>
        <v/>
      </c>
      <c r="AJ20" s="2" t="str">
        <f>IFERROR(IFERROR(VLOOKUP($C20&amp;" "&amp;AJ$1,Results!$F:$H,3,FALSE),-VLOOKUP($C20&amp;" "&amp;AJ$1,Results!$G:$H,2,FALSE)),"")</f>
        <v/>
      </c>
      <c r="AK20" s="2">
        <f>IFERROR(IFERROR(VLOOKUP($C20&amp;" "&amp;AK$1,Results!$F:$H,3,FALSE),-VLOOKUP($C20&amp;" "&amp;AK$1,Results!$G:$H,2,FALSE)),"")</f>
        <v>34</v>
      </c>
      <c r="AL20" s="2">
        <f>IFERROR(IFERROR(VLOOKUP($C20&amp;" "&amp;AL$1,Results!$F:$H,3,FALSE),-VLOOKUP($C20&amp;" "&amp;AL$1,Results!$G:$H,2,FALSE)),"")</f>
        <v>-101</v>
      </c>
      <c r="AM20" s="2">
        <f>IFERROR(IFERROR(VLOOKUP($C20&amp;" "&amp;AM$1,Results!$F:$H,3,FALSE),-VLOOKUP($C20&amp;" "&amp;AM$1,Results!$G:$H,2,FALSE)),"")</f>
        <v>-182</v>
      </c>
      <c r="AN20" s="18" t="str">
        <f>IFERROR(IFERROR(VLOOKUP($C20&amp;" "&amp;AN$1,Results!$F:$H,3,FALSE),-VLOOKUP($C20&amp;" "&amp;AN$1,Results!$G:$H,2,FALSE)),"")</f>
        <v/>
      </c>
      <c r="AO20" s="42">
        <f>IFERROR(IFERROR(VLOOKUP($C20&amp;" "&amp;AO$1,Results!$F:$H,3,FALSE),-VLOOKUP($C20&amp;" "&amp;AO$1,Results!$G:$H,2,FALSE)),"")</f>
        <v>-56</v>
      </c>
      <c r="AP20" s="42">
        <f>IFERROR(IFERROR(VLOOKUP($C20&amp;" "&amp;AP$1,Results!$F:$H,3,FALSE),-VLOOKUP($C20&amp;" "&amp;AP$1,Results!$G:$H,2,FALSE)),"")</f>
        <v>25</v>
      </c>
      <c r="AQ20" s="43">
        <f>IFERROR(IFERROR(VLOOKUP($C20&amp;" "&amp;AQ$1,Results!$F:$H,3,FALSE),-VLOOKUP($C20&amp;" "&amp;AQ$1,Results!$G:$H,2,FALSE)),"")</f>
        <v>19</v>
      </c>
      <c r="AR20" s="2" t="str">
        <f>IFERROR(IFERROR(VLOOKUP($C20&amp;" "&amp;AR$1,Results!$F:$H,3,FALSE),-VLOOKUP($C20&amp;" "&amp;AR$1,Results!$G:$H,2,FALSE)),"")</f>
        <v/>
      </c>
      <c r="AS20" s="2" t="str">
        <f>IFERROR(IFERROR(VLOOKUP($C20&amp;" "&amp;AS$1,Results!$F:$H,3,FALSE),-VLOOKUP($C20&amp;" "&amp;AS$1,Results!$G:$H,2,FALSE)),"")</f>
        <v/>
      </c>
      <c r="AT20" s="2" t="str">
        <f>IFERROR(IFERROR(VLOOKUP($C20&amp;" "&amp;AT$1,Results!$F:$H,3,FALSE),-VLOOKUP($C20&amp;" "&amp;AT$1,Results!$G:$H,2,FALSE)),"")</f>
        <v/>
      </c>
      <c r="AU20" s="2" t="str">
        <f>IFERROR(IFERROR(VLOOKUP($C20&amp;" "&amp;AU$1,Results!$F:$H,3,FALSE),-VLOOKUP($C20&amp;" "&amp;AU$1,Results!$G:$H,2,FALSE)),"")</f>
        <v/>
      </c>
      <c r="AV20" s="2" t="str">
        <f>IFERROR(IFERROR(VLOOKUP($C20&amp;" "&amp;AV$1,Results!$F:$H,3,FALSE),-VLOOKUP($C20&amp;" "&amp;AV$1,Results!$G:$H,2,FALSE)),"")</f>
        <v/>
      </c>
      <c r="AW20" s="2" t="str">
        <f>IFERROR(IFERROR(VLOOKUP($C20&amp;" "&amp;AW$1,Results!$F:$H,3,FALSE),-VLOOKUP($C20&amp;" "&amp;AW$1,Results!$G:$H,2,FALSE)),"")</f>
        <v/>
      </c>
      <c r="AX20" s="2" t="str">
        <f>IFERROR(IFERROR(VLOOKUP($C20&amp;" "&amp;AX$1,Results!$F:$H,3,FALSE),-VLOOKUP($C20&amp;" "&amp;AX$1,Results!$G:$H,2,FALSE)),"")</f>
        <v/>
      </c>
      <c r="AY20" s="2" t="str">
        <f>IFERROR(IFERROR(VLOOKUP($C20&amp;" "&amp;AY$1,Results!$F:$H,3,FALSE),-VLOOKUP($C20&amp;" "&amp;AY$1,Results!$G:$H,2,FALSE)),"")</f>
        <v/>
      </c>
      <c r="BE20" s="2"/>
      <c r="BH20" s="15"/>
      <c r="BI20" s="15"/>
      <c r="BJ20" s="82">
        <f t="shared" si="5"/>
        <v>-261</v>
      </c>
      <c r="BK20" s="5">
        <f t="shared" si="6"/>
        <v>5</v>
      </c>
      <c r="BL20" s="5">
        <f t="shared" si="7"/>
        <v>1</v>
      </c>
      <c r="BM20" s="5">
        <f t="shared" si="8"/>
        <v>6</v>
      </c>
      <c r="BN20" s="65">
        <f t="shared" si="9"/>
        <v>0.83333333333333337</v>
      </c>
      <c r="BQ20" s="60">
        <f t="shared" si="10"/>
        <v>-261</v>
      </c>
      <c r="BS20" s="5">
        <v>15</v>
      </c>
      <c r="BT20" s="5">
        <f t="shared" si="11"/>
        <v>16</v>
      </c>
      <c r="BU20" s="5">
        <f t="shared" si="12"/>
        <v>-1</v>
      </c>
    </row>
    <row r="21" spans="1:73" ht="13.5" customHeight="1">
      <c r="A21" s="5">
        <v>15</v>
      </c>
      <c r="B21" s="5">
        <v>18</v>
      </c>
      <c r="C21" s="156" t="s">
        <v>7</v>
      </c>
      <c r="D21" s="41"/>
      <c r="E21" s="5">
        <f>IF(AND(AL21&gt;0,$A21&lt;VLOOKUP(AL$1,$C:$L,10,FALSE)),1,IF(AND(AL21&lt;0,$A21&gt;VLOOKUP(AL$1,$C:$L,10,FALSE)),1,0))</f>
        <v>0</v>
      </c>
      <c r="F21" s="5">
        <f>IF(AND(AM21&gt;0,$A21&lt;VLOOKUP(AM$1,$C:$L,10,FALSE)),1,IF(AND(AM21&lt;0,$A21&gt;VLOOKUP(AM$1,$C:$L,10,FALSE)),1,0))</f>
        <v>1</v>
      </c>
      <c r="G21" s="5">
        <f>IF(AND(AN21&gt;0,$A21&lt;VLOOKUP(AN$1,$C:$L,10,FALSE)),1,IF(AND(AN21&lt;0,$A21&gt;VLOOKUP(AN$1,$C:$L,10,FALSE)),1,0))</f>
        <v>1</v>
      </c>
      <c r="H21" s="5">
        <f>IF(AND(AP21&gt;0,$A21&lt;VLOOKUP(AP$1,$C:$L,10,FALSE)),1,IF(AND(AP21&lt;0,$A21&gt;VLOOKUP(AP$1,$C:$L,10,FALSE)),1,0))</f>
        <v>1</v>
      </c>
      <c r="I21" s="5">
        <f>IF(AND(AQ21&gt;0,$A21&lt;VLOOKUP(AQ$1,$C:$L,10,FALSE)),1,IF(AND(AQ21&lt;0,$A21&gt;VLOOKUP(AQ$1,$C:$L,10,FALSE)),1,0))</f>
        <v>1</v>
      </c>
      <c r="J21" s="5">
        <f>IF(AND(AR21&gt;0,$A21&lt;VLOOKUP(AR$1,$C:$L,10,FALSE)),1,IF(AND(AR21&lt;0,$A21&gt;VLOOKUP(AR$1,$C:$L,10,FALSE)),1,0))</f>
        <v>1</v>
      </c>
      <c r="K21" s="79" t="s">
        <v>134</v>
      </c>
      <c r="L21" s="5">
        <f t="shared" si="0"/>
        <v>18</v>
      </c>
      <c r="M21" s="2">
        <v>5</v>
      </c>
      <c r="N21" s="11">
        <f t="shared" si="19"/>
        <v>5</v>
      </c>
      <c r="O21" s="2">
        <f t="shared" si="20"/>
        <v>1</v>
      </c>
      <c r="P21" s="2">
        <f t="shared" si="21"/>
        <v>0</v>
      </c>
      <c r="Q21" s="12">
        <f t="shared" ref="Q21:Q23" si="28">COUNTIF($AN21:$AQ21,"&gt;0")</f>
        <v>3</v>
      </c>
      <c r="R21" s="13">
        <f t="shared" ref="R21:R23" si="29">COUNTIF($AN21:$AQ21,"&lt;0")</f>
        <v>0</v>
      </c>
      <c r="S21" s="14">
        <f t="shared" ref="S21:S23" si="30">COUNTIF($AN21:$AQ21,"=0")</f>
        <v>0</v>
      </c>
      <c r="T21" s="2">
        <f t="shared" si="4"/>
        <v>0</v>
      </c>
      <c r="U21" s="2" t="str">
        <f>IFERROR(IFERROR(VLOOKUP($C21&amp;" "&amp;U$1,Results!$F:$H,3,FALSE),-VLOOKUP($C21&amp;" "&amp;U$1,Results!$G:$H,2,FALSE)),"")</f>
        <v/>
      </c>
      <c r="V21" s="2" t="str">
        <f>IFERROR(IFERROR(VLOOKUP($C21&amp;" "&amp;V$1,Results!$F:$H,3,FALSE),-VLOOKUP($C21&amp;" "&amp;V$1,Results!$G:$H,2,FALSE)),"")</f>
        <v/>
      </c>
      <c r="W21" s="2" t="str">
        <f>IFERROR(IFERROR(VLOOKUP($C21&amp;" "&amp;W$1,Results!$F:$H,3,FALSE),-VLOOKUP($C21&amp;" "&amp;W$1,Results!$G:$H,2,FALSE)),"")</f>
        <v/>
      </c>
      <c r="X21" s="2" t="str">
        <f>IFERROR(IFERROR(VLOOKUP($C21&amp;" "&amp;X$1,Results!$F:$H,3,FALSE),-VLOOKUP($C21&amp;" "&amp;X$1,Results!$G:$H,2,FALSE)),"")</f>
        <v/>
      </c>
      <c r="Y21" s="2" t="str">
        <f>IFERROR(IFERROR(VLOOKUP($C21&amp;" "&amp;Y$1,Results!$F:$H,3,FALSE),-VLOOKUP($C21&amp;" "&amp;Y$1,Results!$G:$H,2,FALSE)),"")</f>
        <v/>
      </c>
      <c r="Z21" s="2" t="str">
        <f>IFERROR(IFERROR(VLOOKUP($C21&amp;" "&amp;Z$1,Results!$F:$H,3,FALSE),-VLOOKUP($C21&amp;" "&amp;Z$1,Results!$G:$H,2,FALSE)),"")</f>
        <v/>
      </c>
      <c r="AA21" s="2" t="str">
        <f>IFERROR(IFERROR(VLOOKUP($C21&amp;" "&amp;AA$1,Results!$F:$H,3,FALSE),-VLOOKUP($C21&amp;" "&amp;AA$1,Results!$G:$H,2,FALSE)),"")</f>
        <v/>
      </c>
      <c r="AB21" s="2" t="str">
        <f>IFERROR(IFERROR(VLOOKUP($C21&amp;" "&amp;AB$1,Results!$F:$H,3,FALSE),-VLOOKUP($C21&amp;" "&amp;AB$1,Results!$G:$H,2,FALSE)),"")</f>
        <v/>
      </c>
      <c r="AC21" s="2" t="str">
        <f>IFERROR(IFERROR(VLOOKUP($C21&amp;" "&amp;AC$1,Results!$F:$H,3,FALSE),-VLOOKUP($C21&amp;" "&amp;AC$1,Results!$G:$H,2,FALSE)),"")</f>
        <v/>
      </c>
      <c r="AD21" s="2" t="str">
        <f>IFERROR(IFERROR(VLOOKUP($C21&amp;" "&amp;AD$1,Results!$F:$H,3,FALSE),-VLOOKUP($C21&amp;" "&amp;AD$1,Results!$G:$H,2,FALSE)),"")</f>
        <v/>
      </c>
      <c r="AE21" s="2" t="str">
        <f>IFERROR(IFERROR(VLOOKUP($C21&amp;" "&amp;AE$1,Results!$F:$H,3,FALSE),-VLOOKUP($C21&amp;" "&amp;AE$1,Results!$G:$H,2,FALSE)),"")</f>
        <v/>
      </c>
      <c r="AF21" s="2" t="str">
        <f>IFERROR(IFERROR(VLOOKUP($C21&amp;" "&amp;AF$1,Results!$F:$H,3,FALSE),-VLOOKUP($C21&amp;" "&amp;AF$1,Results!$G:$H,2,FALSE)),"")</f>
        <v/>
      </c>
      <c r="AG21" s="2" t="str">
        <f>IFERROR(IFERROR(VLOOKUP($C21&amp;" "&amp;AG$1,Results!$F:$H,3,FALSE),-VLOOKUP($C21&amp;" "&amp;AG$1,Results!$G:$H,2,FALSE)),"")</f>
        <v/>
      </c>
      <c r="AH21" s="2" t="str">
        <f>IFERROR(IFERROR(VLOOKUP($C21&amp;" "&amp;AH$1,Results!$F:$H,3,FALSE),-VLOOKUP($C21&amp;" "&amp;AH$1,Results!$G:$H,2,FALSE)),"")</f>
        <v/>
      </c>
      <c r="AI21" s="2" t="str">
        <f>IFERROR(IFERROR(VLOOKUP($C21&amp;" "&amp;AI$1,Results!$F:$H,3,FALSE),-VLOOKUP($C21&amp;" "&amp;AI$1,Results!$G:$H,2,FALSE)),"")</f>
        <v/>
      </c>
      <c r="AJ21" s="2" t="str">
        <f>IFERROR(IFERROR(VLOOKUP($C21&amp;" "&amp;AJ$1,Results!$F:$H,3,FALSE),-VLOOKUP($C21&amp;" "&amp;AJ$1,Results!$G:$H,2,FALSE)),"")</f>
        <v/>
      </c>
      <c r="AK21" s="2" t="str">
        <f>IFERROR(IFERROR(VLOOKUP($C21&amp;" "&amp;AK$1,Results!$F:$H,3,FALSE),-VLOOKUP($C21&amp;" "&amp;AK$1,Results!$G:$H,2,FALSE)),"")</f>
        <v/>
      </c>
      <c r="AL21" s="2">
        <f>IFERROR(IFERROR(VLOOKUP($C21&amp;" "&amp;AL$1,Results!$F:$H,3,FALSE),-VLOOKUP($C21&amp;" "&amp;AL$1,Results!$G:$H,2,FALSE)),"")</f>
        <v>-9</v>
      </c>
      <c r="AM21" s="2">
        <f>IFERROR(IFERROR(VLOOKUP($C21&amp;" "&amp;AM$1,Results!$F:$H,3,FALSE),-VLOOKUP($C21&amp;" "&amp;AM$1,Results!$G:$H,2,FALSE)),"")</f>
        <v>34</v>
      </c>
      <c r="AN21" s="44">
        <f>IFERROR(IFERROR(VLOOKUP($C21&amp;" "&amp;AN$1,Results!$F:$H,3,FALSE),-VLOOKUP($C21&amp;" "&amp;AN$1,Results!$G:$H,2,FALSE)),"")</f>
        <v>56</v>
      </c>
      <c r="AO21" s="19" t="str">
        <f>IFERROR(IFERROR(VLOOKUP($C21&amp;" "&amp;AO$1,Results!$F:$H,3,FALSE),-VLOOKUP($C21&amp;" "&amp;AO$1,Results!$G:$H,2,FALSE)),"")</f>
        <v/>
      </c>
      <c r="AP21" s="19">
        <f>IFERROR(IFERROR(VLOOKUP($C21&amp;" "&amp;AP$1,Results!$F:$H,3,FALSE),-VLOOKUP($C21&amp;" "&amp;AP$1,Results!$G:$H,2,FALSE)),"")</f>
        <v>122</v>
      </c>
      <c r="AQ21" s="45">
        <f>IFERROR(IFERROR(VLOOKUP($C21&amp;" "&amp;AQ$1,Results!$F:$H,3,FALSE),-VLOOKUP($C21&amp;" "&amp;AQ$1,Results!$G:$H,2,FALSE)),"")</f>
        <v>182</v>
      </c>
      <c r="AR21" s="2">
        <f>IFERROR(IFERROR(VLOOKUP($C21&amp;" "&amp;AR$1,Results!$F:$H,3,FALSE),-VLOOKUP($C21&amp;" "&amp;AR$1,Results!$G:$H,2,FALSE)),"")</f>
        <v>230.66666666666697</v>
      </c>
      <c r="AS21" s="2" t="str">
        <f>IFERROR(IFERROR(VLOOKUP($C21&amp;" "&amp;AS$1,Results!$F:$H,3,FALSE),-VLOOKUP($C21&amp;" "&amp;AS$1,Results!$G:$H,2,FALSE)),"")</f>
        <v/>
      </c>
      <c r="AT21" s="2" t="str">
        <f>IFERROR(IFERROR(VLOOKUP($C21&amp;" "&amp;AT$1,Results!$F:$H,3,FALSE),-VLOOKUP($C21&amp;" "&amp;AT$1,Results!$G:$H,2,FALSE)),"")</f>
        <v/>
      </c>
      <c r="AU21" s="2" t="str">
        <f>IFERROR(IFERROR(VLOOKUP($C21&amp;" "&amp;AU$1,Results!$F:$H,3,FALSE),-VLOOKUP($C21&amp;" "&amp;AU$1,Results!$G:$H,2,FALSE)),"")</f>
        <v/>
      </c>
      <c r="AV21" s="2" t="str">
        <f>IFERROR(IFERROR(VLOOKUP($C21&amp;" "&amp;AV$1,Results!$F:$H,3,FALSE),-VLOOKUP($C21&amp;" "&amp;AV$1,Results!$G:$H,2,FALSE)),"")</f>
        <v/>
      </c>
      <c r="AW21" s="2" t="str">
        <f>IFERROR(IFERROR(VLOOKUP($C21&amp;" "&amp;AW$1,Results!$F:$H,3,FALSE),-VLOOKUP($C21&amp;" "&amp;AW$1,Results!$G:$H,2,FALSE)),"")</f>
        <v/>
      </c>
      <c r="AX21" s="2" t="str">
        <f>IFERROR(IFERROR(VLOOKUP($C21&amp;" "&amp;AX$1,Results!$F:$H,3,FALSE),-VLOOKUP($C21&amp;" "&amp;AX$1,Results!$G:$H,2,FALSE)),"")</f>
        <v/>
      </c>
      <c r="AY21" s="2" t="str">
        <f>IFERROR(IFERROR(VLOOKUP($C21&amp;" "&amp;AY$1,Results!$F:$H,3,FALSE),-VLOOKUP($C21&amp;" "&amp;AY$1,Results!$G:$H,2,FALSE)),"")</f>
        <v/>
      </c>
      <c r="BE21" s="2"/>
      <c r="BH21" s="15"/>
      <c r="BI21" s="15"/>
      <c r="BJ21" s="82">
        <f t="shared" si="5"/>
        <v>615.66666666666697</v>
      </c>
      <c r="BK21" s="5">
        <f t="shared" si="6"/>
        <v>5</v>
      </c>
      <c r="BL21" s="5">
        <f t="shared" si="7"/>
        <v>1</v>
      </c>
      <c r="BM21" s="5">
        <f t="shared" si="8"/>
        <v>6</v>
      </c>
      <c r="BN21" s="65">
        <f t="shared" si="9"/>
        <v>0.83333333333333337</v>
      </c>
      <c r="BQ21" s="60">
        <f t="shared" si="10"/>
        <v>615.66666666666697</v>
      </c>
      <c r="BS21" s="5">
        <v>18</v>
      </c>
      <c r="BT21" s="5">
        <f t="shared" si="11"/>
        <v>15</v>
      </c>
      <c r="BU21" s="5">
        <f t="shared" si="12"/>
        <v>3</v>
      </c>
    </row>
    <row r="22" spans="1:73" ht="13.5" customHeight="1">
      <c r="A22" s="5">
        <v>22</v>
      </c>
      <c r="B22" s="5">
        <v>19</v>
      </c>
      <c r="C22" s="158" t="s">
        <v>65</v>
      </c>
      <c r="D22" s="10"/>
      <c r="E22" s="5">
        <f>IF(AND(AJ22&gt;0,$A22&lt;VLOOKUP(AJ$1,$C:$L,10,FALSE)),1,IF(AND(AJ22&lt;0,$A22&gt;VLOOKUP(AJ$1,$C:$L,10,FALSE)),1,0))</f>
        <v>0</v>
      </c>
      <c r="F22" s="5">
        <f>IF(AND(AK22&gt;0,$A22&lt;VLOOKUP(AK$1,$C:$L,10,FALSE)),1,IF(AND(AK22&lt;0,$A22&gt;VLOOKUP(AK$1,$C:$L,10,FALSE)),1,0))</f>
        <v>0</v>
      </c>
      <c r="G22" s="5">
        <f>IF(AND(AL22&gt;0,$A22&lt;VLOOKUP(AL$1,$C:$L,10,FALSE)),1,IF(AND(AL22&lt;0,$A22&gt;VLOOKUP(AL$1,$C:$L,10,FALSE)),1,0))</f>
        <v>0</v>
      </c>
      <c r="H22" s="5">
        <f>IF(AND(AN22&gt;0,$A22&lt;VLOOKUP(AN$1,$C:$L,10,FALSE)),1,IF(AND(AN22&lt;0,$A22&gt;VLOOKUP(AN$1,$C:$L,10,FALSE)),1,0))</f>
        <v>1</v>
      </c>
      <c r="I22" s="5">
        <f>IF(AND(AO22&gt;0,$A22&lt;VLOOKUP(AO$1,$C:$L,10,FALSE)),1,IF(AND(AO22&lt;0,$A22&gt;VLOOKUP(AO$1,$C:$L,10,FALSE)),1,0))</f>
        <v>1</v>
      </c>
      <c r="J22" s="5">
        <f>IF(AND(AP22&gt;0,$A22&lt;VLOOKUP(AP$1,$C:$L,10,FALSE)),1,IF(AND(AP22&lt;0,$A22&gt;VLOOKUP(AP$1,$C:$L,10,FALSE)),1,0))</f>
        <v>0</v>
      </c>
      <c r="K22" s="79" t="s">
        <v>134</v>
      </c>
      <c r="L22" s="5">
        <f t="shared" si="0"/>
        <v>19</v>
      </c>
      <c r="M22" s="2">
        <v>5</v>
      </c>
      <c r="N22" s="11">
        <f t="shared" si="19"/>
        <v>1</v>
      </c>
      <c r="O22" s="2">
        <f t="shared" si="20"/>
        <v>5</v>
      </c>
      <c r="P22" s="2">
        <f t="shared" si="21"/>
        <v>0</v>
      </c>
      <c r="Q22" s="12">
        <f t="shared" si="28"/>
        <v>0</v>
      </c>
      <c r="R22" s="13">
        <f t="shared" si="29"/>
        <v>3</v>
      </c>
      <c r="S22" s="14">
        <f t="shared" si="30"/>
        <v>0</v>
      </c>
      <c r="T22" s="2">
        <f t="shared" si="4"/>
        <v>0</v>
      </c>
      <c r="U22" s="2" t="str">
        <f>IFERROR(IFERROR(VLOOKUP($C22&amp;" "&amp;U$1,Results!$F:$H,3,FALSE),-VLOOKUP($C22&amp;" "&amp;U$1,Results!$G:$H,2,FALSE)),"")</f>
        <v/>
      </c>
      <c r="V22" s="2" t="str">
        <f>IFERROR(IFERROR(VLOOKUP($C22&amp;" "&amp;V$1,Results!$F:$H,3,FALSE),-VLOOKUP($C22&amp;" "&amp;V$1,Results!$G:$H,2,FALSE)),"")</f>
        <v/>
      </c>
      <c r="W22" s="2" t="str">
        <f>IFERROR(IFERROR(VLOOKUP($C22&amp;" "&amp;W$1,Results!$F:$H,3,FALSE),-VLOOKUP($C22&amp;" "&amp;W$1,Results!$G:$H,2,FALSE)),"")</f>
        <v/>
      </c>
      <c r="X22" s="2" t="str">
        <f>IFERROR(IFERROR(VLOOKUP($C22&amp;" "&amp;X$1,Results!$F:$H,3,FALSE),-VLOOKUP($C22&amp;" "&amp;X$1,Results!$G:$H,2,FALSE)),"")</f>
        <v/>
      </c>
      <c r="Y22" s="2" t="str">
        <f>IFERROR(IFERROR(VLOOKUP($C22&amp;" "&amp;Y$1,Results!$F:$H,3,FALSE),-VLOOKUP($C22&amp;" "&amp;Y$1,Results!$G:$H,2,FALSE)),"")</f>
        <v/>
      </c>
      <c r="Z22" s="2" t="str">
        <f>IFERROR(IFERROR(VLOOKUP($C22&amp;" "&amp;Z$1,Results!$F:$H,3,FALSE),-VLOOKUP($C22&amp;" "&amp;Z$1,Results!$G:$H,2,FALSE)),"")</f>
        <v/>
      </c>
      <c r="AA22" s="2" t="str">
        <f>IFERROR(IFERROR(VLOOKUP($C22&amp;" "&amp;AA$1,Results!$F:$H,3,FALSE),-VLOOKUP($C22&amp;" "&amp;AA$1,Results!$G:$H,2,FALSE)),"")</f>
        <v/>
      </c>
      <c r="AB22" s="2" t="str">
        <f>IFERROR(IFERROR(VLOOKUP($C22&amp;" "&amp;AB$1,Results!$F:$H,3,FALSE),-VLOOKUP($C22&amp;" "&amp;AB$1,Results!$G:$H,2,FALSE)),"")</f>
        <v/>
      </c>
      <c r="AC22" s="2" t="str">
        <f>IFERROR(IFERROR(VLOOKUP($C22&amp;" "&amp;AC$1,Results!$F:$H,3,FALSE),-VLOOKUP($C22&amp;" "&amp;AC$1,Results!$G:$H,2,FALSE)),"")</f>
        <v/>
      </c>
      <c r="AD22" s="2" t="str">
        <f>IFERROR(IFERROR(VLOOKUP($C22&amp;" "&amp;AD$1,Results!$F:$H,3,FALSE),-VLOOKUP($C22&amp;" "&amp;AD$1,Results!$G:$H,2,FALSE)),"")</f>
        <v/>
      </c>
      <c r="AE22" s="2" t="str">
        <f>IFERROR(IFERROR(VLOOKUP($C22&amp;" "&amp;AE$1,Results!$F:$H,3,FALSE),-VLOOKUP($C22&amp;" "&amp;AE$1,Results!$G:$H,2,FALSE)),"")</f>
        <v/>
      </c>
      <c r="AF22" s="2" t="str">
        <f>IFERROR(IFERROR(VLOOKUP($C22&amp;" "&amp;AF$1,Results!$F:$H,3,FALSE),-VLOOKUP($C22&amp;" "&amp;AF$1,Results!$G:$H,2,FALSE)),"")</f>
        <v/>
      </c>
      <c r="AG22" s="2" t="str">
        <f>IFERROR(IFERROR(VLOOKUP($C22&amp;" "&amp;AG$1,Results!$F:$H,3,FALSE),-VLOOKUP($C22&amp;" "&amp;AG$1,Results!$G:$H,2,FALSE)),"")</f>
        <v/>
      </c>
      <c r="AH22" s="2" t="str">
        <f>IFERROR(IFERROR(VLOOKUP($C22&amp;" "&amp;AH$1,Results!$F:$H,3,FALSE),-VLOOKUP($C22&amp;" "&amp;AH$1,Results!$G:$H,2,FALSE)),"")</f>
        <v/>
      </c>
      <c r="AI22" s="2" t="str">
        <f>IFERROR(IFERROR(VLOOKUP($C22&amp;" "&amp;AI$1,Results!$F:$H,3,FALSE),-VLOOKUP($C22&amp;" "&amp;AI$1,Results!$G:$H,2,FALSE)),"")</f>
        <v/>
      </c>
      <c r="AJ22" s="19" t="str">
        <f>IFERROR(IFERROR(VLOOKUP($C22&amp;" "&amp;AJ$1,Results!$F:$H,3,FALSE),-VLOOKUP($C22&amp;" "&amp;AJ$1,Results!$G:$H,2,FALSE)),"")</f>
        <v/>
      </c>
      <c r="AK22" s="19" t="str">
        <f>IFERROR(IFERROR(VLOOKUP($C22&amp;" "&amp;AK$1,Results!$F:$H,3,FALSE),-VLOOKUP($C22&amp;" "&amp;AK$1,Results!$G:$H,2,FALSE)),"")</f>
        <v/>
      </c>
      <c r="AL22" s="19" t="str">
        <f>IFERROR(IFERROR(VLOOKUP($C22&amp;" "&amp;AL$1,Results!$F:$H,3,FALSE),-VLOOKUP($C22&amp;" "&amp;AL$1,Results!$G:$H,2,FALSE)),"")</f>
        <v/>
      </c>
      <c r="AM22" s="19">
        <f>IFERROR(IFERROR(VLOOKUP($C22&amp;" "&amp;AM$1,Results!$F:$H,3,FALSE),-VLOOKUP($C22&amp;" "&amp;AM$1,Results!$G:$H,2,FALSE)),"")</f>
        <v>-108</v>
      </c>
      <c r="AN22" s="51">
        <f>IFERROR(IFERROR(VLOOKUP($C22&amp;" "&amp;AN$1,Results!$F:$H,3,FALSE),-VLOOKUP($C22&amp;" "&amp;AN$1,Results!$G:$H,2,FALSE)),"")</f>
        <v>-25</v>
      </c>
      <c r="AO22" s="2">
        <f>IFERROR(IFERROR(VLOOKUP($C22&amp;" "&amp;AO$1,Results!$F:$H,3,FALSE),-VLOOKUP($C22&amp;" "&amp;AO$1,Results!$G:$H,2,FALSE)),"")</f>
        <v>-122</v>
      </c>
      <c r="AP22" s="19" t="str">
        <f>IFERROR(IFERROR(VLOOKUP($C22&amp;" "&amp;AP$1,Results!$F:$H,3,FALSE),-VLOOKUP($C22&amp;" "&amp;AP$1,Results!$G:$H,2,FALSE)),"")</f>
        <v/>
      </c>
      <c r="AQ22" s="45">
        <f>IFERROR(IFERROR(VLOOKUP($C22&amp;" "&amp;AQ$1,Results!$F:$H,3,FALSE),-VLOOKUP($C22&amp;" "&amp;AQ$1,Results!$G:$H,2,FALSE)),"")</f>
        <v>-132</v>
      </c>
      <c r="AR22" s="2">
        <f>IFERROR(IFERROR(VLOOKUP($C22&amp;" "&amp;AR$1,Results!$F:$H,3,FALSE),-VLOOKUP($C22&amp;" "&amp;AR$1,Results!$G:$H,2,FALSE)),"")</f>
        <v>-47</v>
      </c>
      <c r="AS22" s="2">
        <f>IFERROR(IFERROR(VLOOKUP($C22&amp;" "&amp;AS$1,Results!$F:$H,3,FALSE),-VLOOKUP($C22&amp;" "&amp;AS$1,Results!$G:$H,2,FALSE)),"")</f>
        <v>140</v>
      </c>
      <c r="BE22" s="2"/>
      <c r="BH22" s="15"/>
      <c r="BI22" s="15"/>
      <c r="BJ22" s="82">
        <f t="shared" si="5"/>
        <v>-294</v>
      </c>
      <c r="BK22" s="5">
        <f t="shared" si="6"/>
        <v>2</v>
      </c>
      <c r="BL22" s="5">
        <f t="shared" si="7"/>
        <v>4</v>
      </c>
      <c r="BM22" s="5">
        <f t="shared" si="8"/>
        <v>6</v>
      </c>
      <c r="BN22" s="65">
        <f t="shared" si="9"/>
        <v>0.33333333333333331</v>
      </c>
      <c r="BQ22" s="60">
        <f t="shared" si="10"/>
        <v>-294</v>
      </c>
      <c r="BS22" s="5">
        <v>17</v>
      </c>
      <c r="BT22" s="5">
        <f t="shared" si="11"/>
        <v>22</v>
      </c>
      <c r="BU22" s="5">
        <f t="shared" si="12"/>
        <v>-5</v>
      </c>
    </row>
    <row r="23" spans="1:73" ht="13.5" customHeight="1" thickBot="1">
      <c r="A23" s="5">
        <v>20</v>
      </c>
      <c r="B23" s="5">
        <v>20</v>
      </c>
      <c r="C23" s="41" t="s">
        <v>51</v>
      </c>
      <c r="D23" s="41"/>
      <c r="E23" s="5">
        <f>IF(AND(AO23&gt;0,$A23&lt;VLOOKUP(AO$1,$C:$L,10,FALSE)),1,IF(AND(AO23&lt;0,$A23&gt;VLOOKUP(AO$1,$C:$L,10,FALSE)),1,0))</f>
        <v>1</v>
      </c>
      <c r="F23" s="5">
        <f>IF(AND(AP23&gt;0,$A23&lt;VLOOKUP(AP$1,$C:$L,10,FALSE)),1,IF(AND(AP23&lt;0,$A23&gt;VLOOKUP(AP$1,$C:$L,10,FALSE)),1,0))</f>
        <v>0</v>
      </c>
      <c r="G23" s="5">
        <f>IF(AND(AQ23&gt;0,$A23&lt;VLOOKUP(AQ$1,$C:$L,10,FALSE)),1,IF(AND(AQ23&lt;0,$A23&gt;VLOOKUP(AQ$1,$C:$L,10,FALSE)),1,0))</f>
        <v>0</v>
      </c>
      <c r="H23" s="5">
        <f>IF(AND(AS23&gt;0,$A23&lt;VLOOKUP(AS$1,$C:$L,10,FALSE)),1,IF(AND(AS23&lt;0,$A23&gt;VLOOKUP(AS$1,$C:$L,10,FALSE)),1,0))</f>
        <v>1</v>
      </c>
      <c r="I23" s="5">
        <f>IF(AND(AT23&gt;0,$A23&lt;VLOOKUP(AT$1,$C:$L,10,FALSE)),1,IF(AND(AT23&lt;0,$A23&gt;VLOOKUP(AT$1,$C:$L,10,FALSE)),1,0))</f>
        <v>1</v>
      </c>
      <c r="J23" s="5">
        <f>IF(AND(AU23&gt;0,$A23&lt;VLOOKUP(AU$1,$C:$L,10,FALSE)),1,IF(AND(AU23&lt;0,$A23&gt;VLOOKUP(AU$1,$C:$L,10,FALSE)),1,0))</f>
        <v>1</v>
      </c>
      <c r="K23" s="79" t="s">
        <v>134</v>
      </c>
      <c r="L23" s="5">
        <f t="shared" si="0"/>
        <v>20</v>
      </c>
      <c r="M23" s="2">
        <v>5</v>
      </c>
      <c r="N23" s="11">
        <f t="shared" si="19"/>
        <v>4</v>
      </c>
      <c r="O23" s="2">
        <f t="shared" si="20"/>
        <v>2</v>
      </c>
      <c r="P23" s="2">
        <f t="shared" si="21"/>
        <v>0</v>
      </c>
      <c r="Q23" s="12">
        <f t="shared" si="28"/>
        <v>1</v>
      </c>
      <c r="R23" s="13">
        <f t="shared" si="29"/>
        <v>2</v>
      </c>
      <c r="S23" s="14">
        <f t="shared" si="30"/>
        <v>0</v>
      </c>
      <c r="T23" s="2">
        <f t="shared" si="4"/>
        <v>0</v>
      </c>
      <c r="U23" s="2" t="str">
        <f>IFERROR(IFERROR(VLOOKUP($C23&amp;" "&amp;U$1,Results!$F:$H,3,FALSE),-VLOOKUP($C23&amp;" "&amp;U$1,Results!$G:$H,2,FALSE)),"")</f>
        <v/>
      </c>
      <c r="V23" s="2" t="str">
        <f>IFERROR(IFERROR(VLOOKUP($C23&amp;" "&amp;V$1,Results!$F:$H,3,FALSE),-VLOOKUP($C23&amp;" "&amp;V$1,Results!$G:$H,2,FALSE)),"")</f>
        <v/>
      </c>
      <c r="W23" s="2" t="str">
        <f>IFERROR(IFERROR(VLOOKUP($C23&amp;" "&amp;W$1,Results!$F:$H,3,FALSE),-VLOOKUP($C23&amp;" "&amp;W$1,Results!$G:$H,2,FALSE)),"")</f>
        <v/>
      </c>
      <c r="X23" s="2" t="str">
        <f>IFERROR(IFERROR(VLOOKUP($C23&amp;" "&amp;X$1,Results!$F:$H,3,FALSE),-VLOOKUP($C23&amp;" "&amp;X$1,Results!$G:$H,2,FALSE)),"")</f>
        <v/>
      </c>
      <c r="Y23" s="2" t="str">
        <f>IFERROR(IFERROR(VLOOKUP($C23&amp;" "&amp;Y$1,Results!$F:$H,3,FALSE),-VLOOKUP($C23&amp;" "&amp;Y$1,Results!$G:$H,2,FALSE)),"")</f>
        <v/>
      </c>
      <c r="Z23" s="2" t="str">
        <f>IFERROR(IFERROR(VLOOKUP($C23&amp;" "&amp;Z$1,Results!$F:$H,3,FALSE),-VLOOKUP($C23&amp;" "&amp;Z$1,Results!$G:$H,2,FALSE)),"")</f>
        <v/>
      </c>
      <c r="AA23" s="2" t="str">
        <f>IFERROR(IFERROR(VLOOKUP($C23&amp;" "&amp;AA$1,Results!$F:$H,3,FALSE),-VLOOKUP($C23&amp;" "&amp;AA$1,Results!$G:$H,2,FALSE)),"")</f>
        <v/>
      </c>
      <c r="AB23" s="2" t="str">
        <f>IFERROR(IFERROR(VLOOKUP($C23&amp;" "&amp;AB$1,Results!$F:$H,3,FALSE),-VLOOKUP($C23&amp;" "&amp;AB$1,Results!$G:$H,2,FALSE)),"")</f>
        <v/>
      </c>
      <c r="AC23" s="2" t="str">
        <f>IFERROR(IFERROR(VLOOKUP($C23&amp;" "&amp;AC$1,Results!$F:$H,3,FALSE),-VLOOKUP($C23&amp;" "&amp;AC$1,Results!$G:$H,2,FALSE)),"")</f>
        <v/>
      </c>
      <c r="AD23" s="2" t="str">
        <f>IFERROR(IFERROR(VLOOKUP($C23&amp;" "&amp;AD$1,Results!$F:$H,3,FALSE),-VLOOKUP($C23&amp;" "&amp;AD$1,Results!$G:$H,2,FALSE)),"")</f>
        <v/>
      </c>
      <c r="AE23" s="2" t="str">
        <f>IFERROR(IFERROR(VLOOKUP($C23&amp;" "&amp;AE$1,Results!$F:$H,3,FALSE),-VLOOKUP($C23&amp;" "&amp;AE$1,Results!$G:$H,2,FALSE)),"")</f>
        <v/>
      </c>
      <c r="AF23" s="2" t="str">
        <f>IFERROR(IFERROR(VLOOKUP($C23&amp;" "&amp;AF$1,Results!$F:$H,3,FALSE),-VLOOKUP($C23&amp;" "&amp;AF$1,Results!$G:$H,2,FALSE)),"")</f>
        <v/>
      </c>
      <c r="AG23" s="2" t="str">
        <f>IFERROR(IFERROR(VLOOKUP($C23&amp;" "&amp;AG$1,Results!$F:$H,3,FALSE),-VLOOKUP($C23&amp;" "&amp;AG$1,Results!$G:$H,2,FALSE)),"")</f>
        <v/>
      </c>
      <c r="AH23" s="2" t="str">
        <f>IFERROR(IFERROR(VLOOKUP($C23&amp;" "&amp;AH$1,Results!$F:$H,3,FALSE),-VLOOKUP($C23&amp;" "&amp;AH$1,Results!$G:$H,2,FALSE)),"")</f>
        <v/>
      </c>
      <c r="AI23" s="2" t="str">
        <f>IFERROR(IFERROR(VLOOKUP($C23&amp;" "&amp;AI$1,Results!$F:$H,3,FALSE),-VLOOKUP($C23&amp;" "&amp;AI$1,Results!$G:$H,2,FALSE)),"")</f>
        <v/>
      </c>
      <c r="AJ23" s="2" t="str">
        <f>IFERROR(IFERROR(VLOOKUP($C23&amp;" "&amp;AJ$1,Results!$F:$H,3,FALSE),-VLOOKUP($C23&amp;" "&amp;AJ$1,Results!$G:$H,2,FALSE)),"")</f>
        <v/>
      </c>
      <c r="AK23" s="2" t="str">
        <f>IFERROR(IFERROR(VLOOKUP($C23&amp;" "&amp;AK$1,Results!$F:$H,3,FALSE),-VLOOKUP($C23&amp;" "&amp;AK$1,Results!$G:$H,2,FALSE)),"")</f>
        <v/>
      </c>
      <c r="AL23" s="2" t="str">
        <f>IFERROR(IFERROR(VLOOKUP($C23&amp;" "&amp;AL$1,Results!$F:$H,3,FALSE),-VLOOKUP($C23&amp;" "&amp;AL$1,Results!$G:$H,2,FALSE)),"")</f>
        <v/>
      </c>
      <c r="AM23" s="2" t="str">
        <f>IFERROR(IFERROR(VLOOKUP($C23&amp;" "&amp;AM$1,Results!$F:$H,3,FALSE),-VLOOKUP($C23&amp;" "&amp;AM$1,Results!$G:$H,2,FALSE)),"")</f>
        <v/>
      </c>
      <c r="AN23" s="52">
        <f>IFERROR(IFERROR(VLOOKUP($C23&amp;" "&amp;AN$1,Results!$F:$H,3,FALSE),-VLOOKUP($C23&amp;" "&amp;AN$1,Results!$G:$H,2,FALSE)),"")</f>
        <v>-19</v>
      </c>
      <c r="AO23" s="57">
        <f>IFERROR(IFERROR(VLOOKUP($C23&amp;" "&amp;AO$1,Results!$F:$H,3,FALSE),-VLOOKUP($C23&amp;" "&amp;AO$1,Results!$G:$H,2,FALSE)),"")</f>
        <v>-182</v>
      </c>
      <c r="AP23" s="57">
        <f>IFERROR(IFERROR(VLOOKUP($C23&amp;" "&amp;AP$1,Results!$F:$H,3,FALSE),-VLOOKUP($C23&amp;" "&amp;AP$1,Results!$G:$H,2,FALSE)),"")</f>
        <v>132</v>
      </c>
      <c r="AQ23" s="58" t="str">
        <f>IFERROR(IFERROR(VLOOKUP($C23&amp;" "&amp;AQ$1,Results!$F:$H,3,FALSE),-VLOOKUP($C23&amp;" "&amp;AQ$1,Results!$G:$H,2,FALSE)),"")</f>
        <v/>
      </c>
      <c r="AR23" s="19">
        <f>IFERROR(IFERROR(VLOOKUP($C23&amp;" "&amp;AR$1,Results!$F:$H,3,FALSE),-VLOOKUP($C23&amp;" "&amp;AR$1,Results!$G:$H,2,FALSE)),"")</f>
        <v>58</v>
      </c>
      <c r="AS23" s="19">
        <f>IFERROR(IFERROR(VLOOKUP($C23&amp;" "&amp;AS$1,Results!$F:$H,3,FALSE),-VLOOKUP($C23&amp;" "&amp;AS$1,Results!$G:$H,2,FALSE)),"")</f>
        <v>62</v>
      </c>
      <c r="AT23" s="19">
        <f>IFERROR(IFERROR(VLOOKUP($C23&amp;" "&amp;AT$1,Results!$F:$H,3,FALSE),-VLOOKUP($C23&amp;" "&amp;AT$1,Results!$G:$H,2,FALSE)),"")</f>
        <v>11</v>
      </c>
      <c r="AU23" s="19" t="str">
        <f>IFERROR(IFERROR(VLOOKUP($C23&amp;" "&amp;AU$1,Results!$F:$H,3,FALSE),-VLOOKUP($C23&amp;" "&amp;AU$1,Results!$G:$H,2,FALSE)),"")</f>
        <v/>
      </c>
      <c r="AV23" s="2" t="str">
        <f>IFERROR(IFERROR(VLOOKUP($C23&amp;" "&amp;AV$1,Results!$F:$H,3,FALSE),-VLOOKUP($C23&amp;" "&amp;AV$1,Results!$G:$H,2,FALSE)),"")</f>
        <v/>
      </c>
      <c r="AW23" s="2" t="str">
        <f>IFERROR(IFERROR(VLOOKUP($C23&amp;" "&amp;AW$1,Results!$F:$H,3,FALSE),-VLOOKUP($C23&amp;" "&amp;AW$1,Results!$G:$H,2,FALSE)),"")</f>
        <v/>
      </c>
      <c r="AX23" s="2" t="str">
        <f>IFERROR(IFERROR(VLOOKUP($C23&amp;" "&amp;AX$1,Results!$F:$H,3,FALSE),-VLOOKUP($C23&amp;" "&amp;AX$1,Results!$G:$H,2,FALSE)),"")</f>
        <v/>
      </c>
      <c r="AY23" s="2" t="str">
        <f>IFERROR(IFERROR(VLOOKUP($C23&amp;" "&amp;AY$1,Results!$F:$H,3,FALSE),-VLOOKUP($C23&amp;" "&amp;AY$1,Results!$G:$H,2,FALSE)),"")</f>
        <v/>
      </c>
      <c r="BE23" s="2"/>
      <c r="BJ23" s="82">
        <f t="shared" si="5"/>
        <v>62</v>
      </c>
      <c r="BK23" s="5">
        <f t="shared" si="6"/>
        <v>4</v>
      </c>
      <c r="BL23" s="5">
        <f t="shared" si="7"/>
        <v>2</v>
      </c>
      <c r="BM23" s="5">
        <f t="shared" si="8"/>
        <v>6</v>
      </c>
      <c r="BN23" s="65">
        <f t="shared" si="9"/>
        <v>0.66666666666666663</v>
      </c>
      <c r="BQ23" s="60">
        <f t="shared" si="10"/>
        <v>62</v>
      </c>
      <c r="BS23" s="5">
        <v>20</v>
      </c>
      <c r="BT23" s="5">
        <f t="shared" si="11"/>
        <v>20</v>
      </c>
      <c r="BU23" s="5">
        <f t="shared" si="12"/>
        <v>0</v>
      </c>
    </row>
    <row r="24" spans="1:73" ht="13.5" customHeight="1">
      <c r="A24" s="5">
        <v>19</v>
      </c>
      <c r="B24" s="5">
        <v>21</v>
      </c>
      <c r="C24" s="156" t="s">
        <v>58</v>
      </c>
      <c r="D24" s="41"/>
      <c r="E24" s="5">
        <f>IF(AND(AQ24&gt;0,$A24&lt;VLOOKUP(AQ$1,$C:$L,10,FALSE)),1,IF(AND(AQ24&lt;0,$A24&gt;VLOOKUP(AQ$1,$C:$L,10,FALSE)),1,0))</f>
        <v>0</v>
      </c>
      <c r="F24" s="5">
        <f>IF(AND(AR24&gt;0,$A24&lt;VLOOKUP(AR$1,$C:$L,10,FALSE)),1,IF(AND(AR24&lt;0,$A24&gt;VLOOKUP(AR$1,$C:$L,10,FALSE)),1,0))</f>
        <v>1</v>
      </c>
      <c r="G24" s="5">
        <f>IF(AND(AS24&gt;0,$A24&lt;VLOOKUP(AS$1,$C:$L,10,FALSE)),1,IF(AND(AS24&lt;0,$A24&gt;VLOOKUP(AS$1,$C:$L,10,FALSE)),1,0))</f>
        <v>1</v>
      </c>
      <c r="H24" s="5">
        <f>IF(AND(AU24&gt;0,$A24&lt;VLOOKUP(AU$1,$C:$L,10,FALSE)),1,IF(AND(AU24&lt;0,$A24&gt;VLOOKUP(AU$1,$C:$L,10,FALSE)),1,0))</f>
        <v>1</v>
      </c>
      <c r="I24" s="5">
        <f>IF(AND(AV24&gt;0,$A24&lt;VLOOKUP(AV$1,$C:$L,10,FALSE)),1,IF(AND(AV24&lt;0,$A24&gt;VLOOKUP(AV$1,$C:$L,10,FALSE)),1,0))</f>
        <v>1</v>
      </c>
      <c r="J24" s="5">
        <f>IF(AND(AW24&gt;0,$A24&lt;VLOOKUP(AW$1,$C:$L,10,FALSE)),1,IF(AND(AW24&lt;0,$A24&gt;VLOOKUP(AW$1,$C:$L,10,FALSE)),1,0))</f>
        <v>1</v>
      </c>
      <c r="K24" s="79" t="s">
        <v>134</v>
      </c>
      <c r="L24" s="5">
        <f t="shared" si="0"/>
        <v>21</v>
      </c>
      <c r="M24" s="2">
        <v>6</v>
      </c>
      <c r="N24" s="11">
        <f t="shared" si="19"/>
        <v>4</v>
      </c>
      <c r="O24" s="2">
        <f t="shared" si="20"/>
        <v>2</v>
      </c>
      <c r="P24" s="2">
        <f t="shared" si="21"/>
        <v>0</v>
      </c>
      <c r="Q24" s="12">
        <f>COUNTIF($AR24:$AU24,"&gt;0")</f>
        <v>3</v>
      </c>
      <c r="R24" s="13">
        <f>COUNTIF($AR24:$AU24,"&lt;0")</f>
        <v>0</v>
      </c>
      <c r="S24" s="14">
        <f>COUNTIF($AR24:$AU24,"=0")</f>
        <v>0</v>
      </c>
      <c r="T24" s="2">
        <f t="shared" si="4"/>
        <v>0</v>
      </c>
      <c r="AN24" s="2" t="str">
        <f>IFERROR(IFERROR(VLOOKUP($C24&amp;" "&amp;AN$1,Results!$F:$H,3,FALSE),-VLOOKUP($C24&amp;" "&amp;AN$1,Results!$G:$H,2,FALSE)),"")</f>
        <v/>
      </c>
      <c r="AO24" s="2">
        <f>IFERROR(IFERROR(VLOOKUP($C24&amp;" "&amp;AO$1,Results!$F:$H,3,FALSE),-VLOOKUP($C24&amp;" "&amp;AO$1,Results!$G:$H,2,FALSE)),"")</f>
        <v>-230.66666666666697</v>
      </c>
      <c r="AP24" s="2">
        <f>IFERROR(IFERROR(VLOOKUP($C24&amp;" "&amp;AP$1,Results!$F:$H,3,FALSE),-VLOOKUP($C24&amp;" "&amp;AP$1,Results!$G:$H,2,FALSE)),"")</f>
        <v>47</v>
      </c>
      <c r="AQ24" s="2">
        <f>IFERROR(IFERROR(VLOOKUP($C24&amp;" "&amp;AQ$1,Results!$F:$H,3,FALSE),-VLOOKUP($C24&amp;" "&amp;AQ$1,Results!$G:$H,2,FALSE)),"")</f>
        <v>-58</v>
      </c>
      <c r="AR24" s="18" t="str">
        <f>IFERROR(IFERROR(VLOOKUP($C24&amp;" "&amp;AR$1,Results!$F:$H,3,FALSE),-VLOOKUP($C24&amp;" "&amp;AR$1,Results!$G:$H,2,FALSE)),"")</f>
        <v/>
      </c>
      <c r="AS24" s="42">
        <f>IFERROR(IFERROR(VLOOKUP($C24&amp;" "&amp;AS$1,Results!$F:$H,3,FALSE),-VLOOKUP($C24&amp;" "&amp;AS$1,Results!$G:$H,2,FALSE)),"")</f>
        <v>118</v>
      </c>
      <c r="AT24" s="42">
        <f>IFERROR(IFERROR(VLOOKUP($C24&amp;" "&amp;AT$1,Results!$F:$H,3,FALSE),-VLOOKUP($C24&amp;" "&amp;AT$1,Results!$G:$H,2,FALSE)),"")</f>
        <v>16</v>
      </c>
      <c r="AU24" s="43">
        <f>IFERROR(IFERROR(VLOOKUP($C24&amp;" "&amp;AU$1,Results!$F:$H,3,FALSE),-VLOOKUP($C24&amp;" "&amp;AU$1,Results!$G:$H,2,FALSE)),"")</f>
        <v>150</v>
      </c>
      <c r="AV24" s="2" t="str">
        <f>IFERROR(IFERROR(VLOOKUP($C24&amp;" "&amp;AV$1,Results!$F:$H,3,FALSE),-VLOOKUP($C24&amp;" "&amp;AV$1,Results!$G:$H,2,FALSE)),"")</f>
        <v/>
      </c>
      <c r="AW24" s="2" t="str">
        <f>IFERROR(IFERROR(VLOOKUP($C24&amp;" "&amp;AW$1,Results!$F:$H,3,FALSE),-VLOOKUP($C24&amp;" "&amp;AW$1,Results!$G:$H,2,FALSE)),"")</f>
        <v/>
      </c>
      <c r="AX24" s="2" t="str">
        <f>IFERROR(IFERROR(VLOOKUP($C24&amp;" "&amp;AX$1,Results!$F:$H,3,FALSE),-VLOOKUP($C24&amp;" "&amp;AX$1,Results!$G:$H,2,FALSE)),"")</f>
        <v/>
      </c>
      <c r="AY24" s="2" t="str">
        <f>IFERROR(IFERROR(VLOOKUP($C24&amp;" "&amp;AY$1,Results!$F:$H,3,FALSE),-VLOOKUP($C24&amp;" "&amp;AY$1,Results!$G:$H,2,FALSE)),"")</f>
        <v/>
      </c>
      <c r="BE24" s="2"/>
      <c r="BJ24" s="82">
        <f t="shared" si="5"/>
        <v>42.33333333333303</v>
      </c>
      <c r="BK24" s="5">
        <f t="shared" si="6"/>
        <v>5</v>
      </c>
      <c r="BL24" s="5">
        <f t="shared" si="7"/>
        <v>1</v>
      </c>
      <c r="BM24" s="5">
        <f t="shared" si="8"/>
        <v>6</v>
      </c>
      <c r="BN24" s="65">
        <f t="shared" si="9"/>
        <v>0.83333333333333337</v>
      </c>
      <c r="BQ24" s="60">
        <f t="shared" si="10"/>
        <v>42.33333333333303</v>
      </c>
      <c r="BS24" s="5">
        <v>21</v>
      </c>
      <c r="BT24" s="5">
        <f t="shared" si="11"/>
        <v>19</v>
      </c>
      <c r="BU24" s="5">
        <f t="shared" si="12"/>
        <v>2</v>
      </c>
    </row>
    <row r="25" spans="1:73" ht="13.5" customHeight="1">
      <c r="A25" s="5">
        <v>27</v>
      </c>
      <c r="B25" s="5">
        <v>22</v>
      </c>
      <c r="C25" s="158" t="s">
        <v>181</v>
      </c>
      <c r="D25" s="41"/>
      <c r="E25" s="5">
        <f>IF(AND(AT25&gt;0,$A25&lt;VLOOKUP(AT$1,$C:$L,10,FALSE)),1,IF(AND(AT25&lt;0,$A25&gt;VLOOKUP(AT$1,$C:$L,10,FALSE)),1,0))</f>
        <v>1</v>
      </c>
      <c r="F25" s="5">
        <f>IF(AND(AU25&gt;0,$A25&lt;VLOOKUP(AU$1,$C:$L,10,FALSE)),1,IF(AND(AU25&lt;0,$A25&gt;VLOOKUP(AU$1,$C:$L,10,FALSE)),1,0))</f>
        <v>1</v>
      </c>
      <c r="G25" s="5">
        <f>IF(AND(AV25&gt;0,$A25&lt;VLOOKUP(AV$1,$C:$L,10,FALSE)),1,IF(AND(AV25&lt;0,$A25&gt;VLOOKUP(AV$1,$C:$L,10,FALSE)),1,0))</f>
        <v>1</v>
      </c>
      <c r="H25" s="5">
        <f>IF(AND(AX25&gt;0,$A25&lt;VLOOKUP(AX$1,$C:$L,10,FALSE)),1,IF(AND(AX25&lt;0,$A25&gt;VLOOKUP(AX$1,$C:$L,10,FALSE)),1,0))</f>
        <v>0</v>
      </c>
      <c r="I25" s="5">
        <f>IF(AND(AY25&gt;0,$A25&lt;VLOOKUP(AY$1,$C:$L,10,FALSE)),1,IF(AND(AY25&lt;0,$A25&gt;VLOOKUP(AY$1,$C:$L,10,FALSE)),1,0))</f>
        <v>1</v>
      </c>
      <c r="J25" s="5">
        <f>IF(AND(AZ25&gt;0,$A25&lt;VLOOKUP(AZ$1,$C:$L,10,FALSE)),1,IF(AND(AZ25&lt;0,$A25&gt;VLOOKUP(AZ$1,$C:$L,10,FALSE)),1,0))</f>
        <v>1</v>
      </c>
      <c r="K25" s="79" t="s">
        <v>134</v>
      </c>
      <c r="L25" s="5">
        <f t="shared" si="0"/>
        <v>22</v>
      </c>
      <c r="M25" s="2">
        <v>6</v>
      </c>
      <c r="N25" s="11">
        <f t="shared" si="19"/>
        <v>0</v>
      </c>
      <c r="O25" s="2">
        <f t="shared" si="20"/>
        <v>6</v>
      </c>
      <c r="P25" s="2">
        <f t="shared" si="21"/>
        <v>0</v>
      </c>
      <c r="Q25" s="12">
        <f t="shared" ref="Q25:Q27" si="31">COUNTIF($AR25:$AU25,"&gt;0")</f>
        <v>0</v>
      </c>
      <c r="R25" s="13">
        <f t="shared" ref="R25:R27" si="32">COUNTIF($AR25:$AU25,"&lt;0")</f>
        <v>3</v>
      </c>
      <c r="S25" s="14">
        <f t="shared" ref="S25:S27" si="33">COUNTIF($AR25:$AU25,"=0")</f>
        <v>0</v>
      </c>
      <c r="T25" s="2">
        <f t="shared" si="4"/>
        <v>0</v>
      </c>
      <c r="AN25" s="2" t="str">
        <f>IFERROR(IFERROR(VLOOKUP($C25&amp;" "&amp;AN$1,Results!$F:$H,3,FALSE),-VLOOKUP($C25&amp;" "&amp;AN$1,Results!$G:$H,2,FALSE)),"")</f>
        <v/>
      </c>
      <c r="AO25" s="2" t="str">
        <f>IFERROR(IFERROR(VLOOKUP($C25&amp;" "&amp;AO$1,Results!$F:$H,3,FALSE),-VLOOKUP($C25&amp;" "&amp;AO$1,Results!$G:$H,2,FALSE)),"")</f>
        <v/>
      </c>
      <c r="AP25" s="2">
        <f>IFERROR(IFERROR(VLOOKUP($C25&amp;" "&amp;AP$1,Results!$F:$H,3,FALSE),-VLOOKUP($C25&amp;" "&amp;AP$1,Results!$G:$H,2,FALSE)),"")</f>
        <v>-140</v>
      </c>
      <c r="AQ25" s="2">
        <f>IFERROR(IFERROR(VLOOKUP($C25&amp;" "&amp;AQ$1,Results!$F:$H,3,FALSE),-VLOOKUP($C25&amp;" "&amp;AQ$1,Results!$G:$H,2,FALSE)),"")</f>
        <v>-62</v>
      </c>
      <c r="AR25" s="51">
        <f>IFERROR(IFERROR(VLOOKUP($C25&amp;" "&amp;AR$1,Results!$F:$H,3,FALSE),-VLOOKUP($C25&amp;" "&amp;AR$1,Results!$G:$H,2,FALSE)),"")</f>
        <v>-118</v>
      </c>
      <c r="AS25" s="2" t="str">
        <f>IFERROR(IFERROR(VLOOKUP($C25&amp;" "&amp;AS$1,Results!$F:$H,3,FALSE),-VLOOKUP($C25&amp;" "&amp;AS$1,Results!$G:$H,2,FALSE)),"")</f>
        <v/>
      </c>
      <c r="AT25" s="2">
        <f>IFERROR(IFERROR(VLOOKUP($C25&amp;" "&amp;AT$1,Results!$F:$H,3,FALSE),-VLOOKUP($C25&amp;" "&amp;AT$1,Results!$G:$H,2,FALSE)),"")</f>
        <v>-9</v>
      </c>
      <c r="AU25" s="56">
        <f>IFERROR(IFERROR(VLOOKUP($C25&amp;" "&amp;AU$1,Results!$F:$H,3,FALSE),-VLOOKUP($C25&amp;" "&amp;AU$1,Results!$G:$H,2,FALSE)),"")</f>
        <v>-34</v>
      </c>
      <c r="AV25" s="19">
        <f>IFERROR(IFERROR(VLOOKUP($C25&amp;" "&amp;AV$1,Results!$F:$H,3,FALSE),-VLOOKUP($C25&amp;" "&amp;AV$1,Results!$G:$H,2,FALSE)),"")</f>
        <v>-59</v>
      </c>
      <c r="AW25" s="19" t="str">
        <f>IFERROR(IFERROR(VLOOKUP($C25&amp;" "&amp;AW$1,Results!$F:$H,3,FALSE),-VLOOKUP($C25&amp;" "&amp;AW$1,Results!$G:$H,2,FALSE)),"")</f>
        <v/>
      </c>
      <c r="AX25" s="19" t="str">
        <f>IFERROR(IFERROR(VLOOKUP($C25&amp;" "&amp;AX$1,Results!$F:$H,3,FALSE),-VLOOKUP($C25&amp;" "&amp;AX$1,Results!$G:$H,2,FALSE)),"")</f>
        <v/>
      </c>
      <c r="AY25" s="19" t="str">
        <f>IFERROR(IFERROR(VLOOKUP($C25&amp;" "&amp;AY$1,Results!$F:$H,3,FALSE),-VLOOKUP($C25&amp;" "&amp;AY$1,Results!$G:$H,2,FALSE)),"")</f>
        <v/>
      </c>
      <c r="AZ25" s="2" t="str">
        <f>IFERROR(IFERROR(VLOOKUP($C25&amp;" "&amp;AZ$1,Results!$F:$H,3,FALSE),-VLOOKUP($C25&amp;" "&amp;AZ$1,Results!$G:$H,2,FALSE)),"")</f>
        <v/>
      </c>
      <c r="BA25" s="2" t="str">
        <f>IFERROR(IFERROR(VLOOKUP($C25&amp;" "&amp;BA$1,Results!$F:$H,3,FALSE),-VLOOKUP($C25&amp;" "&amp;BA$1,Results!$G:$H,2,FALSE)),"")</f>
        <v/>
      </c>
      <c r="BB25" s="2" t="str">
        <f>IFERROR(IFERROR(VLOOKUP($C25&amp;" "&amp;BB$1,Results!$F:$H,3,FALSE),-VLOOKUP($C25&amp;" "&amp;BB$1,Results!$G:$H,2,FALSE)),"")</f>
        <v/>
      </c>
      <c r="BC25" s="2" t="str">
        <f>IFERROR(IFERROR(VLOOKUP($C25&amp;" "&amp;BC$1,Results!$F:$H,3,FALSE),-VLOOKUP($C25&amp;" "&amp;BC$1,Results!$G:$H,2,FALSE)),"")</f>
        <v/>
      </c>
      <c r="BD25" s="2" t="str">
        <f>IFERROR(IFERROR(VLOOKUP($C25&amp;" "&amp;BD$1,Results!$F:$H,3,FALSE),-VLOOKUP($C25&amp;" "&amp;BD$1,Results!$G:$H,2,FALSE)),"")</f>
        <v/>
      </c>
      <c r="BE25" s="2"/>
      <c r="BJ25" s="82">
        <f t="shared" si="5"/>
        <v>-422</v>
      </c>
      <c r="BK25" s="5">
        <f t="shared" si="6"/>
        <v>5</v>
      </c>
      <c r="BL25" s="5">
        <f t="shared" si="7"/>
        <v>1</v>
      </c>
      <c r="BM25" s="5">
        <f t="shared" si="8"/>
        <v>6</v>
      </c>
      <c r="BN25" s="65">
        <f t="shared" si="9"/>
        <v>0.83333333333333337</v>
      </c>
      <c r="BQ25" s="60">
        <f t="shared" si="10"/>
        <v>-422</v>
      </c>
      <c r="BS25" s="5">
        <v>28</v>
      </c>
      <c r="BT25" s="5">
        <f t="shared" si="11"/>
        <v>27</v>
      </c>
      <c r="BU25" s="5">
        <f t="shared" si="12"/>
        <v>1</v>
      </c>
    </row>
    <row r="26" spans="1:73" ht="13.5" customHeight="1">
      <c r="A26" s="5">
        <v>23</v>
      </c>
      <c r="B26" s="5">
        <v>23</v>
      </c>
      <c r="C26" s="41" t="s">
        <v>1</v>
      </c>
      <c r="D26" s="10"/>
      <c r="E26" s="5">
        <f>IF(AND(AR26&gt;0,$A26&lt;VLOOKUP(AR$1,$C:$L,10,FALSE)),1,IF(AND(AR26&lt;0,$A26&gt;VLOOKUP(AR$1,$C:$L,10,FALSE)),1,0))</f>
        <v>1</v>
      </c>
      <c r="F26" s="5">
        <f>IF(AND(AS26&gt;0,$A26&lt;VLOOKUP(AS$1,$C:$L,10,FALSE)),1,IF(AND(AS26&lt;0,$A26&gt;VLOOKUP(AS$1,$C:$L,10,FALSE)),1,0))</f>
        <v>0</v>
      </c>
      <c r="G26" s="5">
        <f>IF(AND(AT26&gt;0,$A26&lt;VLOOKUP(AT$1,$C:$L,10,FALSE)),1,IF(AND(AT26&lt;0,$A26&gt;VLOOKUP(AT$1,$C:$L,10,FALSE)),1,0))</f>
        <v>0</v>
      </c>
      <c r="H26" s="5">
        <f>IF(AND(AV26&gt;0,$A26&lt;VLOOKUP(AV$1,$C:$L,10,FALSE)),1,IF(AND(AV26&lt;0,$A26&gt;VLOOKUP(AV$1,$C:$L,10,FALSE)),1,0))</f>
        <v>0</v>
      </c>
      <c r="I26" s="5">
        <f>IF(AND(AW26&gt;0,$A26&lt;VLOOKUP(AW$1,$C:$L,10,FALSE)),1,IF(AND(AW26&lt;0,$A26&gt;VLOOKUP(AW$1,$C:$L,10,FALSE)),1,0))</f>
        <v>1</v>
      </c>
      <c r="J26" s="5">
        <f>IF(AND(AX26&gt;0,$A26&lt;VLOOKUP(AX$1,$C:$L,10,FALSE)),1,IF(AND(AX26&lt;0,$A26&gt;VLOOKUP(AX$1,$C:$L,10,FALSE)),1,0))</f>
        <v>1</v>
      </c>
      <c r="K26" s="79" t="s">
        <v>134</v>
      </c>
      <c r="L26" s="5">
        <f t="shared" si="0"/>
        <v>23</v>
      </c>
      <c r="M26" s="2">
        <v>6</v>
      </c>
      <c r="N26" s="11">
        <f t="shared" si="19"/>
        <v>2</v>
      </c>
      <c r="O26" s="2">
        <f t="shared" si="20"/>
        <v>3</v>
      </c>
      <c r="P26" s="2">
        <f t="shared" si="21"/>
        <v>0</v>
      </c>
      <c r="Q26" s="12">
        <f t="shared" si="31"/>
        <v>2</v>
      </c>
      <c r="R26" s="13">
        <f t="shared" si="32"/>
        <v>1</v>
      </c>
      <c r="S26" s="14">
        <f t="shared" si="33"/>
        <v>0</v>
      </c>
      <c r="T26" s="2">
        <f t="shared" si="4"/>
        <v>0</v>
      </c>
      <c r="AN26" s="2" t="str">
        <f>IFERROR(IFERROR(VLOOKUP($C26&amp;" "&amp;AN$1,Results!$F:$H,3,FALSE),-VLOOKUP($C26&amp;" "&amp;AN$1,Results!$G:$H,2,FALSE)),"")</f>
        <v/>
      </c>
      <c r="AO26" s="2" t="str">
        <f>IFERROR(IFERROR(VLOOKUP($C26&amp;" "&amp;AO$1,Results!$F:$H,3,FALSE),-VLOOKUP($C26&amp;" "&amp;AO$1,Results!$G:$H,2,FALSE)),"")</f>
        <v/>
      </c>
      <c r="AP26" s="2" t="str">
        <f>IFERROR(IFERROR(VLOOKUP($C26&amp;" "&amp;AP$1,Results!$F:$H,3,FALSE),-VLOOKUP($C26&amp;" "&amp;AP$1,Results!$G:$H,2,FALSE)),"")</f>
        <v/>
      </c>
      <c r="AQ26" s="2">
        <f>IFERROR(IFERROR(VLOOKUP($C26&amp;" "&amp;AQ$1,Results!$F:$H,3,FALSE),-VLOOKUP($C26&amp;" "&amp;AQ$1,Results!$G:$H,2,FALSE)),"")</f>
        <v>-11</v>
      </c>
      <c r="AR26" s="44">
        <f>IFERROR(IFERROR(VLOOKUP($C26&amp;" "&amp;AR$1,Results!$F:$H,3,FALSE),-VLOOKUP($C26&amp;" "&amp;AR$1,Results!$G:$H,2,FALSE)),"")</f>
        <v>-16</v>
      </c>
      <c r="AS26" s="19">
        <f>IFERROR(IFERROR(VLOOKUP($C26&amp;" "&amp;AS$1,Results!$F:$H,3,FALSE),-VLOOKUP($C26&amp;" "&amp;AS$1,Results!$G:$H,2,FALSE)),"")</f>
        <v>9</v>
      </c>
      <c r="AT26" s="19" t="str">
        <f>IFERROR(IFERROR(VLOOKUP($C26&amp;" "&amp;AT$1,Results!$F:$H,3,FALSE),-VLOOKUP($C26&amp;" "&amp;AT$1,Results!$G:$H,2,FALSE)),"")</f>
        <v/>
      </c>
      <c r="AU26" s="45">
        <f>IFERROR(IFERROR(VLOOKUP($C26&amp;" "&amp;AU$1,Results!$F:$H,3,FALSE),-VLOOKUP($C26&amp;" "&amp;AU$1,Results!$G:$H,2,FALSE)),"")</f>
        <v>6</v>
      </c>
      <c r="AV26" s="2">
        <f>IFERROR(IFERROR(VLOOKUP($C26&amp;" "&amp;AV$1,Results!$F:$H,3,FALSE),-VLOOKUP($C26&amp;" "&amp;AV$1,Results!$G:$H,2,FALSE)),"")</f>
        <v>-16</v>
      </c>
      <c r="AW26" s="2" t="str">
        <f>IFERROR(IFERROR(VLOOKUP($C26&amp;" "&amp;AW$1,Results!$F:$H,3,FALSE),-VLOOKUP($C26&amp;" "&amp;AW$1,Results!$G:$H,2,FALSE)),"")</f>
        <v/>
      </c>
      <c r="AX26" s="2" t="str">
        <f>IFERROR(IFERROR(VLOOKUP($C26&amp;" "&amp;AX$1,Results!$F:$H,3,FALSE),-VLOOKUP($C26&amp;" "&amp;AX$1,Results!$G:$H,2,FALSE)),"")</f>
        <v/>
      </c>
      <c r="AY26" s="2" t="str">
        <f>IFERROR(IFERROR(VLOOKUP($C26&amp;" "&amp;AY$1,Results!$F:$H,3,FALSE),-VLOOKUP($C26&amp;" "&amp;AY$1,Results!$G:$H,2,FALSE)),"")</f>
        <v/>
      </c>
      <c r="BE26" s="2"/>
      <c r="BJ26" s="82">
        <f t="shared" si="5"/>
        <v>-28</v>
      </c>
      <c r="BK26" s="5">
        <f t="shared" si="6"/>
        <v>3</v>
      </c>
      <c r="BL26" s="5">
        <f t="shared" si="7"/>
        <v>3</v>
      </c>
      <c r="BM26" s="5">
        <f t="shared" si="8"/>
        <v>6</v>
      </c>
      <c r="BN26" s="65">
        <f t="shared" si="9"/>
        <v>0.5</v>
      </c>
      <c r="BQ26" s="60">
        <f t="shared" si="10"/>
        <v>-28</v>
      </c>
      <c r="BS26" s="5">
        <v>26</v>
      </c>
      <c r="BT26" s="5">
        <f t="shared" si="11"/>
        <v>23</v>
      </c>
      <c r="BU26" s="5">
        <f t="shared" si="12"/>
        <v>3</v>
      </c>
    </row>
    <row r="27" spans="1:73" ht="13.5" customHeight="1" thickBot="1">
      <c r="A27" s="5">
        <v>26</v>
      </c>
      <c r="B27" s="5">
        <v>24</v>
      </c>
      <c r="C27" s="10" t="s">
        <v>57</v>
      </c>
      <c r="D27" s="41"/>
      <c r="E27" s="5">
        <f>IF(AND(AM27&gt;0,$A27&lt;VLOOKUP(AM$1,$C:$L,10,FALSE)),1,IF(AND(AM27&lt;0,$A27&gt;VLOOKUP(AM$1,$C:$L,10,FALSE)),1,0))</f>
        <v>0</v>
      </c>
      <c r="F27" s="5">
        <f>IF(AND(AN27&gt;0,$A27&lt;VLOOKUP(AN$1,$C:$L,10,FALSE)),1,IF(AND(AN27&lt;0,$A27&gt;VLOOKUP(AN$1,$C:$L,10,FALSE)),1,0))</f>
        <v>0</v>
      </c>
      <c r="G27" s="5">
        <f>IF(AND(AO27&gt;0,$A27&lt;VLOOKUP(AO$1,$C:$L,10,FALSE)),1,IF(AND(AO27&lt;0,$A27&gt;VLOOKUP(AO$1,$C:$L,10,FALSE)),1,0))</f>
        <v>0</v>
      </c>
      <c r="H27" s="5">
        <f>IF(AND(AQ27&gt;0,$A27&lt;VLOOKUP(AQ$1,$C:$L,10,FALSE)),1,IF(AND(AQ27&lt;0,$A27&gt;VLOOKUP(AQ$1,$C:$L,10,FALSE)),1,0))</f>
        <v>0</v>
      </c>
      <c r="I27" s="5">
        <f>IF(AND(AR27&gt;0,$A27&lt;VLOOKUP(AR$1,$C:$L,10,FALSE)),1,IF(AND(AR27&lt;0,$A27&gt;VLOOKUP(AR$1,$C:$L,10,FALSE)),1,0))</f>
        <v>1</v>
      </c>
      <c r="J27" s="5">
        <f>IF(AND(AS27&gt;0,$A27&lt;VLOOKUP(AS$1,$C:$L,10,FALSE)),1,IF(AND(AS27&lt;0,$A27&gt;VLOOKUP(AS$1,$C:$L,10,FALSE)),1,0))</f>
        <v>0</v>
      </c>
      <c r="K27" s="79" t="s">
        <v>134</v>
      </c>
      <c r="L27" s="5">
        <f t="shared" si="0"/>
        <v>24</v>
      </c>
      <c r="M27" s="2">
        <v>6</v>
      </c>
      <c r="N27" s="11">
        <f t="shared" si="19"/>
        <v>2</v>
      </c>
      <c r="O27" s="2">
        <f t="shared" si="20"/>
        <v>3</v>
      </c>
      <c r="P27" s="2">
        <f t="shared" si="21"/>
        <v>0</v>
      </c>
      <c r="Q27" s="12">
        <f t="shared" si="31"/>
        <v>1</v>
      </c>
      <c r="R27" s="13">
        <f t="shared" si="32"/>
        <v>2</v>
      </c>
      <c r="S27" s="14">
        <f t="shared" si="33"/>
        <v>0</v>
      </c>
      <c r="T27" s="2">
        <f t="shared" si="4"/>
        <v>0</v>
      </c>
      <c r="U27" s="2" t="str">
        <f>IFERROR(IFERROR(VLOOKUP($C27&amp;" "&amp;U$1,Results!$F:$H,3,FALSE),-VLOOKUP($C27&amp;" "&amp;U$1,Results!$G:$H,2,FALSE)),"")</f>
        <v/>
      </c>
      <c r="V27" s="2" t="str">
        <f>IFERROR(IFERROR(VLOOKUP($C27&amp;" "&amp;V$1,Results!$F:$H,3,FALSE),-VLOOKUP($C27&amp;" "&amp;V$1,Results!$G:$H,2,FALSE)),"")</f>
        <v/>
      </c>
      <c r="W27" s="2" t="str">
        <f>IFERROR(IFERROR(VLOOKUP($C27&amp;" "&amp;W$1,Results!$F:$H,3,FALSE),-VLOOKUP($C27&amp;" "&amp;W$1,Results!$G:$H,2,FALSE)),"")</f>
        <v/>
      </c>
      <c r="X27" s="2" t="str">
        <f>IFERROR(IFERROR(VLOOKUP($C27&amp;" "&amp;X$1,Results!$F:$H,3,FALSE),-VLOOKUP($C27&amp;" "&amp;X$1,Results!$G:$H,2,FALSE)),"")</f>
        <v/>
      </c>
      <c r="Y27" s="2" t="str">
        <f>IFERROR(IFERROR(VLOOKUP($C27&amp;" "&amp;Y$1,Results!$F:$H,3,FALSE),-VLOOKUP($C27&amp;" "&amp;Y$1,Results!$G:$H,2,FALSE)),"")</f>
        <v/>
      </c>
      <c r="Z27" s="2" t="str">
        <f>IFERROR(IFERROR(VLOOKUP($C27&amp;" "&amp;Z$1,Results!$F:$H,3,FALSE),-VLOOKUP($C27&amp;" "&amp;Z$1,Results!$G:$H,2,FALSE)),"")</f>
        <v/>
      </c>
      <c r="AA27" s="2" t="str">
        <f>IFERROR(IFERROR(VLOOKUP($C27&amp;" "&amp;AA$1,Results!$F:$H,3,FALSE),-VLOOKUP($C27&amp;" "&amp;AA$1,Results!$G:$H,2,FALSE)),"")</f>
        <v/>
      </c>
      <c r="AB27" s="2" t="str">
        <f>IFERROR(IFERROR(VLOOKUP($C27&amp;" "&amp;AB$1,Results!$F:$H,3,FALSE),-VLOOKUP($C27&amp;" "&amp;AB$1,Results!$G:$H,2,FALSE)),"")</f>
        <v/>
      </c>
      <c r="AC27" s="2" t="str">
        <f>IFERROR(IFERROR(VLOOKUP($C27&amp;" "&amp;AC$1,Results!$F:$H,3,FALSE),-VLOOKUP($C27&amp;" "&amp;AC$1,Results!$G:$H,2,FALSE)),"")</f>
        <v/>
      </c>
      <c r="AD27" s="2" t="str">
        <f>IFERROR(IFERROR(VLOOKUP($C27&amp;" "&amp;AD$1,Results!$F:$H,3,FALSE),-VLOOKUP($C27&amp;" "&amp;AD$1,Results!$G:$H,2,FALSE)),"")</f>
        <v/>
      </c>
      <c r="AE27" s="2" t="str">
        <f>IFERROR(IFERROR(VLOOKUP($C27&amp;" "&amp;AE$1,Results!$F:$H,3,FALSE),-VLOOKUP($C27&amp;" "&amp;AE$1,Results!$G:$H,2,FALSE)),"")</f>
        <v/>
      </c>
      <c r="AF27" s="2" t="str">
        <f>IFERROR(IFERROR(VLOOKUP($C27&amp;" "&amp;AF$1,Results!$F:$H,3,FALSE),-VLOOKUP($C27&amp;" "&amp;AF$1,Results!$G:$H,2,FALSE)),"")</f>
        <v/>
      </c>
      <c r="AG27" s="2" t="str">
        <f>IFERROR(IFERROR(VLOOKUP($C27&amp;" "&amp;AG$1,Results!$F:$H,3,FALSE),-VLOOKUP($C27&amp;" "&amp;AG$1,Results!$G:$H,2,FALSE)),"")</f>
        <v/>
      </c>
      <c r="AH27" s="2" t="str">
        <f>IFERROR(IFERROR(VLOOKUP($C27&amp;" "&amp;AH$1,Results!$F:$H,3,FALSE),-VLOOKUP($C27&amp;" "&amp;AH$1,Results!$G:$H,2,FALSE)),"")</f>
        <v/>
      </c>
      <c r="AI27" s="2" t="str">
        <f>IFERROR(IFERROR(VLOOKUP($C27&amp;" "&amp;AI$1,Results!$F:$H,3,FALSE),-VLOOKUP($C27&amp;" "&amp;AI$1,Results!$G:$H,2,FALSE)),"")</f>
        <v/>
      </c>
      <c r="AJ27" s="2" t="str">
        <f>IFERROR(IFERROR(VLOOKUP($C27&amp;" "&amp;AJ$1,Results!$F:$H,3,FALSE),-VLOOKUP($C27&amp;" "&amp;AJ$1,Results!$G:$H,2,FALSE)),"")</f>
        <v/>
      </c>
      <c r="AK27" s="2" t="str">
        <f>IFERROR(IFERROR(VLOOKUP($C27&amp;" "&amp;AK$1,Results!$F:$H,3,FALSE),-VLOOKUP($C27&amp;" "&amp;AK$1,Results!$G:$H,2,FALSE)),"")</f>
        <v/>
      </c>
      <c r="AL27" s="2" t="str">
        <f>IFERROR(IFERROR(VLOOKUP($C27&amp;" "&amp;AL$1,Results!$F:$H,3,FALSE),-VLOOKUP($C27&amp;" "&amp;AL$1,Results!$G:$H,2,FALSE)),"")</f>
        <v/>
      </c>
      <c r="AM27" s="2" t="str">
        <f>IFERROR(IFERROR(VLOOKUP($C27&amp;" "&amp;AM$1,Results!$F:$H,3,FALSE),-VLOOKUP($C27&amp;" "&amp;AM$1,Results!$G:$H,2,FALSE)),"")</f>
        <v/>
      </c>
      <c r="AN27" s="19" t="str">
        <f>IFERROR(IFERROR(VLOOKUP($C27&amp;" "&amp;AN$1,Results!$F:$H,3,FALSE),-VLOOKUP($C27&amp;" "&amp;AN$1,Results!$G:$H,2,FALSE)),"")</f>
        <v/>
      </c>
      <c r="AO27" s="19" t="str">
        <f>IFERROR(IFERROR(VLOOKUP($C27&amp;" "&amp;AO$1,Results!$F:$H,3,FALSE),-VLOOKUP($C27&amp;" "&amp;AO$1,Results!$G:$H,2,FALSE)),"")</f>
        <v/>
      </c>
      <c r="AP27" s="19" t="str">
        <f>IFERROR(IFERROR(VLOOKUP($C27&amp;" "&amp;AP$1,Results!$F:$H,3,FALSE),-VLOOKUP($C27&amp;" "&amp;AP$1,Results!$G:$H,2,FALSE)),"")</f>
        <v/>
      </c>
      <c r="AQ27" s="19" t="str">
        <f>IFERROR(IFERROR(VLOOKUP($C27&amp;" "&amp;AQ$1,Results!$F:$H,3,FALSE),-VLOOKUP($C27&amp;" "&amp;AQ$1,Results!$G:$H,2,FALSE)),"")</f>
        <v/>
      </c>
      <c r="AR27" s="52">
        <f>IFERROR(IFERROR(VLOOKUP($C27&amp;" "&amp;AR$1,Results!$F:$H,3,FALSE),-VLOOKUP($C27&amp;" "&amp;AR$1,Results!$G:$H,2,FALSE)),"")</f>
        <v>-150</v>
      </c>
      <c r="AS27" s="57">
        <f>IFERROR(IFERROR(VLOOKUP($C27&amp;" "&amp;AS$1,Results!$F:$H,3,FALSE),-VLOOKUP($C27&amp;" "&amp;AS$1,Results!$G:$H,2,FALSE)),"")</f>
        <v>34</v>
      </c>
      <c r="AT27" s="57">
        <f>IFERROR(IFERROR(VLOOKUP($C27&amp;" "&amp;AT$1,Results!$F:$H,3,FALSE),-VLOOKUP($C27&amp;" "&amp;AT$1,Results!$G:$H,2,FALSE)),"")</f>
        <v>-6</v>
      </c>
      <c r="AU27" s="58" t="str">
        <f>IFERROR(IFERROR(VLOOKUP($C27&amp;" "&amp;AU$1,Results!$F:$H,3,FALSE),-VLOOKUP($C27&amp;" "&amp;AU$1,Results!$G:$H,2,FALSE)),"")</f>
        <v/>
      </c>
      <c r="AV27" s="2">
        <f>IFERROR(IFERROR(VLOOKUP($C27&amp;" "&amp;AV$1,Results!$F:$H,3,FALSE),-VLOOKUP($C27&amp;" "&amp;AV$1,Results!$G:$H,2,FALSE)),"")</f>
        <v>-141</v>
      </c>
      <c r="AW27" s="2" t="str">
        <f>IFERROR(IFERROR(VLOOKUP($C27&amp;" "&amp;AW$1,Results!$F:$H,3,FALSE),-VLOOKUP($C27&amp;" "&amp;AW$1,Results!$G:$H,2,FALSE)),"")</f>
        <v/>
      </c>
      <c r="AX27" s="2">
        <f>IFERROR(IFERROR(VLOOKUP($C27&amp;" "&amp;AX$1,Results!$F:$H,3,FALSE),-VLOOKUP($C27&amp;" "&amp;AX$1,Results!$G:$H,2,FALSE)),"")</f>
        <v>102</v>
      </c>
      <c r="AY27" s="2" t="str">
        <f>IFERROR(IFERROR(VLOOKUP($C27&amp;" "&amp;AY$1,Results!$F:$H,3,FALSE),-VLOOKUP($C27&amp;" "&amp;AY$1,Results!$G:$H,2,FALSE)),"")</f>
        <v/>
      </c>
      <c r="BE27" s="2"/>
      <c r="BH27" s="15"/>
      <c r="BI27" s="15"/>
      <c r="BJ27" s="82">
        <f t="shared" si="5"/>
        <v>-161</v>
      </c>
      <c r="BK27" s="5">
        <f t="shared" si="6"/>
        <v>1</v>
      </c>
      <c r="BL27" s="5">
        <f t="shared" si="7"/>
        <v>5</v>
      </c>
      <c r="BM27" s="5">
        <f t="shared" si="8"/>
        <v>6</v>
      </c>
      <c r="BN27" s="65">
        <f t="shared" si="9"/>
        <v>0.16666666666666666</v>
      </c>
      <c r="BQ27" s="60">
        <f t="shared" si="10"/>
        <v>-161</v>
      </c>
      <c r="BS27" s="5">
        <v>16</v>
      </c>
      <c r="BT27" s="5">
        <f t="shared" si="11"/>
        <v>26</v>
      </c>
      <c r="BU27" s="5">
        <f t="shared" si="12"/>
        <v>-10</v>
      </c>
    </row>
    <row r="28" spans="1:73" ht="12.75" customHeight="1">
      <c r="A28" s="5">
        <v>21</v>
      </c>
      <c r="B28" s="5">
        <v>25</v>
      </c>
      <c r="C28" s="156" t="s">
        <v>59</v>
      </c>
      <c r="D28" s="41"/>
      <c r="E28" s="5">
        <f>IF(AND(AX28&gt;0,$A28&lt;VLOOKUP(AX$1,$C:$L,10,FALSE)),1,IF(AND(AX28&lt;0,$A28&gt;VLOOKUP(AX$1,$C:$L,10,FALSE)),1,0))</f>
        <v>1</v>
      </c>
      <c r="F28" s="5">
        <f>IF(AND(AY28&gt;0,$A28&lt;VLOOKUP(AY$1,$C:$L,10,FALSE)),1,IF(AND(AY28&lt;0,$A28&gt;VLOOKUP(AY$1,$C:$L,10,FALSE)),1,0))</f>
        <v>1</v>
      </c>
      <c r="G28" s="5">
        <f>IF(AND(AZ28&gt;0,$A28&lt;VLOOKUP(AZ$1,$C:$L,10,FALSE)),1,IF(AND(AZ28&lt;0,$A28&gt;VLOOKUP(AZ$1,$C:$L,10,FALSE)),1,0))</f>
        <v>1</v>
      </c>
      <c r="H28" s="5">
        <f>IF(AND(BB28&gt;0,$A28&lt;VLOOKUP(BB$1,$C:$L,10,FALSE)),1,IF(AND(BB28&lt;0,$A28&gt;VLOOKUP(BB$1,$C:$L,10,FALSE)),1,0))</f>
        <v>1</v>
      </c>
      <c r="I28" s="5">
        <f>IF(AND(BC28&gt;0,$A28&lt;VLOOKUP(BC$1,$C:$L,10,FALSE)),1,IF(AND(BC28&lt;0,$A28&gt;VLOOKUP(BC$1,$C:$L,10,FALSE)),1,0))</f>
        <v>1</v>
      </c>
      <c r="J28" s="5">
        <f>IF(AND(BH28&gt;0,$A28&lt;VLOOKUP(BH$1,$C:$L,10,FALSE)),1,IF(AND(BH28&lt;0,$A28&gt;VLOOKUP(BH$1,$C:$L,10,FALSE)),1,0))</f>
        <v>1</v>
      </c>
      <c r="K28" s="79" t="s">
        <v>134</v>
      </c>
      <c r="L28" s="5">
        <f t="shared" si="0"/>
        <v>25</v>
      </c>
      <c r="M28" s="2">
        <v>7</v>
      </c>
      <c r="N28" s="11">
        <f>COUNTIF($U28:$BI28,"&gt;0")</f>
        <v>5</v>
      </c>
      <c r="O28" s="2">
        <f>COUNTIF($U28:$BI28,"&lt;0")</f>
        <v>0</v>
      </c>
      <c r="P28" s="2">
        <f>COUNTIF($U28:$BI28,"=0")</f>
        <v>0</v>
      </c>
      <c r="Q28" s="12">
        <f>COUNTIF($AV28:$AY28,"&gt;0")</f>
        <v>2</v>
      </c>
      <c r="R28" s="13">
        <f>COUNTIF($AV28:$AY28,"&lt;0")</f>
        <v>0</v>
      </c>
      <c r="S28" s="14">
        <f>COUNTIF($AV28:$AY28,"=0")</f>
        <v>0</v>
      </c>
      <c r="T28" s="2">
        <f t="shared" si="4"/>
        <v>0</v>
      </c>
      <c r="AR28" s="19" t="str">
        <f>IFERROR(IFERROR(VLOOKUP($C28&amp;" "&amp;AR$1,Results!$F:$H,3,FALSE),-VLOOKUP($C28&amp;" "&amp;AR$1,Results!$G:$H,2,FALSE)),"")</f>
        <v/>
      </c>
      <c r="AS28" s="19">
        <f>IFERROR(IFERROR(VLOOKUP($C28&amp;" "&amp;AS$1,Results!$F:$H,3,FALSE),-VLOOKUP($C28&amp;" "&amp;AS$1,Results!$G:$H,2,FALSE)),"")</f>
        <v>59</v>
      </c>
      <c r="AT28" s="19">
        <f>IFERROR(IFERROR(VLOOKUP($C28&amp;" "&amp;AT$1,Results!$F:$H,3,FALSE),-VLOOKUP($C28&amp;" "&amp;AT$1,Results!$G:$H,2,FALSE)),"")</f>
        <v>16</v>
      </c>
      <c r="AU28" s="19">
        <f>IFERROR(IFERROR(VLOOKUP($C28&amp;" "&amp;AU$1,Results!$F:$H,3,FALSE),-VLOOKUP($C28&amp;" "&amp;AU$1,Results!$G:$H,2,FALSE)),"")</f>
        <v>141</v>
      </c>
      <c r="AV28" s="35" t="str">
        <f>IFERROR(IFERROR(VLOOKUP($C28&amp;" "&amp;AV$1,Results!$F:$H,3,FALSE),-VLOOKUP($C28&amp;" "&amp;AV$1,Results!$G:$H,2,FALSE)),"")</f>
        <v/>
      </c>
      <c r="AW28" s="49" t="str">
        <f>IFERROR(IFERROR(VLOOKUP($C28&amp;" "&amp;AW$1,Results!$F:$H,3,FALSE),-VLOOKUP($C28&amp;" "&amp;AW$1,Results!$G:$H,2,FALSE)),"")</f>
        <v/>
      </c>
      <c r="AX28" s="49">
        <f>IFERROR(IFERROR(VLOOKUP($C28&amp;" "&amp;AX$1,Results!$F:$H,3,FALSE),-VLOOKUP($C28&amp;" "&amp;AX$1,Results!$G:$H,2,FALSE)),"")</f>
        <v>204</v>
      </c>
      <c r="AY28" s="55">
        <f>IFERROR(IFERROR(VLOOKUP($C28&amp;" "&amp;AY$1,Results!$F:$H,3,FALSE),-VLOOKUP($C28&amp;" "&amp;AY$1,Results!$G:$H,2,FALSE)),"")</f>
        <v>38</v>
      </c>
      <c r="AZ28" s="19" t="str">
        <f>IFERROR(IFERROR(VLOOKUP($C28&amp;" "&amp;AZ$1,Results!$F:$H,3,FALSE),-VLOOKUP($C28&amp;" "&amp;AZ$1,Results!$G:$H,2,FALSE)),"")</f>
        <v/>
      </c>
      <c r="BA28" s="19" t="str">
        <f>IFERROR(IFERROR(VLOOKUP($C28&amp;" "&amp;BA$1,Results!$F:$H,3,FALSE),-VLOOKUP($C28&amp;" "&amp;BA$1,Results!$G:$H,2,FALSE)),"")</f>
        <v/>
      </c>
      <c r="BB28" s="19" t="str">
        <f>IFERROR(IFERROR(VLOOKUP($C28&amp;" "&amp;BB$1,Results!$F:$H,3,FALSE),-VLOOKUP($C28&amp;" "&amp;BB$1,Results!$G:$H,2,FALSE)),"")</f>
        <v/>
      </c>
      <c r="BC28" s="19" t="str">
        <f>IFERROR(IFERROR(VLOOKUP($C28&amp;" "&amp;BC$1,Results!$F:$H,3,FALSE),-VLOOKUP($C28&amp;" "&amp;BC$1,Results!$G:$H,2,FALSE)),"")</f>
        <v/>
      </c>
      <c r="BD28" s="2" t="str">
        <f>IFERROR(IFERROR(VLOOKUP($C28&amp;" "&amp;BD$1,Results!$F:$H,3,FALSE),-VLOOKUP($C28&amp;" "&amp;BD$1,Results!$G:$H,2,FALSE)),"")</f>
        <v/>
      </c>
      <c r="BE28" s="2" t="str">
        <f>IFERROR(IFERROR(VLOOKUP($C28&amp;" "&amp;BE$1,Results!$F:$H,3,FALSE),-VLOOKUP($C28&amp;" "&amp;BE$1,Results!$G:$H,2,FALSE)),"")</f>
        <v/>
      </c>
      <c r="BF28" s="2" t="str">
        <f>IFERROR(IFERROR(VLOOKUP($C28&amp;" "&amp;BF$1,Results!$F:$H,3,FALSE),-VLOOKUP($C28&amp;" "&amp;BF$1,Results!$G:$H,2,FALSE)),"")</f>
        <v/>
      </c>
      <c r="BG28" s="2" t="str">
        <f>IFERROR(IFERROR(VLOOKUP($C28&amp;" "&amp;BG$1,Results!$F:$H,3,FALSE),-VLOOKUP($C28&amp;" "&amp;BG$1,Results!$G:$H,2,FALSE)),"")</f>
        <v/>
      </c>
      <c r="BH28" s="2" t="str">
        <f>IFERROR(IFERROR(VLOOKUP($C28&amp;" "&amp;BH$1,Results!$F:$H,3,FALSE),-VLOOKUP($C28&amp;" "&amp;BH$1,Results!$G:$H,2,FALSE)),"")</f>
        <v/>
      </c>
      <c r="BI28" s="2" t="str">
        <f>IFERROR(IFERROR(VLOOKUP($C28&amp;" "&amp;BI$1,Results!$F:$H,3,FALSE),-VLOOKUP($C28&amp;" "&amp;BI$1,Results!$G:$H,2,FALSE)),"")</f>
        <v/>
      </c>
      <c r="BJ28" s="82">
        <f t="shared" si="5"/>
        <v>458</v>
      </c>
      <c r="BK28" s="5">
        <f t="shared" si="6"/>
        <v>6</v>
      </c>
      <c r="BL28" s="5">
        <f t="shared" si="7"/>
        <v>0</v>
      </c>
      <c r="BM28" s="5">
        <f t="shared" si="8"/>
        <v>6</v>
      </c>
      <c r="BN28" s="65">
        <f t="shared" si="9"/>
        <v>1</v>
      </c>
      <c r="BQ28" s="60">
        <f t="shared" si="10"/>
        <v>458</v>
      </c>
      <c r="BS28" s="5">
        <v>24</v>
      </c>
      <c r="BT28" s="5">
        <f t="shared" si="11"/>
        <v>21</v>
      </c>
      <c r="BU28" s="5">
        <f t="shared" si="12"/>
        <v>3</v>
      </c>
    </row>
    <row r="29" spans="1:73" ht="13.5" customHeight="1">
      <c r="A29" s="5">
        <v>38</v>
      </c>
      <c r="B29" s="5">
        <v>26</v>
      </c>
      <c r="C29" s="41" t="s">
        <v>85</v>
      </c>
      <c r="D29" s="41"/>
      <c r="E29" s="5">
        <f>IF(AND(AW29&gt;0,$A29&lt;VLOOKUP(AW$1,$C:$L,10,FALSE)),1,IF(AND(AW29&lt;0,$A29&gt;VLOOKUP(AW$1,$C:$L,10,FALSE)),1,0))</f>
        <v>0</v>
      </c>
      <c r="F29" s="5">
        <f>IF(AND(AX29&gt;0,$A29&lt;VLOOKUP(AX$1,$C:$L,10,FALSE)),1,IF(AND(AX29&lt;0,$A29&gt;VLOOKUP(AX$1,$C:$L,10,FALSE)),1,0))</f>
        <v>0</v>
      </c>
      <c r="G29" s="5">
        <f>IF(AND(AY29&gt;0,$A29&lt;VLOOKUP(AY$1,$C:$L,10,FALSE)),1,IF(AND(AY29&lt;0,$A29&gt;VLOOKUP(AY$1,$C:$L,10,FALSE)),1,0))</f>
        <v>0</v>
      </c>
      <c r="H29" s="5">
        <f>IF(AND(BA29&gt;0,$A29&lt;VLOOKUP(BA$1,$C:$L,10,FALSE)),1,IF(AND(BA29&lt;0,$A29&gt;VLOOKUP(BA$1,$C:$L,10,FALSE)),1,0))</f>
        <v>0</v>
      </c>
      <c r="I29" s="5">
        <f>IF(AND(BB29&gt;0,$A29&lt;VLOOKUP(BB$1,$C:$L,10,FALSE)),1,IF(AND(BB29&lt;0,$A29&gt;VLOOKUP(BB$1,$C:$L,10,FALSE)),1,0))</f>
        <v>0</v>
      </c>
      <c r="J29" s="5">
        <f>IF(AND(BC29&gt;0,$A29&lt;VLOOKUP(BC$1,$C:$L,10,FALSE)),1,IF(AND(BC29&lt;0,$A29&gt;VLOOKUP(BC$1,$C:$L,10,FALSE)),1,0))</f>
        <v>0</v>
      </c>
      <c r="K29" s="79" t="s">
        <v>134</v>
      </c>
      <c r="L29" s="5">
        <f t="shared" si="0"/>
        <v>26</v>
      </c>
      <c r="M29" s="2">
        <v>7</v>
      </c>
      <c r="N29" s="11">
        <f>COUNTIF($U29:$BI29,"&gt;0")</f>
        <v>0</v>
      </c>
      <c r="O29" s="2">
        <f>COUNTIF($U29:$BI29,"&lt;0")</f>
        <v>0</v>
      </c>
      <c r="P29" s="2">
        <f>COUNTIF($U29:$BI29,"=0")</f>
        <v>0</v>
      </c>
      <c r="Q29" s="12">
        <f t="shared" ref="Q29:Q31" si="34">COUNTIF($AV29:$AY29,"&gt;0")</f>
        <v>0</v>
      </c>
      <c r="R29" s="13">
        <f t="shared" ref="R29:R31" si="35">COUNTIF($AV29:$AY29,"&lt;0")</f>
        <v>0</v>
      </c>
      <c r="S29" s="14">
        <f t="shared" ref="S29:S31" si="36">COUNTIF($AV29:$AY29,"=0")</f>
        <v>0</v>
      </c>
      <c r="T29" s="2">
        <f t="shared" si="4"/>
        <v>0</v>
      </c>
      <c r="AV29" s="51" t="str">
        <f>IFERROR(IFERROR(VLOOKUP($C29&amp;" "&amp;AV$1,Results!$F:$H,3,FALSE),-VLOOKUP($C29&amp;" "&amp;AV$1,Results!$G:$H,2,FALSE)),"")</f>
        <v/>
      </c>
      <c r="AW29" s="2" t="str">
        <f>IFERROR(IFERROR(VLOOKUP($C29&amp;" "&amp;AW$1,Results!$F:$H,3,FALSE),-VLOOKUP($C29&amp;" "&amp;AW$1,Results!$G:$H,2,FALSE)),"")</f>
        <v/>
      </c>
      <c r="AX29" s="2" t="str">
        <f>IFERROR(IFERROR(VLOOKUP($C29&amp;" "&amp;AX$1,Results!$F:$H,3,FALSE),-VLOOKUP($C29&amp;" "&amp;AX$1,Results!$G:$H,2,FALSE)),"")</f>
        <v/>
      </c>
      <c r="AY29" s="56" t="str">
        <f>IFERROR(IFERROR(VLOOKUP($C29&amp;" "&amp;AY$1,Results!$F:$H,3,FALSE),-VLOOKUP($C29&amp;" "&amp;AY$1,Results!$G:$H,2,FALSE)),"")</f>
        <v/>
      </c>
      <c r="AZ29" s="19" t="str">
        <f>IFERROR(IFERROR(VLOOKUP($C29&amp;" "&amp;AZ$1,Results!$F:$H,3,FALSE),-VLOOKUP($C29&amp;" "&amp;AZ$1,Results!$G:$H,2,FALSE)),"")</f>
        <v/>
      </c>
      <c r="BA29" s="19" t="str">
        <f>IFERROR(IFERROR(VLOOKUP($C29&amp;" "&amp;BA$1,Results!$F:$H,3,FALSE),-VLOOKUP($C29&amp;" "&amp;BA$1,Results!$G:$H,2,FALSE)),"")</f>
        <v/>
      </c>
      <c r="BB29" s="19" t="str">
        <f>IFERROR(IFERROR(VLOOKUP($C29&amp;" "&amp;BB$1,Results!$F:$H,3,FALSE),-VLOOKUP($C29&amp;" "&amp;BB$1,Results!$G:$H,2,FALSE)),"")</f>
        <v/>
      </c>
      <c r="BC29" s="19" t="str">
        <f>IFERROR(IFERROR(VLOOKUP($C29&amp;" "&amp;BC$1,Results!$F:$H,3,FALSE),-VLOOKUP($C29&amp;" "&amp;BC$1,Results!$G:$H,2,FALSE)),"")</f>
        <v/>
      </c>
      <c r="BD29" s="2" t="str">
        <f>IFERROR(IFERROR(VLOOKUP($C29&amp;" "&amp;BD$1,Results!$F:$H,3,FALSE),-VLOOKUP($C29&amp;" "&amp;BD$1,Results!$G:$H,2,FALSE)),"")</f>
        <v/>
      </c>
      <c r="BE29" s="2" t="str">
        <f>IFERROR(IFERROR(VLOOKUP($C29&amp;" "&amp;BE$1,Results!$F:$H,3,FALSE),-VLOOKUP($C29&amp;" "&amp;BE$1,Results!$G:$H,2,FALSE)),"")</f>
        <v/>
      </c>
      <c r="BF29" s="2" t="str">
        <f>IFERROR(IFERROR(VLOOKUP($C29&amp;" "&amp;BF$1,Results!$F:$H,3,FALSE),-VLOOKUP($C29&amp;" "&amp;BF$1,Results!$G:$H,2,FALSE)),"")</f>
        <v/>
      </c>
      <c r="BG29" s="2" t="str">
        <f>IFERROR(IFERROR(VLOOKUP($C29&amp;" "&amp;BG$1,Results!$F:$H,3,FALSE),-VLOOKUP($C29&amp;" "&amp;BG$1,Results!$G:$H,2,FALSE)),"")</f>
        <v/>
      </c>
      <c r="BH29" s="2" t="str">
        <f>IFERROR(IFERROR(VLOOKUP($C29&amp;" "&amp;BH$1,Results!$F:$H,3,FALSE),-VLOOKUP($C29&amp;" "&amp;BH$1,Results!$G:$H,2,FALSE)),"")</f>
        <v/>
      </c>
      <c r="BI29" s="2" t="str">
        <f>IFERROR(IFERROR(VLOOKUP($C29&amp;" "&amp;BI$1,Results!$F:$H,3,FALSE),-VLOOKUP($C29&amp;" "&amp;BI$1,Results!$G:$H,2,FALSE)),"")</f>
        <v/>
      </c>
      <c r="BJ29" s="82">
        <f t="shared" si="5"/>
        <v>0</v>
      </c>
      <c r="BK29" s="5">
        <f t="shared" si="6"/>
        <v>0</v>
      </c>
      <c r="BL29" s="5">
        <f t="shared" si="7"/>
        <v>6</v>
      </c>
      <c r="BM29" s="5">
        <f t="shared" si="8"/>
        <v>6</v>
      </c>
      <c r="BN29" s="65">
        <f t="shared" si="9"/>
        <v>0</v>
      </c>
      <c r="BQ29" s="60">
        <f t="shared" si="10"/>
        <v>0</v>
      </c>
      <c r="BS29" s="5">
        <v>29</v>
      </c>
      <c r="BT29" s="5">
        <f t="shared" si="11"/>
        <v>38</v>
      </c>
      <c r="BU29" s="5">
        <f t="shared" si="12"/>
        <v>-9</v>
      </c>
    </row>
    <row r="30" spans="1:73">
      <c r="A30" s="5">
        <v>32</v>
      </c>
      <c r="B30" s="5">
        <v>27</v>
      </c>
      <c r="C30" s="157" t="s">
        <v>62</v>
      </c>
      <c r="D30" s="10"/>
      <c r="E30" s="5">
        <f>IF(AND(AP30&gt;0,$A30&lt;VLOOKUP(AP$1,$C:$L,10,FALSE)),1,IF(AND(AP30&lt;0,$A30&gt;VLOOKUP(AP$1,$C:$L,10,FALSE)),1,0))</f>
        <v>0</v>
      </c>
      <c r="F30" s="5">
        <f>IF(AND(AQ30&gt;0,$A30&lt;VLOOKUP(AQ$1,$C:$L,10,FALSE)),1,IF(AND(AQ30&lt;0,$A30&gt;VLOOKUP(AQ$1,$C:$L,10,FALSE)),1,0))</f>
        <v>0</v>
      </c>
      <c r="G30" s="5">
        <f>IF(AND(AR30&gt;0,$A30&lt;VLOOKUP(AR$1,$C:$L,10,FALSE)),1,IF(AND(AR30&lt;0,$A30&gt;VLOOKUP(AR$1,$C:$L,10,FALSE)),1,0))</f>
        <v>0</v>
      </c>
      <c r="H30" s="5">
        <f>IF(AND(AT30&gt;0,$A30&lt;VLOOKUP(AT$1,$C:$L,10,FALSE)),1,IF(AND(AT30&lt;0,$A30&gt;VLOOKUP(AT$1,$C:$L,10,FALSE)),1,0))</f>
        <v>0</v>
      </c>
      <c r="I30" s="5">
        <f>IF(AND(AU30&gt;0,$A30&lt;VLOOKUP(AU$1,$C:$L,10,FALSE)),1,IF(AND(AU30&lt;0,$A30&gt;VLOOKUP(AU$1,$C:$L,10,FALSE)),1,0))</f>
        <v>1</v>
      </c>
      <c r="J30" s="5">
        <f>IF(AND(AV30&gt;0,$A30&lt;VLOOKUP(AV$1,$C:$L,10,FALSE)),1,IF(AND(AV30&lt;0,$A30&gt;VLOOKUP(AV$1,$C:$L,10,FALSE)),1,0))</f>
        <v>1</v>
      </c>
      <c r="K30" s="79" t="s">
        <v>134</v>
      </c>
      <c r="L30" s="5">
        <f t="shared" si="0"/>
        <v>27</v>
      </c>
      <c r="M30" s="2">
        <v>7</v>
      </c>
      <c r="N30" s="11">
        <f>COUNTIF($U30:$BI30,"&gt;0")</f>
        <v>0</v>
      </c>
      <c r="O30" s="2">
        <f>COUNTIF($U30:$BI30,"&lt;0")</f>
        <v>5</v>
      </c>
      <c r="P30" s="2">
        <f>COUNTIF($U30:$BI30,"=0")</f>
        <v>0</v>
      </c>
      <c r="Q30" s="12">
        <f t="shared" si="34"/>
        <v>0</v>
      </c>
      <c r="R30" s="13">
        <f t="shared" si="35"/>
        <v>2</v>
      </c>
      <c r="S30" s="14">
        <f t="shared" si="36"/>
        <v>0</v>
      </c>
      <c r="T30" s="2">
        <f t="shared" si="4"/>
        <v>0</v>
      </c>
      <c r="U30" s="2" t="str">
        <f>IFERROR(IFERROR(VLOOKUP($C30&amp;" "&amp;U$1,Results!$F:$H,3,FALSE),-VLOOKUP($C30&amp;" "&amp;U$1,Results!$G:$H,2,FALSE)),"")</f>
        <v/>
      </c>
      <c r="V30" s="2" t="str">
        <f>IFERROR(IFERROR(VLOOKUP($C30&amp;" "&amp;V$1,Results!$F:$H,3,FALSE),-VLOOKUP($C30&amp;" "&amp;V$1,Results!$G:$H,2,FALSE)),"")</f>
        <v/>
      </c>
      <c r="W30" s="2" t="str">
        <f>IFERROR(IFERROR(VLOOKUP($C30&amp;" "&amp;W$1,Results!$F:$H,3,FALSE),-VLOOKUP($C30&amp;" "&amp;W$1,Results!$G:$H,2,FALSE)),"")</f>
        <v/>
      </c>
      <c r="X30" s="2" t="str">
        <f>IFERROR(IFERROR(VLOOKUP($C30&amp;" "&amp;X$1,Results!$F:$H,3,FALSE),-VLOOKUP($C30&amp;" "&amp;X$1,Results!$G:$H,2,FALSE)),"")</f>
        <v/>
      </c>
      <c r="Y30" s="2" t="str">
        <f>IFERROR(IFERROR(VLOOKUP($C30&amp;" "&amp;Y$1,Results!$F:$H,3,FALSE),-VLOOKUP($C30&amp;" "&amp;Y$1,Results!$G:$H,2,FALSE)),"")</f>
        <v/>
      </c>
      <c r="Z30" s="2" t="str">
        <f>IFERROR(IFERROR(VLOOKUP($C30&amp;" "&amp;Z$1,Results!$F:$H,3,FALSE),-VLOOKUP($C30&amp;" "&amp;Z$1,Results!$G:$H,2,FALSE)),"")</f>
        <v/>
      </c>
      <c r="AA30" s="2" t="str">
        <f>IFERROR(IFERROR(VLOOKUP($C30&amp;" "&amp;AA$1,Results!$F:$H,3,FALSE),-VLOOKUP($C30&amp;" "&amp;AA$1,Results!$G:$H,2,FALSE)),"")</f>
        <v/>
      </c>
      <c r="AB30" s="2" t="str">
        <f>IFERROR(IFERROR(VLOOKUP($C30&amp;" "&amp;AB$1,Results!$F:$H,3,FALSE),-VLOOKUP($C30&amp;" "&amp;AB$1,Results!$G:$H,2,FALSE)),"")</f>
        <v/>
      </c>
      <c r="AC30" s="2" t="str">
        <f>IFERROR(IFERROR(VLOOKUP($C30&amp;" "&amp;AC$1,Results!$F:$H,3,FALSE),-VLOOKUP($C30&amp;" "&amp;AC$1,Results!$G:$H,2,FALSE)),"")</f>
        <v/>
      </c>
      <c r="AD30" s="2" t="str">
        <f>IFERROR(IFERROR(VLOOKUP($C30&amp;" "&amp;AD$1,Results!$F:$H,3,FALSE),-VLOOKUP($C30&amp;" "&amp;AD$1,Results!$G:$H,2,FALSE)),"")</f>
        <v/>
      </c>
      <c r="AE30" s="2" t="str">
        <f>IFERROR(IFERROR(VLOOKUP($C30&amp;" "&amp;AE$1,Results!$F:$H,3,FALSE),-VLOOKUP($C30&amp;" "&amp;AE$1,Results!$G:$H,2,FALSE)),"")</f>
        <v/>
      </c>
      <c r="AF30" s="2" t="str">
        <f>IFERROR(IFERROR(VLOOKUP($C30&amp;" "&amp;AF$1,Results!$F:$H,3,FALSE),-VLOOKUP($C30&amp;" "&amp;AF$1,Results!$G:$H,2,FALSE)),"")</f>
        <v/>
      </c>
      <c r="AG30" s="2" t="str">
        <f>IFERROR(IFERROR(VLOOKUP($C30&amp;" "&amp;AG$1,Results!$F:$H,3,FALSE),-VLOOKUP($C30&amp;" "&amp;AG$1,Results!$G:$H,2,FALSE)),"")</f>
        <v/>
      </c>
      <c r="AH30" s="2" t="str">
        <f>IFERROR(IFERROR(VLOOKUP($C30&amp;" "&amp;AH$1,Results!$F:$H,3,FALSE),-VLOOKUP($C30&amp;" "&amp;AH$1,Results!$G:$H,2,FALSE)),"")</f>
        <v/>
      </c>
      <c r="AI30" s="2" t="str">
        <f>IFERROR(IFERROR(VLOOKUP($C30&amp;" "&amp;AI$1,Results!$F:$H,3,FALSE),-VLOOKUP($C30&amp;" "&amp;AI$1,Results!$G:$H,2,FALSE)),"")</f>
        <v/>
      </c>
      <c r="AJ30" s="2" t="str">
        <f>IFERROR(IFERROR(VLOOKUP($C30&amp;" "&amp;AJ$1,Results!$F:$H,3,FALSE),-VLOOKUP($C30&amp;" "&amp;AJ$1,Results!$G:$H,2,FALSE)),"")</f>
        <v/>
      </c>
      <c r="AK30" s="2" t="str">
        <f>IFERROR(IFERROR(VLOOKUP($C30&amp;" "&amp;AK$1,Results!$F:$H,3,FALSE),-VLOOKUP($C30&amp;" "&amp;AK$1,Results!$G:$H,2,FALSE)),"")</f>
        <v/>
      </c>
      <c r="AL30" s="2" t="str">
        <f>IFERROR(IFERROR(VLOOKUP($C30&amp;" "&amp;AL$1,Results!$F:$H,3,FALSE),-VLOOKUP($C30&amp;" "&amp;AL$1,Results!$G:$H,2,FALSE)),"")</f>
        <v/>
      </c>
      <c r="AM30" s="2" t="str">
        <f>IFERROR(IFERROR(VLOOKUP($C30&amp;" "&amp;AM$1,Results!$F:$H,3,FALSE),-VLOOKUP($C30&amp;" "&amp;AM$1,Results!$G:$H,2,FALSE)),"")</f>
        <v/>
      </c>
      <c r="AN30" s="2" t="str">
        <f>IFERROR(IFERROR(VLOOKUP($C30&amp;" "&amp;AN$1,Results!$F:$H,3,FALSE),-VLOOKUP($C30&amp;" "&amp;AN$1,Results!$G:$H,2,FALSE)),"")</f>
        <v/>
      </c>
      <c r="AO30" s="2" t="str">
        <f>IFERROR(IFERROR(VLOOKUP($C30&amp;" "&amp;AO$1,Results!$F:$H,3,FALSE),-VLOOKUP($C30&amp;" "&amp;AO$1,Results!$G:$H,2,FALSE)),"")</f>
        <v/>
      </c>
      <c r="AP30" s="2" t="str">
        <f>IFERROR(IFERROR(VLOOKUP($C30&amp;" "&amp;AP$1,Results!$F:$H,3,FALSE),-VLOOKUP($C30&amp;" "&amp;AP$1,Results!$G:$H,2,FALSE)),"")</f>
        <v/>
      </c>
      <c r="AQ30" s="2" t="str">
        <f>IFERROR(IFERROR(VLOOKUP($C30&amp;" "&amp;AQ$1,Results!$F:$H,3,FALSE),-VLOOKUP($C30&amp;" "&amp;AQ$1,Results!$G:$H,2,FALSE)),"")</f>
        <v/>
      </c>
      <c r="AR30" s="19" t="str">
        <f>IFERROR(IFERROR(VLOOKUP($C30&amp;" "&amp;AR$1,Results!$F:$H,3,FALSE),-VLOOKUP($C30&amp;" "&amp;AR$1,Results!$G:$H,2,FALSE)),"")</f>
        <v/>
      </c>
      <c r="AS30" s="19" t="str">
        <f>IFERROR(IFERROR(VLOOKUP($C30&amp;" "&amp;AS$1,Results!$F:$H,3,FALSE),-VLOOKUP($C30&amp;" "&amp;AS$1,Results!$G:$H,2,FALSE)),"")</f>
        <v/>
      </c>
      <c r="AT30" s="19" t="str">
        <f>IFERROR(IFERROR(VLOOKUP($C30&amp;" "&amp;AT$1,Results!$F:$H,3,FALSE),-VLOOKUP($C30&amp;" "&amp;AT$1,Results!$G:$H,2,FALSE)),"")</f>
        <v/>
      </c>
      <c r="AU30" s="19">
        <f>IFERROR(IFERROR(VLOOKUP($C30&amp;" "&amp;AU$1,Results!$F:$H,3,FALSE),-VLOOKUP($C30&amp;" "&amp;AU$1,Results!$G:$H,2,FALSE)),"")</f>
        <v>-102</v>
      </c>
      <c r="AV30" s="51">
        <f>IFERROR(IFERROR(VLOOKUP($C30&amp;" "&amp;AV$1,Results!$F:$H,3,FALSE),-VLOOKUP($C30&amp;" "&amp;AV$1,Results!$G:$H,2,FALSE)),"")</f>
        <v>-204</v>
      </c>
      <c r="AW30" s="2" t="str">
        <f>IFERROR(IFERROR(VLOOKUP($C30&amp;" "&amp;AW$1,Results!$F:$H,3,FALSE),-VLOOKUP($C30&amp;" "&amp;AW$1,Results!$G:$H,2,FALSE)),"")</f>
        <v/>
      </c>
      <c r="AX30" s="2" t="str">
        <f>IFERROR(IFERROR(VLOOKUP($C30&amp;" "&amp;AX$1,Results!$F:$H,3,FALSE),-VLOOKUP($C30&amp;" "&amp;AX$1,Results!$G:$H,2,FALSE)),"")</f>
        <v/>
      </c>
      <c r="AY30" s="56">
        <f>IFERROR(IFERROR(VLOOKUP($C30&amp;" "&amp;AY$1,Results!$F:$H,3,FALSE),-VLOOKUP($C30&amp;" "&amp;AY$1,Results!$G:$H,2,FALSE)),"")</f>
        <v>-127</v>
      </c>
      <c r="AZ30" s="2">
        <f>IFERROR(IFERROR(VLOOKUP($C30&amp;" "&amp;AZ$1,Results!$F:$H,3,FALSE),-VLOOKUP($C30&amp;" "&amp;AZ$1,Results!$G:$H,2,FALSE)),"")</f>
        <v>-172</v>
      </c>
      <c r="BA30" s="2">
        <f>IFERROR(IFERROR(VLOOKUP($C30&amp;" "&amp;BA$1,Results!$F:$H,3,FALSE),-VLOOKUP($C30&amp;" "&amp;BA$1,Results!$G:$H,2,FALSE)),"")</f>
        <v>-234</v>
      </c>
      <c r="BE30" s="2"/>
      <c r="BJ30" s="82">
        <f t="shared" si="5"/>
        <v>-839</v>
      </c>
      <c r="BK30" s="5">
        <f t="shared" si="6"/>
        <v>2</v>
      </c>
      <c r="BL30" s="5">
        <f t="shared" si="7"/>
        <v>4</v>
      </c>
      <c r="BM30" s="5">
        <f t="shared" si="8"/>
        <v>6</v>
      </c>
      <c r="BN30" s="65">
        <f t="shared" si="9"/>
        <v>0.33333333333333331</v>
      </c>
      <c r="BQ30" s="60">
        <f t="shared" si="10"/>
        <v>-839</v>
      </c>
      <c r="BS30" s="5">
        <v>23</v>
      </c>
      <c r="BT30" s="5">
        <f t="shared" si="11"/>
        <v>32</v>
      </c>
      <c r="BU30" s="5">
        <f t="shared" si="12"/>
        <v>-9</v>
      </c>
    </row>
    <row r="31" spans="1:73" ht="13.5" thickBot="1">
      <c r="A31" s="5">
        <v>25</v>
      </c>
      <c r="B31" s="5">
        <v>28</v>
      </c>
      <c r="C31" s="41" t="s">
        <v>0</v>
      </c>
      <c r="D31" s="41"/>
      <c r="E31" s="5">
        <f>IF(AND(AU31&gt;0,$A31&lt;VLOOKUP(AU$1,$C:$L,10,FALSE)),1,IF(AND(AU31&lt;0,$A31&gt;VLOOKUP(AU$1,$C:$L,10,FALSE)),1,0))</f>
        <v>0</v>
      </c>
      <c r="F31" s="5">
        <f>IF(AND(AV31&gt;0,$A31&lt;VLOOKUP(AV$1,$C:$L,10,FALSE)),1,IF(AND(AV31&lt;0,$A31&gt;VLOOKUP(AV$1,$C:$L,10,FALSE)),1,0))</f>
        <v>0</v>
      </c>
      <c r="G31" s="5">
        <f>IF(AND(AW31&gt;0,$A31&lt;VLOOKUP(AW$1,$C:$L,10,FALSE)),1,IF(AND(AW31&lt;0,$A31&gt;VLOOKUP(AW$1,$C:$L,10,FALSE)),1,0))</f>
        <v>1</v>
      </c>
      <c r="H31" s="5">
        <f>IF(AND(AY31&gt;0,$A31&lt;VLOOKUP(AY$1,$C:$L,10,FALSE)),1,IF(AND(AY31&lt;0,$A31&gt;VLOOKUP(AY$1,$C:$L,10,FALSE)),1,0))</f>
        <v>1</v>
      </c>
      <c r="I31" s="5">
        <f>IF(AND(AZ31&gt;0,$A31&lt;VLOOKUP(AZ$1,$C:$L,10,FALSE)),1,IF(AND(AZ31&lt;0,$A31&gt;VLOOKUP(AZ$1,$C:$L,10,FALSE)),1,0))</f>
        <v>1</v>
      </c>
      <c r="J31" s="5">
        <f>IF(AND(BA31&gt;0,$A31&lt;VLOOKUP(BA$1,$C:$L,10,FALSE)),1,IF(AND(BA31&lt;0,$A31&gt;VLOOKUP(BA$1,$C:$L,10,FALSE)),1,0))</f>
        <v>0</v>
      </c>
      <c r="K31" s="79" t="s">
        <v>134</v>
      </c>
      <c r="L31" s="5">
        <f t="shared" si="0"/>
        <v>28</v>
      </c>
      <c r="M31" s="2">
        <v>7</v>
      </c>
      <c r="N31" s="11">
        <f>COUNTIF($U31:$BI31,"&gt;0")</f>
        <v>3</v>
      </c>
      <c r="O31" s="2">
        <f>COUNTIF($U31:$BI31,"&lt;0")</f>
        <v>2</v>
      </c>
      <c r="P31" s="2">
        <f>COUNTIF($U31:$BI31,"=0")</f>
        <v>0</v>
      </c>
      <c r="Q31" s="12">
        <f t="shared" si="34"/>
        <v>1</v>
      </c>
      <c r="R31" s="13">
        <f t="shared" si="35"/>
        <v>1</v>
      </c>
      <c r="S31" s="14">
        <f t="shared" si="36"/>
        <v>0</v>
      </c>
      <c r="T31" s="2">
        <f t="shared" si="4"/>
        <v>0</v>
      </c>
      <c r="AN31" s="2" t="str">
        <f>IFERROR(IFERROR(VLOOKUP($C31&amp;" "&amp;AN$1,Results!$F:$H,3,FALSE),-VLOOKUP($C31&amp;" "&amp;AN$1,Results!$G:$H,2,FALSE)),"")</f>
        <v/>
      </c>
      <c r="AO31" s="2" t="str">
        <f>IFERROR(IFERROR(VLOOKUP($C31&amp;" "&amp;AO$1,Results!$F:$H,3,FALSE),-VLOOKUP($C31&amp;" "&amp;AO$1,Results!$G:$H,2,FALSE)),"")</f>
        <v/>
      </c>
      <c r="AP31" s="2" t="str">
        <f>IFERROR(IFERROR(VLOOKUP($C31&amp;" "&amp;AP$1,Results!$F:$H,3,FALSE),-VLOOKUP($C31&amp;" "&amp;AP$1,Results!$G:$H,2,FALSE)),"")</f>
        <v/>
      </c>
      <c r="AQ31" s="2" t="str">
        <f>IFERROR(IFERROR(VLOOKUP($C31&amp;" "&amp;AQ$1,Results!$F:$H,3,FALSE),-VLOOKUP($C31&amp;" "&amp;AQ$1,Results!$G:$H,2,FALSE)),"")</f>
        <v/>
      </c>
      <c r="AR31" s="2" t="str">
        <f>IFERROR(IFERROR(VLOOKUP($C31&amp;" "&amp;AR$1,Results!$F:$H,3,FALSE),-VLOOKUP($C31&amp;" "&amp;AR$1,Results!$G:$H,2,FALSE)),"")</f>
        <v/>
      </c>
      <c r="AS31" s="2" t="str">
        <f>IFERROR(IFERROR(VLOOKUP($C31&amp;" "&amp;AS$1,Results!$F:$H,3,FALSE),-VLOOKUP($C31&amp;" "&amp;AS$1,Results!$G:$H,2,FALSE)),"")</f>
        <v/>
      </c>
      <c r="AT31" s="2" t="str">
        <f>IFERROR(IFERROR(VLOOKUP($C31&amp;" "&amp;AT$1,Results!$F:$H,3,FALSE),-VLOOKUP($C31&amp;" "&amp;AT$1,Results!$G:$H,2,FALSE)),"")</f>
        <v/>
      </c>
      <c r="AU31" s="2" t="str">
        <f>IFERROR(IFERROR(VLOOKUP($C31&amp;" "&amp;AU$1,Results!$F:$H,3,FALSE),-VLOOKUP($C31&amp;" "&amp;AU$1,Results!$G:$H,2,FALSE)),"")</f>
        <v/>
      </c>
      <c r="AV31" s="46">
        <f>IFERROR(IFERROR(VLOOKUP($C31&amp;" "&amp;AV$1,Results!$F:$H,3,FALSE),-VLOOKUP($C31&amp;" "&amp;AV$1,Results!$G:$H,2,FALSE)),"")</f>
        <v>-38</v>
      </c>
      <c r="AW31" s="47" t="str">
        <f>IFERROR(IFERROR(VLOOKUP($C31&amp;" "&amp;AW$1,Results!$F:$H,3,FALSE),-VLOOKUP($C31&amp;" "&amp;AW$1,Results!$G:$H,2,FALSE)),"")</f>
        <v/>
      </c>
      <c r="AX31" s="47">
        <f>IFERROR(IFERROR(VLOOKUP($C31&amp;" "&amp;AX$1,Results!$F:$H,3,FALSE),-VLOOKUP($C31&amp;" "&amp;AX$1,Results!$G:$H,2,FALSE)),"")</f>
        <v>127</v>
      </c>
      <c r="AY31" s="20" t="str">
        <f>IFERROR(IFERROR(VLOOKUP($C31&amp;" "&amp;AY$1,Results!$F:$H,3,FALSE),-VLOOKUP($C31&amp;" "&amp;AY$1,Results!$G:$H,2,FALSE)),"")</f>
        <v/>
      </c>
      <c r="AZ31" s="2">
        <f>IFERROR(IFERROR(VLOOKUP($C31&amp;" "&amp;AZ$1,Results!$F:$H,3,FALSE),-VLOOKUP($C31&amp;" "&amp;AZ$1,Results!$G:$H,2,FALSE)),"")</f>
        <v>6</v>
      </c>
      <c r="BA31" s="2">
        <f>IFERROR(IFERROR(VLOOKUP($C31&amp;" "&amp;BA$1,Results!$F:$H,3,FALSE),-VLOOKUP($C31&amp;" "&amp;BA$1,Results!$G:$H,2,FALSE)),"")</f>
        <v>-26</v>
      </c>
      <c r="BB31" s="2">
        <f>IFERROR(IFERROR(VLOOKUP($C31&amp;" "&amp;BB$1,Results!$F:$H,3,FALSE),-VLOOKUP($C31&amp;" "&amp;BB$1,Results!$G:$H,2,FALSE)),"")</f>
        <v>9</v>
      </c>
      <c r="BC31" s="2" t="str">
        <f>IFERROR(IFERROR(VLOOKUP($C31&amp;" "&amp;BC$1,Results!$F:$H,3,FALSE),-VLOOKUP($C31&amp;" "&amp;BC$1,Results!$G:$H,2,FALSE)),"")</f>
        <v/>
      </c>
      <c r="BD31" s="2" t="str">
        <f>IFERROR(IFERROR(VLOOKUP($C31&amp;" "&amp;BD$1,Results!$F:$H,3,FALSE),-VLOOKUP($C31&amp;" "&amp;BD$1,Results!$G:$H,2,FALSE)),"")</f>
        <v/>
      </c>
      <c r="BE31" s="2"/>
      <c r="BJ31" s="82">
        <f t="shared" si="5"/>
        <v>78</v>
      </c>
      <c r="BK31" s="5">
        <f t="shared" si="6"/>
        <v>3</v>
      </c>
      <c r="BL31" s="5">
        <f t="shared" si="7"/>
        <v>3</v>
      </c>
      <c r="BM31" s="5">
        <f t="shared" si="8"/>
        <v>6</v>
      </c>
      <c r="BN31" s="65">
        <f t="shared" si="9"/>
        <v>0.5</v>
      </c>
      <c r="BQ31" s="60">
        <f t="shared" si="10"/>
        <v>78</v>
      </c>
      <c r="BS31" s="5">
        <v>31</v>
      </c>
      <c r="BT31" s="5">
        <f t="shared" si="11"/>
        <v>25</v>
      </c>
      <c r="BU31" s="5">
        <f t="shared" si="12"/>
        <v>6</v>
      </c>
    </row>
    <row r="32" spans="1:73">
      <c r="A32" s="5">
        <v>28</v>
      </c>
      <c r="B32" s="5">
        <v>29</v>
      </c>
      <c r="C32" s="41" t="s">
        <v>67</v>
      </c>
      <c r="D32" s="41"/>
      <c r="E32" s="5">
        <f>IF(AND(AV32&gt;0,$A32&lt;VLOOKUP(AV$1,$C:$L,10,FALSE)),1,IF(AND(AV32&lt;0,$A32&gt;VLOOKUP(AV$1,$C:$L,10,FALSE)),1,0))</f>
        <v>0</v>
      </c>
      <c r="F32" s="5">
        <f>IF(AND(AW32&gt;0,$A32&lt;VLOOKUP(AW$1,$C:$L,10,FALSE)),1,IF(AND(AW32&lt;0,$A32&gt;VLOOKUP(AW$1,$C:$L,10,FALSE)),1,0))</f>
        <v>0</v>
      </c>
      <c r="G32" s="5">
        <f>IF(AND(AX32&gt;0,$A32&lt;VLOOKUP(AX$1,$C:$L,10,FALSE)),1,IF(AND(AX32&lt;0,$A32&gt;VLOOKUP(AX$1,$C:$L,10,FALSE)),1,0))</f>
        <v>0</v>
      </c>
      <c r="H32" s="5">
        <f>IF(AND(AZ32&gt;0,$A32&lt;VLOOKUP(AZ$1,$C:$L,10,FALSE)),1,IF(AND(AZ32&lt;0,$A32&gt;VLOOKUP(AZ$1,$C:$L,10,FALSE)),1,0))</f>
        <v>1</v>
      </c>
      <c r="I32" s="5">
        <f>IF(AND(BA32&gt;0,$A32&lt;VLOOKUP(BA$1,$C:$L,10,FALSE)),1,IF(AND(BA32&lt;0,$A32&gt;VLOOKUP(BA$1,$C:$L,10,FALSE)),1,0))</f>
        <v>0</v>
      </c>
      <c r="J32" s="5">
        <f>IF(AND(BB32&gt;0,$A32&lt;VLOOKUP(BB$1,$C:$L,10,FALSE)),1,IF(AND(BB32&lt;0,$A32&gt;VLOOKUP(BB$1,$C:$L,10,FALSE)),1,0))</f>
        <v>1</v>
      </c>
      <c r="K32" s="79" t="s">
        <v>134</v>
      </c>
      <c r="L32" s="5">
        <f t="shared" si="0"/>
        <v>29</v>
      </c>
      <c r="M32" s="2">
        <v>8</v>
      </c>
      <c r="N32" s="11">
        <f>COUNTIF($U32:$BH32,"&gt;0")</f>
        <v>3</v>
      </c>
      <c r="O32" s="2">
        <f>COUNTIF($U32:$BH32,"&lt;0")</f>
        <v>2</v>
      </c>
      <c r="P32" s="2">
        <f>COUNTIF($U32:$BH32,"=0")</f>
        <v>0</v>
      </c>
      <c r="Q32" s="12">
        <f>COUNTIF($AZ32:$BC32,"&gt;0")</f>
        <v>2</v>
      </c>
      <c r="R32" s="13">
        <f>COUNTIF($AZ32:$BC32,"&lt;0")</f>
        <v>1</v>
      </c>
      <c r="S32" s="14">
        <f>COUNTIF($AZ32:$BC32,"=0")</f>
        <v>0</v>
      </c>
      <c r="T32" s="2">
        <f t="shared" si="4"/>
        <v>0</v>
      </c>
      <c r="AN32" s="2" t="str">
        <f>IFERROR(IFERROR(VLOOKUP($C32&amp;" "&amp;AN$1,Results!$F:$H,3,FALSE),-VLOOKUP($C32&amp;" "&amp;AN$1,Results!$G:$H,2,FALSE)),"")</f>
        <v/>
      </c>
      <c r="AO32" s="2" t="str">
        <f>IFERROR(IFERROR(VLOOKUP($C32&amp;" "&amp;AO$1,Results!$F:$H,3,FALSE),-VLOOKUP($C32&amp;" "&amp;AO$1,Results!$G:$H,2,FALSE)),"")</f>
        <v/>
      </c>
      <c r="AP32" s="2" t="str">
        <f>IFERROR(IFERROR(VLOOKUP($C32&amp;" "&amp;AP$1,Results!$F:$H,3,FALSE),-VLOOKUP($C32&amp;" "&amp;AP$1,Results!$G:$H,2,FALSE)),"")</f>
        <v/>
      </c>
      <c r="AQ32" s="2" t="str">
        <f>IFERROR(IFERROR(VLOOKUP($C32&amp;" "&amp;AQ$1,Results!$F:$H,3,FALSE),-VLOOKUP($C32&amp;" "&amp;AQ$1,Results!$G:$H,2,FALSE)),"")</f>
        <v/>
      </c>
      <c r="AR32" s="2" t="str">
        <f>IFERROR(IFERROR(VLOOKUP($C32&amp;" "&amp;AR$1,Results!$F:$H,3,FALSE),-VLOOKUP($C32&amp;" "&amp;AR$1,Results!$G:$H,2,FALSE)),"")</f>
        <v/>
      </c>
      <c r="AS32" s="2" t="str">
        <f>IFERROR(IFERROR(VLOOKUP($C32&amp;" "&amp;AS$1,Results!$F:$H,3,FALSE),-VLOOKUP($C32&amp;" "&amp;AS$1,Results!$G:$H,2,FALSE)),"")</f>
        <v/>
      </c>
      <c r="AT32" s="2" t="str">
        <f>IFERROR(IFERROR(VLOOKUP($C32&amp;" "&amp;AT$1,Results!$F:$H,3,FALSE),-VLOOKUP($C32&amp;" "&amp;AT$1,Results!$G:$H,2,FALSE)),"")</f>
        <v/>
      </c>
      <c r="AU32" s="2" t="str">
        <f>IFERROR(IFERROR(VLOOKUP($C32&amp;" "&amp;AU$1,Results!$F:$H,3,FALSE),-VLOOKUP($C32&amp;" "&amp;AU$1,Results!$G:$H,2,FALSE)),"")</f>
        <v/>
      </c>
      <c r="AV32" s="19" t="str">
        <f>IFERROR(IFERROR(VLOOKUP($C32&amp;" "&amp;AV$1,Results!$F:$H,3,FALSE),-VLOOKUP($C32&amp;" "&amp;AV$1,Results!$G:$H,2,FALSE)),"")</f>
        <v/>
      </c>
      <c r="AW32" s="19" t="str">
        <f>IFERROR(IFERROR(VLOOKUP($C32&amp;" "&amp;AW$1,Results!$F:$H,3,FALSE),-VLOOKUP($C32&amp;" "&amp;AW$1,Results!$G:$H,2,FALSE)),"")</f>
        <v/>
      </c>
      <c r="AX32" s="19">
        <f>IFERROR(IFERROR(VLOOKUP($C32&amp;" "&amp;AX$1,Results!$F:$H,3,FALSE),-VLOOKUP($C32&amp;" "&amp;AX$1,Results!$G:$H,2,FALSE)),"")</f>
        <v>172</v>
      </c>
      <c r="AY32" s="19">
        <f>IFERROR(IFERROR(VLOOKUP($C32&amp;" "&amp;AY$1,Results!$F:$H,3,FALSE),-VLOOKUP($C32&amp;" "&amp;AY$1,Results!$G:$H,2,FALSE)),"")</f>
        <v>-6</v>
      </c>
      <c r="AZ32" s="35" t="str">
        <f>IFERROR(IFERROR(VLOOKUP($C32&amp;" "&amp;AZ$1,Results!$F:$H,3,FALSE),-VLOOKUP($C32&amp;" "&amp;AZ$1,Results!$G:$H,2,FALSE)),"")</f>
        <v/>
      </c>
      <c r="BA32" s="49">
        <f>IFERROR(IFERROR(VLOOKUP($C32&amp;" "&amp;BA$1,Results!$F:$H,3,FALSE),-VLOOKUP($C32&amp;" "&amp;BA$1,Results!$G:$H,2,FALSE)),"")</f>
        <v>-19</v>
      </c>
      <c r="BB32" s="49">
        <f>IFERROR(IFERROR(VLOOKUP($C32&amp;" "&amp;BB$1,Results!$F:$H,3,FALSE),-VLOOKUP($C32&amp;" "&amp;BB$1,Results!$G:$H,2,FALSE)),"")</f>
        <v>40</v>
      </c>
      <c r="BC32" s="55">
        <f>IFERROR(IFERROR(VLOOKUP($C32&amp;" "&amp;BC$1,Results!$F:$H,3,FALSE),-VLOOKUP($C32&amp;" "&amp;BC$1,Results!$G:$H,2,FALSE)),"")</f>
        <v>143</v>
      </c>
      <c r="BD32" s="2" t="str">
        <f>IFERROR(IFERROR(VLOOKUP($C32&amp;" "&amp;BD$1,Results!$F:$H,3,FALSE),-VLOOKUP($C32&amp;" "&amp;BD$1,Results!$G:$H,2,FALSE)),"")</f>
        <v/>
      </c>
      <c r="BE32" s="2"/>
      <c r="BJ32" s="82">
        <f t="shared" si="5"/>
        <v>330</v>
      </c>
      <c r="BK32" s="5">
        <f t="shared" si="6"/>
        <v>2</v>
      </c>
      <c r="BL32" s="5">
        <f t="shared" si="7"/>
        <v>4</v>
      </c>
      <c r="BM32" s="5">
        <f t="shared" si="8"/>
        <v>6</v>
      </c>
      <c r="BN32" s="65">
        <f t="shared" si="9"/>
        <v>0.33333333333333331</v>
      </c>
      <c r="BQ32" s="60">
        <f t="shared" si="10"/>
        <v>330</v>
      </c>
      <c r="BS32" s="5">
        <v>25</v>
      </c>
      <c r="BT32" s="5">
        <f t="shared" si="11"/>
        <v>28</v>
      </c>
      <c r="BU32" s="5">
        <f t="shared" si="12"/>
        <v>-3</v>
      </c>
    </row>
    <row r="33" spans="1:73">
      <c r="A33" s="5">
        <v>24</v>
      </c>
      <c r="B33" s="5">
        <v>30</v>
      </c>
      <c r="C33" s="156" t="s">
        <v>60</v>
      </c>
      <c r="D33" s="41"/>
      <c r="E33" s="5">
        <f>IF(AND(BC33&gt;0,$A33&lt;VLOOKUP(BC$1,$C:$L,10,FALSE)),1,IF(AND(BC33&lt;0,$A33&gt;VLOOKUP(BC$1,$C:$L,10,FALSE)),1,0))</f>
        <v>1</v>
      </c>
      <c r="F33" s="5">
        <f>IF(AND(BD33&gt;0,$A33&lt;VLOOKUP(BD$1,$C:$L,10,FALSE)),1,IF(AND(BD33&lt;0,$A33&gt;VLOOKUP(BD$1,$C:$L,10,FALSE)),1,0))</f>
        <v>1</v>
      </c>
      <c r="G33" s="5">
        <f>IF(AND(BF33&gt;0,$A33&lt;VLOOKUP(BF$1,$C:$L,10,FALSE)),1,IF(AND(BF33&lt;0,$A33&gt;VLOOKUP(BF$1,$C:$L,10,FALSE)),1,0))</f>
        <v>1</v>
      </c>
      <c r="H33" s="5">
        <f>IF(AND(BG33&gt;0,$A33&lt;VLOOKUP(BG$1,$C:$L,10,FALSE)),1,IF(AND(BG33&lt;0,$A33&gt;VLOOKUP(BG$1,$C:$L,10,FALSE)),1,0))</f>
        <v>1</v>
      </c>
      <c r="I33" s="5">
        <f>IF(AND(BH33&gt;0,$A33&lt;VLOOKUP(BH$1,$C:$L,10,FALSE)),1,IF(AND(BH33&lt;0,$A33&gt;VLOOKUP(BH$1,$C:$L,10,FALSE)),1,0))</f>
        <v>1</v>
      </c>
      <c r="J33" s="5">
        <f>IF(AND(BI33&gt;0,$A33&lt;VLOOKUP(BI$1,$C:$L,10,FALSE)),1,IF(AND(BI33&lt;0,$A33&gt;VLOOKUP(BI$1,$C:$L,10,FALSE)),1,0))</f>
        <v>1</v>
      </c>
      <c r="K33" s="79" t="s">
        <v>134</v>
      </c>
      <c r="L33" s="5">
        <f t="shared" si="0"/>
        <v>30</v>
      </c>
      <c r="M33" s="2">
        <v>8</v>
      </c>
      <c r="N33" s="11">
        <f t="shared" ref="N33:N41" si="37">COUNTIF($U33:$BI33,"&gt;0")</f>
        <v>6</v>
      </c>
      <c r="O33" s="2">
        <f t="shared" ref="O33:O41" si="38">COUNTIF($U33:$BI33,"&lt;0")</f>
        <v>0</v>
      </c>
      <c r="P33" s="2">
        <f t="shared" ref="P33:P41" si="39">COUNTIF($U33:$BI33,"=0")</f>
        <v>0</v>
      </c>
      <c r="Q33" s="12">
        <f t="shared" ref="Q33:Q35" si="40">COUNTIF($AZ33:$BC33,"&gt;0")</f>
        <v>3</v>
      </c>
      <c r="R33" s="13">
        <f t="shared" ref="R33:R35" si="41">COUNTIF($AZ33:$BC33,"&lt;0")</f>
        <v>0</v>
      </c>
      <c r="S33" s="14">
        <f t="shared" ref="S33:S35" si="42">COUNTIF($AZ33:$BC33,"=0")</f>
        <v>0</v>
      </c>
      <c r="T33" s="2">
        <f t="shared" si="4"/>
        <v>0</v>
      </c>
      <c r="AV33" s="2" t="str">
        <f>IFERROR(IFERROR(VLOOKUP($C33&amp;" "&amp;AV$1,Results!$F:$H,3,FALSE),-VLOOKUP($C33&amp;" "&amp;AV$1,Results!$G:$H,2,FALSE)),"")</f>
        <v/>
      </c>
      <c r="AW33" s="2" t="str">
        <f>IFERROR(IFERROR(VLOOKUP($C33&amp;" "&amp;AW$1,Results!$F:$H,3,FALSE),-VLOOKUP($C33&amp;" "&amp;AW$1,Results!$G:$H,2,FALSE)),"")</f>
        <v/>
      </c>
      <c r="AX33" s="2">
        <f>IFERROR(IFERROR(VLOOKUP($C33&amp;" "&amp;AX$1,Results!$F:$H,3,FALSE),-VLOOKUP($C33&amp;" "&amp;AX$1,Results!$G:$H,2,FALSE)),"")</f>
        <v>234</v>
      </c>
      <c r="AY33" s="2">
        <f>IFERROR(IFERROR(VLOOKUP($C33&amp;" "&amp;AY$1,Results!$F:$H,3,FALSE),-VLOOKUP($C33&amp;" "&amp;AY$1,Results!$G:$H,2,FALSE)),"")</f>
        <v>26</v>
      </c>
      <c r="AZ33" s="51">
        <f>IFERROR(IFERROR(VLOOKUP($C33&amp;" "&amp;AZ$1,Results!$F:$H,3,FALSE),-VLOOKUP($C33&amp;" "&amp;AZ$1,Results!$G:$H,2,FALSE)),"")</f>
        <v>19</v>
      </c>
      <c r="BA33" s="2" t="str">
        <f>IFERROR(IFERROR(VLOOKUP($C33&amp;" "&amp;BA$1,Results!$F:$H,3,FALSE),-VLOOKUP($C33&amp;" "&amp;BA$1,Results!$G:$H,2,FALSE)),"")</f>
        <v/>
      </c>
      <c r="BB33" s="2">
        <f>IFERROR(IFERROR(VLOOKUP($C33&amp;" "&amp;BB$1,Results!$F:$H,3,FALSE),-VLOOKUP($C33&amp;" "&amp;BB$1,Results!$G:$H,2,FALSE)),"")</f>
        <v>114</v>
      </c>
      <c r="BC33" s="56">
        <f>IFERROR(IFERROR(VLOOKUP($C33&amp;" "&amp;BC$1,Results!$F:$H,3,FALSE),-VLOOKUP($C33&amp;" "&amp;BC$1,Results!$G:$H,2,FALSE)),"")</f>
        <v>149</v>
      </c>
      <c r="BD33" s="2" t="str">
        <f>IFERROR(IFERROR(VLOOKUP($C33&amp;" "&amp;BD$1,Results!$F:$H,3,FALSE),-VLOOKUP($C33&amp;" "&amp;BD$1,Results!$G:$H,2,FALSE)),"")</f>
        <v/>
      </c>
      <c r="BE33" s="15" t="str">
        <f>IFERROR(IFERROR(VLOOKUP($C33&amp;" "&amp;BE$1,Results!$F:$H,3,FALSE),-VLOOKUP($C33&amp;" "&amp;BE$1,Results!$G:$H,2,FALSE)),"")</f>
        <v/>
      </c>
      <c r="BF33" s="15" t="str">
        <f>IFERROR(IFERROR(VLOOKUP($C33&amp;" "&amp;BF$1,Results!$F:$H,3,FALSE),-VLOOKUP($C33&amp;" "&amp;BF$1,Results!$G:$H,2,FALSE)),"")</f>
        <v/>
      </c>
      <c r="BG33" s="15" t="str">
        <f>IFERROR(IFERROR(VLOOKUP($C33&amp;" "&amp;BG$1,Results!$F:$H,3,FALSE),-VLOOKUP($C33&amp;" "&amp;BG$1,Results!$G:$H,2,FALSE)),"")</f>
        <v/>
      </c>
      <c r="BH33" s="6">
        <f>IFERROR(IFERROR(VLOOKUP($C33&amp;" "&amp;BH$1,Results!$F:$H,3,FALSE),-VLOOKUP($C33&amp;" "&amp;BH$1,Results!$G:$H,2,FALSE)),"")</f>
        <v>77</v>
      </c>
      <c r="BI33" s="2" t="str">
        <f>IFERROR(IFERROR(VLOOKUP($C33&amp;" "&amp;BI$1,Results!$F:$H,3,FALSE),-VLOOKUP($C33&amp;" "&amp;BI$1,Results!$G:$H,2,FALSE)),"")</f>
        <v/>
      </c>
      <c r="BJ33" s="82">
        <f t="shared" si="5"/>
        <v>619</v>
      </c>
      <c r="BK33" s="5">
        <f t="shared" si="6"/>
        <v>6</v>
      </c>
      <c r="BL33" s="5">
        <f t="shared" si="7"/>
        <v>0</v>
      </c>
      <c r="BM33" s="5">
        <f t="shared" si="8"/>
        <v>6</v>
      </c>
      <c r="BN33" s="65">
        <f t="shared" si="9"/>
        <v>1</v>
      </c>
      <c r="BQ33" s="60">
        <f t="shared" si="10"/>
        <v>619</v>
      </c>
      <c r="BS33" s="5">
        <v>34</v>
      </c>
      <c r="BT33" s="5">
        <f t="shared" si="11"/>
        <v>24</v>
      </c>
      <c r="BU33" s="5">
        <f t="shared" si="12"/>
        <v>10</v>
      </c>
    </row>
    <row r="34" spans="1:73">
      <c r="A34" s="5">
        <v>30</v>
      </c>
      <c r="B34" s="5">
        <v>31</v>
      </c>
      <c r="C34" s="41" t="s">
        <v>61</v>
      </c>
      <c r="D34" s="41"/>
      <c r="E34" s="5">
        <f>IF(AND(AS34&gt;0,$A34&lt;VLOOKUP(AS$1,$C:$L,10,FALSE)),1,IF(AND(AS34&lt;0,$A34&gt;VLOOKUP(AS$1,$C:$L,10,FALSE)),1,0))</f>
        <v>0</v>
      </c>
      <c r="F34" s="5">
        <f>IF(AND(AT34&gt;0,$A34&lt;VLOOKUP(AT$1,$C:$L,10,FALSE)),1,IF(AND(AT34&lt;0,$A34&gt;VLOOKUP(AT$1,$C:$L,10,FALSE)),1,0))</f>
        <v>0</v>
      </c>
      <c r="G34" s="5">
        <f>IF(AND(AU34&gt;0,$A34&lt;VLOOKUP(AU$1,$C:$L,10,FALSE)),1,IF(AND(AU34&lt;0,$A34&gt;VLOOKUP(AU$1,$C:$L,10,FALSE)),1,0))</f>
        <v>0</v>
      </c>
      <c r="H34" s="5">
        <f>IF(AND(AW34&gt;0,$A34&lt;VLOOKUP(AW$1,$C:$L,10,FALSE)),1,IF(AND(AW34&lt;0,$A34&gt;VLOOKUP(AW$1,$C:$L,10,FALSE)),1,0))</f>
        <v>0</v>
      </c>
      <c r="I34" s="5">
        <f>IF(AND(AX34&gt;0,$A34&lt;VLOOKUP(AX$1,$C:$L,10,FALSE)),1,IF(AND(AX34&lt;0,$A34&gt;VLOOKUP(AX$1,$C:$L,10,FALSE)),1,0))</f>
        <v>0</v>
      </c>
      <c r="J34" s="5">
        <f>IF(AND(AY34&gt;0,$A34&lt;VLOOKUP(AY$1,$C:$L,10,FALSE)),1,IF(AND(AY34&lt;0,$A34&gt;VLOOKUP(AY$1,$C:$L,10,FALSE)),1,0))</f>
        <v>1</v>
      </c>
      <c r="K34" s="79" t="s">
        <v>134</v>
      </c>
      <c r="L34" s="5">
        <f t="shared" si="0"/>
        <v>31</v>
      </c>
      <c r="M34" s="2">
        <v>8</v>
      </c>
      <c r="N34" s="11">
        <f t="shared" si="37"/>
        <v>3</v>
      </c>
      <c r="O34" s="2">
        <f t="shared" si="38"/>
        <v>3</v>
      </c>
      <c r="P34" s="2">
        <f t="shared" si="39"/>
        <v>0</v>
      </c>
      <c r="Q34" s="12">
        <f t="shared" si="40"/>
        <v>1</v>
      </c>
      <c r="R34" s="13">
        <f t="shared" si="41"/>
        <v>2</v>
      </c>
      <c r="S34" s="14">
        <f t="shared" si="42"/>
        <v>0</v>
      </c>
      <c r="T34" s="2">
        <f t="shared" si="4"/>
        <v>0</v>
      </c>
      <c r="AN34" s="2" t="str">
        <f>IFERROR(IFERROR(VLOOKUP($C34&amp;" "&amp;AN$1,Results!$F:$H,3,FALSE),-VLOOKUP($C34&amp;" "&amp;AN$1,Results!$G:$H,2,FALSE)),"")</f>
        <v/>
      </c>
      <c r="AO34" s="2" t="str">
        <f>IFERROR(IFERROR(VLOOKUP($C34&amp;" "&amp;AO$1,Results!$F:$H,3,FALSE),-VLOOKUP($C34&amp;" "&amp;AO$1,Results!$G:$H,2,FALSE)),"")</f>
        <v/>
      </c>
      <c r="AP34" s="2" t="str">
        <f>IFERROR(IFERROR(VLOOKUP($C34&amp;" "&amp;AP$1,Results!$F:$H,3,FALSE),-VLOOKUP($C34&amp;" "&amp;AP$1,Results!$G:$H,2,FALSE)),"")</f>
        <v/>
      </c>
      <c r="AQ34" s="2" t="str">
        <f>IFERROR(IFERROR(VLOOKUP($C34&amp;" "&amp;AQ$1,Results!$F:$H,3,FALSE),-VLOOKUP($C34&amp;" "&amp;AQ$1,Results!$G:$H,2,FALSE)),"")</f>
        <v/>
      </c>
      <c r="AR34" s="2" t="str">
        <f>IFERROR(IFERROR(VLOOKUP($C34&amp;" "&amp;AR$1,Results!$F:$H,3,FALSE),-VLOOKUP($C34&amp;" "&amp;AR$1,Results!$G:$H,2,FALSE)),"")</f>
        <v/>
      </c>
      <c r="AS34" s="2" t="str">
        <f>IFERROR(IFERROR(VLOOKUP($C34&amp;" "&amp;AS$1,Results!$F:$H,3,FALSE),-VLOOKUP($C34&amp;" "&amp;AS$1,Results!$G:$H,2,FALSE)),"")</f>
        <v/>
      </c>
      <c r="AT34" s="2" t="str">
        <f>IFERROR(IFERROR(VLOOKUP($C34&amp;" "&amp;AT$1,Results!$F:$H,3,FALSE),-VLOOKUP($C34&amp;" "&amp;AT$1,Results!$G:$H,2,FALSE)),"")</f>
        <v/>
      </c>
      <c r="AU34" s="2" t="str">
        <f>IFERROR(IFERROR(VLOOKUP($C34&amp;" "&amp;AU$1,Results!$F:$H,3,FALSE),-VLOOKUP($C34&amp;" "&amp;AU$1,Results!$G:$H,2,FALSE)),"")</f>
        <v/>
      </c>
      <c r="AV34" s="19" t="str">
        <f>IFERROR(IFERROR(VLOOKUP($C34&amp;" "&amp;AV$1,Results!$F:$H,3,FALSE),-VLOOKUP($C34&amp;" "&amp;AV$1,Results!$G:$H,2,FALSE)),"")</f>
        <v/>
      </c>
      <c r="AW34" s="19" t="str">
        <f>IFERROR(IFERROR(VLOOKUP($C34&amp;" "&amp;AW$1,Results!$F:$H,3,FALSE),-VLOOKUP($C34&amp;" "&amp;AW$1,Results!$G:$H,2,FALSE)),"")</f>
        <v/>
      </c>
      <c r="AX34" s="19" t="str">
        <f>IFERROR(IFERROR(VLOOKUP($C34&amp;" "&amp;AX$1,Results!$F:$H,3,FALSE),-VLOOKUP($C34&amp;" "&amp;AX$1,Results!$G:$H,2,FALSE)),"")</f>
        <v/>
      </c>
      <c r="AY34" s="19">
        <f>IFERROR(IFERROR(VLOOKUP($C34&amp;" "&amp;AY$1,Results!$F:$H,3,FALSE),-VLOOKUP($C34&amp;" "&amp;AY$1,Results!$G:$H,2,FALSE)),"")</f>
        <v>-9</v>
      </c>
      <c r="AZ34" s="51">
        <f>IFERROR(IFERROR(VLOOKUP($C34&amp;" "&amp;AZ$1,Results!$F:$H,3,FALSE),-VLOOKUP($C34&amp;" "&amp;AZ$1,Results!$G:$H,2,FALSE)),"")</f>
        <v>-40</v>
      </c>
      <c r="BA34" s="2">
        <f>IFERROR(IFERROR(VLOOKUP($C34&amp;" "&amp;BA$1,Results!$F:$H,3,FALSE),-VLOOKUP($C34&amp;" "&amp;BA$1,Results!$G:$H,2,FALSE)),"")</f>
        <v>-114</v>
      </c>
      <c r="BB34" s="2" t="str">
        <f>IFERROR(IFERROR(VLOOKUP($C34&amp;" "&amp;BB$1,Results!$F:$H,3,FALSE),-VLOOKUP($C34&amp;" "&amp;BB$1,Results!$G:$H,2,FALSE)),"")</f>
        <v/>
      </c>
      <c r="BC34" s="56">
        <f>IFERROR(IFERROR(VLOOKUP($C34&amp;" "&amp;BC$1,Results!$F:$H,3,FALSE),-VLOOKUP($C34&amp;" "&amp;BC$1,Results!$G:$H,2,FALSE)),"")</f>
        <v>3</v>
      </c>
      <c r="BD34" s="2">
        <f>IFERROR(IFERROR(VLOOKUP($C34&amp;" "&amp;BD$1,Results!$F:$H,3,FALSE),-VLOOKUP($C34&amp;" "&amp;BD$1,Results!$G:$H,2,FALSE)),"")</f>
        <v>26</v>
      </c>
      <c r="BE34" s="15" t="str">
        <f>IFERROR(IFERROR(VLOOKUP($C34&amp;" "&amp;BE$1,Results!$F:$H,3,FALSE),-VLOOKUP($C34&amp;" "&amp;BE$1,Results!$G:$H,2,FALSE)),"")</f>
        <v/>
      </c>
      <c r="BG34" s="15">
        <f>IFERROR(IFERROR(VLOOKUP($C34&amp;" "&amp;BG$1,Results!$F:$H,3,FALSE),-VLOOKUP($C34&amp;" "&amp;BG$1,Results!$G:$H,2,FALSE)),"")</f>
        <v>87</v>
      </c>
      <c r="BJ34" s="82">
        <f t="shared" si="5"/>
        <v>-47</v>
      </c>
      <c r="BK34" s="5">
        <f t="shared" si="6"/>
        <v>1</v>
      </c>
      <c r="BL34" s="5">
        <f t="shared" si="7"/>
        <v>5</v>
      </c>
      <c r="BM34" s="5">
        <f t="shared" si="8"/>
        <v>6</v>
      </c>
      <c r="BN34" s="65">
        <f t="shared" si="9"/>
        <v>0.16666666666666666</v>
      </c>
      <c r="BQ34" s="60">
        <f t="shared" si="10"/>
        <v>-47</v>
      </c>
      <c r="BS34" s="5">
        <v>27</v>
      </c>
      <c r="BT34" s="5">
        <f t="shared" si="11"/>
        <v>30</v>
      </c>
      <c r="BU34" s="5">
        <f t="shared" si="12"/>
        <v>-3</v>
      </c>
    </row>
    <row r="35" spans="1:73" ht="13.5" thickBot="1">
      <c r="A35" s="5">
        <v>33</v>
      </c>
      <c r="B35" s="5">
        <v>32</v>
      </c>
      <c r="C35" s="157" t="s">
        <v>86</v>
      </c>
      <c r="D35" s="41"/>
      <c r="E35" s="5">
        <f>IF(AND(BB35&gt;0,$A35&lt;VLOOKUP(BB$1,$C:$L,10,FALSE)),1,IF(AND(BB35&lt;0,$A35&gt;VLOOKUP(BB$1,$C:$L,10,FALSE)),1,0))</f>
        <v>1</v>
      </c>
      <c r="F35" s="5">
        <f>IF(AND(BE35&gt;0,$A35&lt;VLOOKUP(BE$1,$C:$L,10,FALSE)),1,IF(AND(BE35&lt;0,$A35&gt;VLOOKUP(BE$1,$C:$L,10,FALSE)),1,0))</f>
        <v>0</v>
      </c>
      <c r="G35" s="5">
        <f>IF(AND(BF35&gt;0,$A35&lt;VLOOKUP(BF$1,$C:$L,10,FALSE)),1,IF(AND(BF35&lt;0,$A35&gt;VLOOKUP(BF$1,$C:$L,10,FALSE)),1,0))</f>
        <v>0</v>
      </c>
      <c r="H35" s="5">
        <f>IF(AND(BG35&gt;0,$A35&lt;VLOOKUP(BG$1,$C:$L,10,FALSE)),1,IF(AND(BG35&lt;0,$A35&gt;VLOOKUP(BG$1,$C:$L,10,FALSE)),1,0))</f>
        <v>1</v>
      </c>
      <c r="I35" s="5">
        <f>IF(AND(BH35&gt;0,$A35&lt;VLOOKUP(BH$1,$C:$L,10,FALSE)),1,IF(AND(BH35&lt;0,$A35&gt;VLOOKUP(BH$1,$C:$L,10,FALSE)),1,0))</f>
        <v>1</v>
      </c>
      <c r="J35" s="5">
        <f>IF(AND(BI35&gt;0,$A35&lt;VLOOKUP(BI$1,$C:$L,10,FALSE)),1,IF(AND(BI35&lt;0,$A35&gt;VLOOKUP(BI$1,$C:$L,10,FALSE)),1,0))</f>
        <v>1</v>
      </c>
      <c r="K35" s="79" t="s">
        <v>134</v>
      </c>
      <c r="L35" s="5">
        <f t="shared" si="0"/>
        <v>32</v>
      </c>
      <c r="M35" s="2">
        <v>8</v>
      </c>
      <c r="N35" s="11">
        <f t="shared" si="37"/>
        <v>1</v>
      </c>
      <c r="O35" s="2">
        <f t="shared" si="38"/>
        <v>5</v>
      </c>
      <c r="P35" s="2">
        <f t="shared" si="39"/>
        <v>0</v>
      </c>
      <c r="Q35" s="12">
        <f t="shared" si="40"/>
        <v>0</v>
      </c>
      <c r="R35" s="13">
        <f t="shared" si="41"/>
        <v>3</v>
      </c>
      <c r="S35" s="14">
        <f t="shared" si="42"/>
        <v>0</v>
      </c>
      <c r="T35" s="2">
        <f t="shared" si="4"/>
        <v>0</v>
      </c>
      <c r="AV35" s="2" t="str">
        <f>IFERROR(IFERROR(VLOOKUP($C35&amp;" "&amp;AV$1,Results!$F:$H,3,FALSE),-VLOOKUP($C35&amp;" "&amp;AV$1,Results!$G:$H,2,FALSE)),"")</f>
        <v/>
      </c>
      <c r="AW35" s="2" t="str">
        <f>IFERROR(IFERROR(VLOOKUP($C35&amp;" "&amp;AW$1,Results!$F:$H,3,FALSE),-VLOOKUP($C35&amp;" "&amp;AW$1,Results!$G:$H,2,FALSE)),"")</f>
        <v/>
      </c>
      <c r="AX35" s="2" t="str">
        <f>IFERROR(IFERROR(VLOOKUP($C35&amp;" "&amp;AX$1,Results!$F:$H,3,FALSE),-VLOOKUP($C35&amp;" "&amp;AX$1,Results!$G:$H,2,FALSE)),"")</f>
        <v/>
      </c>
      <c r="AY35" s="2" t="str">
        <f>IFERROR(IFERROR(VLOOKUP($C35&amp;" "&amp;AY$1,Results!$F:$H,3,FALSE),-VLOOKUP($C35&amp;" "&amp;AY$1,Results!$G:$H,2,FALSE)),"")</f>
        <v/>
      </c>
      <c r="AZ35" s="52">
        <f>IFERROR(IFERROR(VLOOKUP($C35&amp;" "&amp;AZ$1,Results!$F:$H,3,FALSE),-VLOOKUP($C35&amp;" "&amp;AZ$1,Results!$G:$H,2,FALSE)),"")</f>
        <v>-143</v>
      </c>
      <c r="BA35" s="57">
        <f>IFERROR(IFERROR(VLOOKUP($C35&amp;" "&amp;BA$1,Results!$F:$H,3,FALSE),-VLOOKUP($C35&amp;" "&amp;BA$1,Results!$G:$H,2,FALSE)),"")</f>
        <v>-149</v>
      </c>
      <c r="BB35" s="57">
        <f>IFERROR(IFERROR(VLOOKUP($C35&amp;" "&amp;BB$1,Results!$F:$H,3,FALSE),-VLOOKUP($C35&amp;" "&amp;BB$1,Results!$G:$H,2,FALSE)),"")</f>
        <v>-3</v>
      </c>
      <c r="BC35" s="58" t="str">
        <f>IFERROR(IFERROR(VLOOKUP($C35&amp;" "&amp;BC$1,Results!$F:$H,3,FALSE),-VLOOKUP($C35&amp;" "&amp;BC$1,Results!$G:$H,2,FALSE)),"")</f>
        <v/>
      </c>
      <c r="BD35" s="15" t="str">
        <f>IFERROR(IFERROR(VLOOKUP($C35&amp;" "&amp;BD$1,Results!$F:$H,3,FALSE),-VLOOKUP($C35&amp;" "&amp;BD$1,Results!$G:$H,2,FALSE)),"")</f>
        <v/>
      </c>
      <c r="BE35" s="15">
        <f>IFERROR(IFERROR(VLOOKUP($C35&amp;" "&amp;BE$1,Results!$F:$H,3,FALSE),-VLOOKUP($C35&amp;" "&amp;BE$1,Results!$G:$H,2,FALSE)),"")</f>
        <v>-58</v>
      </c>
      <c r="BF35" s="15">
        <f>IFERROR(IFERROR(VLOOKUP($C35&amp;" "&amp;BF$1,Results!$F:$H,3,FALSE),-VLOOKUP($C35&amp;" "&amp;BF$1,Results!$G:$H,2,FALSE)),"")</f>
        <v>-88</v>
      </c>
      <c r="BG35" s="15" t="str">
        <f>IFERROR(IFERROR(VLOOKUP($C35&amp;" "&amp;BG$1,Results!$F:$H,3,FALSE),-VLOOKUP($C35&amp;" "&amp;BG$1,Results!$G:$H,2,FALSE)),"")</f>
        <v/>
      </c>
      <c r="BH35" s="6" t="str">
        <f>IFERROR(IFERROR(VLOOKUP($C35&amp;" "&amp;BH$1,Results!$F:$H,3,FALSE),-VLOOKUP($C35&amp;" "&amp;BH$1,Results!$G:$H,2,FALSE)),"")</f>
        <v/>
      </c>
      <c r="BI35" s="2">
        <f>IFERROR(IFERROR(VLOOKUP($C35&amp;" "&amp;BI$1,Results!$F:$H,3,FALSE),-VLOOKUP($C35&amp;" "&amp;BI$1,Results!$G:$H,2,FALSE)),"")</f>
        <v>147</v>
      </c>
      <c r="BJ35" s="82">
        <f t="shared" si="5"/>
        <v>-441</v>
      </c>
      <c r="BK35" s="5">
        <f t="shared" si="6"/>
        <v>4</v>
      </c>
      <c r="BL35" s="5">
        <f t="shared" si="7"/>
        <v>2</v>
      </c>
      <c r="BM35" s="5">
        <f t="shared" si="8"/>
        <v>6</v>
      </c>
      <c r="BN35" s="65">
        <f t="shared" si="9"/>
        <v>0.66666666666666663</v>
      </c>
      <c r="BQ35" s="60">
        <f t="shared" si="10"/>
        <v>-294</v>
      </c>
      <c r="BS35" s="5">
        <v>32</v>
      </c>
      <c r="BT35" s="5">
        <f t="shared" si="11"/>
        <v>33</v>
      </c>
      <c r="BU35" s="5">
        <f t="shared" si="12"/>
        <v>-1</v>
      </c>
    </row>
    <row r="36" spans="1:73">
      <c r="A36" s="38">
        <v>35</v>
      </c>
      <c r="B36" s="38">
        <v>33</v>
      </c>
      <c r="C36" s="157" t="s">
        <v>64</v>
      </c>
      <c r="D36" s="41"/>
      <c r="E36" s="5">
        <f>IF(AND(BB36&gt;0,$A36&lt;VLOOKUP(BB$1,$C:$L,10,FALSE)),1,IF(AND(BB36&lt;0,$A36&gt;VLOOKUP(BB$1,$C:$L,10,FALSE)),1,0))</f>
        <v>1</v>
      </c>
      <c r="F36" s="5">
        <f>IF(AND(BD36&gt;0,$A36&lt;VLOOKUP(BD$1,$C:$L,10,FALSE)),1,IF(AND(BD36&lt;0,$A36&gt;VLOOKUP(BD$1,$C:$L,10,FALSE)),1,0))</f>
        <v>0</v>
      </c>
      <c r="G36" s="5">
        <f>IF(AND(BE36&gt;0,$A36&lt;VLOOKUP(BE$1,$C:$L,10,FALSE)),1,IF(AND(BE36&lt;0,$A36&gt;VLOOKUP(BE$1,$C:$L,10,FALSE)),1,0))</f>
        <v>1</v>
      </c>
      <c r="H36" s="5">
        <f>IF(AND(BF36&gt;0,$A36&lt;VLOOKUP(BF$1,$C:$L,10,FALSE)),1,IF(AND(BF36&lt;0,$A36&gt;VLOOKUP(BF$1,$C:$L,10,FALSE)),1,0))</f>
        <v>0</v>
      </c>
      <c r="I36" s="5">
        <f>IF(AND(BH36&gt;0,$A36&lt;VLOOKUP(BH$1,$C:$L,10,FALSE)),1,IF(AND(BH36&lt;0,$A36&gt;VLOOKUP(BH$1,$C:$L,10,FALSE)),1,0))</f>
        <v>0</v>
      </c>
      <c r="J36" s="5">
        <f>IF(AND(BI36&gt;0,$A36&lt;VLOOKUP(BI$1,$C:$L,10,FALSE)),1,IF(AND(BI36&lt;0,$A36&gt;VLOOKUP(BI$1,$C:$L,10,FALSE)),1,0))</f>
        <v>1</v>
      </c>
      <c r="K36" s="79" t="s">
        <v>134</v>
      </c>
      <c r="L36" s="5">
        <f t="shared" si="0"/>
        <v>33</v>
      </c>
      <c r="M36" s="2">
        <v>9</v>
      </c>
      <c r="N36" s="11">
        <f t="shared" si="37"/>
        <v>2</v>
      </c>
      <c r="O36" s="2">
        <f t="shared" si="38"/>
        <v>4</v>
      </c>
      <c r="P36" s="2">
        <f t="shared" si="39"/>
        <v>0</v>
      </c>
      <c r="Q36" s="12">
        <f>COUNTIF($BD36:$BF36,"&gt;0")</f>
        <v>0</v>
      </c>
      <c r="R36" s="13">
        <f>COUNTIF($BD36:$BF36,"&lt;0")</f>
        <v>2</v>
      </c>
      <c r="S36" s="14">
        <f>COUNTIF($BD36:$BF36,"=0")</f>
        <v>0</v>
      </c>
      <c r="T36" s="2">
        <f t="shared" si="4"/>
        <v>0</v>
      </c>
      <c r="AV36" s="2" t="str">
        <f>IFERROR(IFERROR(VLOOKUP($C36&amp;" "&amp;AV$1,Results!$F:$H,3,FALSE),-VLOOKUP($C36&amp;" "&amp;AV$1,Results!$G:$H,2,FALSE)),"")</f>
        <v/>
      </c>
      <c r="AW36" s="2" t="str">
        <f>IFERROR(IFERROR(VLOOKUP($C36&amp;" "&amp;AW$1,Results!$F:$H,3,FALSE),-VLOOKUP($C36&amp;" "&amp;AW$1,Results!$G:$H,2,FALSE)),"")</f>
        <v/>
      </c>
      <c r="AX36" s="2" t="str">
        <f>IFERROR(IFERROR(VLOOKUP($C36&amp;" "&amp;AX$1,Results!$F:$H,3,FALSE),-VLOOKUP($C36&amp;" "&amp;AX$1,Results!$G:$H,2,FALSE)),"")</f>
        <v/>
      </c>
      <c r="AY36" s="2" t="str">
        <f>IFERROR(IFERROR(VLOOKUP($C36&amp;" "&amp;AY$1,Results!$F:$H,3,FALSE),-VLOOKUP($C36&amp;" "&amp;AY$1,Results!$G:$H,2,FALSE)),"")</f>
        <v/>
      </c>
      <c r="AZ36" s="2" t="str">
        <f>IFERROR(IFERROR(VLOOKUP($C36&amp;" "&amp;AZ$1,Results!$F:$H,3,FALSE),-VLOOKUP($C36&amp;" "&amp;AZ$1,Results!$G:$H,2,FALSE)),"")</f>
        <v/>
      </c>
      <c r="BA36" s="2" t="str">
        <f>IFERROR(IFERROR(VLOOKUP($C36&amp;" "&amp;BA$1,Results!$F:$H,3,FALSE),-VLOOKUP($C36&amp;" "&amp;BA$1,Results!$G:$H,2,FALSE)),"")</f>
        <v/>
      </c>
      <c r="BB36" s="2">
        <f>IFERROR(IFERROR(VLOOKUP($C36&amp;" "&amp;BB$1,Results!$F:$H,3,FALSE),-VLOOKUP($C36&amp;" "&amp;BB$1,Results!$G:$H,2,FALSE)),"")</f>
        <v>-26</v>
      </c>
      <c r="BC36" s="2" t="str">
        <f>IFERROR(IFERROR(VLOOKUP($C36&amp;" "&amp;BC$1,Results!$F:$H,3,FALSE),-VLOOKUP($C36&amp;" "&amp;BC$1,Results!$G:$H,2,FALSE)),"")</f>
        <v/>
      </c>
      <c r="BD36" s="37" t="str">
        <f>IFERROR(IFERROR(VLOOKUP($C36&amp;" "&amp;BD$1,Results!$F:$H,3,FALSE),-VLOOKUP($C36&amp;" "&amp;BD$1,Results!$G:$H,2,FALSE)),"")</f>
        <v/>
      </c>
      <c r="BE36" s="50">
        <f>IFERROR(IFERROR(VLOOKUP($C36&amp;" "&amp;BE$1,Results!$F:$H,3,FALSE),-VLOOKUP($C36&amp;" "&amp;BE$1,Results!$G:$H,2,FALSE)),"")</f>
        <v>-134</v>
      </c>
      <c r="BF36" s="129">
        <f>IFERROR(IFERROR(VLOOKUP($C36&amp;" "&amp;BF$1,Results!$F:$H,3,FALSE),-VLOOKUP($C36&amp;" "&amp;BF$1,Results!$G:$H,2,FALSE)),"")</f>
        <v>-112</v>
      </c>
      <c r="BG36" s="15">
        <f>IFERROR(IFERROR(VLOOKUP($C36&amp;" "&amp;BG$1,Results!$F:$H,3,FALSE),-VLOOKUP($C36&amp;" "&amp;BG$1,Results!$G:$H,2,FALSE)),"")</f>
        <v>89</v>
      </c>
      <c r="BH36" s="6">
        <f>IFERROR(IFERROR(VLOOKUP($C36&amp;" "&amp;BH$1,Results!$F:$H,3,FALSE),-VLOOKUP($C36&amp;" "&amp;BH$1,Results!$G:$H,2,FALSE)),"")</f>
        <v>-74</v>
      </c>
      <c r="BI36" s="15">
        <f>IFERROR(IFERROR(VLOOKUP($C36&amp;" "&amp;BI$1,Results!$F:$H,3,FALSE),-VLOOKUP($C36&amp;" "&amp;BI$1,Results!$G:$H,2,FALSE)),"")</f>
        <v>74</v>
      </c>
      <c r="BJ36" s="82">
        <f t="shared" si="5"/>
        <v>-257</v>
      </c>
      <c r="BK36" s="5">
        <f t="shared" si="6"/>
        <v>3</v>
      </c>
      <c r="BL36" s="5">
        <f t="shared" si="7"/>
        <v>3</v>
      </c>
      <c r="BM36" s="5">
        <f t="shared" si="8"/>
        <v>6</v>
      </c>
      <c r="BN36" s="65">
        <f t="shared" si="9"/>
        <v>0.5</v>
      </c>
      <c r="BQ36" s="60">
        <f t="shared" si="10"/>
        <v>-183</v>
      </c>
      <c r="BS36" s="38">
        <v>36</v>
      </c>
      <c r="BT36" s="5">
        <f t="shared" si="11"/>
        <v>35</v>
      </c>
      <c r="BU36" s="5">
        <f t="shared" si="12"/>
        <v>1</v>
      </c>
    </row>
    <row r="37" spans="1:73">
      <c r="A37" s="5">
        <v>29</v>
      </c>
      <c r="B37" s="5">
        <v>34</v>
      </c>
      <c r="C37" s="156" t="s">
        <v>66</v>
      </c>
      <c r="D37" s="41"/>
      <c r="E37" s="5">
        <f>IF(AND(AZ37&gt;0,$A37&lt;VLOOKUP(AZ$1,$C:$L,10,FALSE)),1,IF(AND(AZ37&lt;0,$A37&gt;VLOOKUP(AZ$1,$C:$L,10,FALSE)),1,0))</f>
        <v>0</v>
      </c>
      <c r="F37" s="5">
        <f>IF(AND(BA37&gt;0,$A37&lt;VLOOKUP(BA$1,$C:$L,10,FALSE)),1,IF(AND(BA37&lt;0,$A37&gt;VLOOKUP(BA$1,$C:$L,10,FALSE)),1,0))</f>
        <v>1</v>
      </c>
      <c r="G37" s="5">
        <f>IF(AND(BB37&gt;0,$A37&lt;VLOOKUP(BB$1,$C:$L,10,FALSE)),1,IF(AND(BB37&lt;0,$A37&gt;VLOOKUP(BB$1,$C:$L,10,FALSE)),1,0))</f>
        <v>1</v>
      </c>
      <c r="H37" s="5">
        <f>IF(AND(BE37&gt;0,$A37&lt;VLOOKUP(BE$1,$C:$L,10,FALSE)),1,IF(AND(BE37&lt;0,$A37&gt;VLOOKUP(BE$1,$C:$L,10,FALSE)),1,0))</f>
        <v>1</v>
      </c>
      <c r="I37" s="5">
        <f>IF(AND(BF37&gt;0,$A37&lt;VLOOKUP(BF$1,$C:$L,10,FALSE)),1,IF(AND(BF37&lt;0,$A37&gt;VLOOKUP(BF$1,$C:$L,10,FALSE)),1,0))</f>
        <v>1</v>
      </c>
      <c r="J37" s="5">
        <f>IF(AND(BI37&gt;0,$A37&lt;VLOOKUP(BI$1,$C:$L,10,FALSE)),1,IF(AND(BI37&lt;0,$A37&gt;VLOOKUP(BI$1,$C:$L,10,FALSE)),1,0))</f>
        <v>1</v>
      </c>
      <c r="K37" s="79" t="s">
        <v>134</v>
      </c>
      <c r="L37" s="5">
        <f t="shared" si="0"/>
        <v>34</v>
      </c>
      <c r="M37" s="2">
        <v>9</v>
      </c>
      <c r="N37" s="11">
        <f t="shared" si="37"/>
        <v>6</v>
      </c>
      <c r="O37" s="2">
        <f t="shared" si="38"/>
        <v>0</v>
      </c>
      <c r="P37" s="2">
        <f t="shared" si="39"/>
        <v>0</v>
      </c>
      <c r="Q37" s="12">
        <f t="shared" ref="Q37:Q38" si="43">COUNTIF($BD37:$BF37,"&gt;0")</f>
        <v>2</v>
      </c>
      <c r="R37" s="13">
        <f t="shared" ref="R37:R38" si="44">COUNTIF($BD37:$BF37,"&lt;0")</f>
        <v>0</v>
      </c>
      <c r="S37" s="14">
        <f t="shared" ref="S37:S38" si="45">COUNTIF($BD37:$BF37,"=0")</f>
        <v>0</v>
      </c>
      <c r="T37" s="2">
        <f t="shared" si="4"/>
        <v>0</v>
      </c>
      <c r="AV37" s="2" t="str">
        <f>IFERROR(IFERROR(VLOOKUP($C37&amp;" "&amp;AV$1,Results!$F:$H,3,FALSE),-VLOOKUP($C37&amp;" "&amp;AV$1,Results!$G:$H,2,FALSE)),"")</f>
        <v/>
      </c>
      <c r="AW37" s="2" t="str">
        <f>IFERROR(IFERROR(VLOOKUP($C37&amp;" "&amp;AW$1,Results!$F:$H,3,FALSE),-VLOOKUP($C37&amp;" "&amp;AW$1,Results!$G:$H,2,FALSE)),"")</f>
        <v/>
      </c>
      <c r="AX37" s="2" t="str">
        <f>IFERROR(IFERROR(VLOOKUP($C37&amp;" "&amp;AX$1,Results!$F:$H,3,FALSE),-VLOOKUP($C37&amp;" "&amp;AX$1,Results!$G:$H,2,FALSE)),"")</f>
        <v/>
      </c>
      <c r="AY37" s="2" t="str">
        <f>IFERROR(IFERROR(VLOOKUP($C37&amp;" "&amp;AY$1,Results!$F:$H,3,FALSE),-VLOOKUP($C37&amp;" "&amp;AY$1,Results!$G:$H,2,FALSE)),"")</f>
        <v/>
      </c>
      <c r="AZ37" s="19" t="str">
        <f>IFERROR(IFERROR(VLOOKUP($C37&amp;" "&amp;AZ$1,Results!$F:$H,3,FALSE),-VLOOKUP($C37&amp;" "&amp;AZ$1,Results!$G:$H,2,FALSE)),"")</f>
        <v/>
      </c>
      <c r="BA37" s="19" t="str">
        <f>IFERROR(IFERROR(VLOOKUP($C37&amp;" "&amp;BA$1,Results!$F:$H,3,FALSE),-VLOOKUP($C37&amp;" "&amp;BA$1,Results!$G:$H,2,FALSE)),"")</f>
        <v/>
      </c>
      <c r="BB37" s="19" t="str">
        <f>IFERROR(IFERROR(VLOOKUP($C37&amp;" "&amp;BB$1,Results!$F:$H,3,FALSE),-VLOOKUP($C37&amp;" "&amp;BB$1,Results!$G:$H,2,FALSE)),"")</f>
        <v/>
      </c>
      <c r="BC37" s="19">
        <f>IFERROR(IFERROR(VLOOKUP($C37&amp;" "&amp;BC$1,Results!$F:$H,3,FALSE),-VLOOKUP($C37&amp;" "&amp;BC$1,Results!$G:$H,2,FALSE)),"")</f>
        <v>58</v>
      </c>
      <c r="BD37" s="51">
        <f>IFERROR(IFERROR(VLOOKUP($C37&amp;" "&amp;BD$1,Results!$F:$H,3,FALSE),-VLOOKUP($C37&amp;" "&amp;BD$1,Results!$G:$H,2,FALSE)),"")</f>
        <v>134</v>
      </c>
      <c r="BE37" s="2" t="str">
        <f>IFERROR(IFERROR(VLOOKUP($C37&amp;" "&amp;BE$1,Results!$F:$H,3,FALSE),-VLOOKUP($C37&amp;" "&amp;BE$1,Results!$G:$H,2,FALSE)),"")</f>
        <v/>
      </c>
      <c r="BF37" s="56">
        <f>IFERROR(IFERROR(VLOOKUP($C37&amp;" "&amp;BF$1,Results!$F:$H,3,FALSE),-VLOOKUP($C37&amp;" "&amp;BF$1,Results!$G:$H,2,FALSE)),"")</f>
        <v>130</v>
      </c>
      <c r="BG37" s="2">
        <f>IFERROR(IFERROR(VLOOKUP($C37&amp;" "&amp;BG$1,Results!$F:$H,3,FALSE),-VLOOKUP($C37&amp;" "&amp;BG$1,Results!$G:$H,2,FALSE)),"")</f>
        <v>178</v>
      </c>
      <c r="BH37" s="2">
        <f>IFERROR(IFERROR(VLOOKUP($C37&amp;" "&amp;BH$1,Results!$F:$H,3,FALSE),-VLOOKUP($C37&amp;" "&amp;BH$1,Results!$G:$H,2,FALSE)),"")</f>
        <v>210</v>
      </c>
      <c r="BI37" s="2">
        <f>IFERROR(IFERROR(VLOOKUP($C37&amp;" "&amp;BI$1,Results!$F:$H,3,FALSE),-VLOOKUP($C37&amp;" "&amp;BI$1,Results!$G:$H,2,FALSE)),"")</f>
        <v>188</v>
      </c>
      <c r="BJ37" s="82">
        <f t="shared" si="5"/>
        <v>710</v>
      </c>
      <c r="BK37" s="5">
        <f t="shared" si="6"/>
        <v>5</v>
      </c>
      <c r="BL37" s="5">
        <f t="shared" si="7"/>
        <v>1</v>
      </c>
      <c r="BM37" s="5">
        <f t="shared" si="8"/>
        <v>6</v>
      </c>
      <c r="BN37" s="65">
        <f t="shared" si="9"/>
        <v>0.83333333333333337</v>
      </c>
      <c r="BQ37" s="60">
        <f t="shared" si="10"/>
        <v>898</v>
      </c>
      <c r="BS37" s="5">
        <v>35</v>
      </c>
      <c r="BT37" s="5">
        <f t="shared" si="11"/>
        <v>29</v>
      </c>
      <c r="BU37" s="5">
        <f t="shared" si="12"/>
        <v>6</v>
      </c>
    </row>
    <row r="38" spans="1:73" ht="13.5" thickBot="1">
      <c r="A38" s="5">
        <v>31</v>
      </c>
      <c r="B38" s="5">
        <v>35</v>
      </c>
      <c r="C38" s="41" t="s">
        <v>70</v>
      </c>
      <c r="D38" s="41"/>
      <c r="E38" s="5">
        <f>IF(AND(AY38&gt;0,$A38&lt;VLOOKUP(AY$1,$C:$L,10,FALSE)),1,IF(AND(AY38&lt;0,$A38&gt;VLOOKUP(AY$1,$C:$L,10,FALSE)),1,0))</f>
        <v>0</v>
      </c>
      <c r="F38" s="5">
        <f>IF(AND(AZ38&gt;0,$A38&lt;VLOOKUP(AZ$1,$C:$L,10,FALSE)),1,IF(AND(AZ38&lt;0,$A38&gt;VLOOKUP(AZ$1,$C:$L,10,FALSE)),1,0))</f>
        <v>0</v>
      </c>
      <c r="G38" s="5">
        <f>IF(AND(BA38&gt;0,$A38&lt;VLOOKUP(BA$1,$C:$L,10,FALSE)),1,IF(AND(BA38&lt;0,$A38&gt;VLOOKUP(BA$1,$C:$L,10,FALSE)),1,0))</f>
        <v>0</v>
      </c>
      <c r="H38" s="5">
        <f>IF(AND(BC38&gt;0,$A38&lt;VLOOKUP(BC$1,$C:$L,10,FALSE)),1,IF(AND(BC38&lt;0,$A38&gt;VLOOKUP(BC$1,$C:$L,10,FALSE)),1,0))</f>
        <v>1</v>
      </c>
      <c r="I38" s="5">
        <f>IF(AND(BD38&gt;0,$A38&lt;VLOOKUP(BD$1,$C:$L,10,FALSE)),1,IF(AND(BD38&lt;0,$A38&gt;VLOOKUP(BD$1,$C:$L,10,FALSE)),1,0))</f>
        <v>1</v>
      </c>
      <c r="J38" s="5">
        <f>IF(AND(BG38&gt;0,$A38&lt;VLOOKUP(BG$1,$C:$L,10,FALSE)),1,IF(AND(BG38&lt;0,$A38&gt;VLOOKUP(BG$1,$C:$L,10,FALSE)),1,0))</f>
        <v>1</v>
      </c>
      <c r="K38" s="79" t="s">
        <v>134</v>
      </c>
      <c r="L38" s="5">
        <f t="shared" si="0"/>
        <v>35</v>
      </c>
      <c r="M38" s="2">
        <v>9</v>
      </c>
      <c r="N38" s="11">
        <f t="shared" si="37"/>
        <v>5</v>
      </c>
      <c r="O38" s="2">
        <f t="shared" si="38"/>
        <v>1</v>
      </c>
      <c r="P38" s="2">
        <f t="shared" si="39"/>
        <v>0</v>
      </c>
      <c r="Q38" s="12">
        <f t="shared" si="43"/>
        <v>1</v>
      </c>
      <c r="R38" s="13">
        <f t="shared" si="44"/>
        <v>1</v>
      </c>
      <c r="S38" s="14">
        <f t="shared" si="45"/>
        <v>0</v>
      </c>
      <c r="T38" s="2">
        <f t="shared" si="4"/>
        <v>0</v>
      </c>
      <c r="AV38" s="2" t="str">
        <f>IFERROR(IFERROR(VLOOKUP($C38&amp;" "&amp;AV$1,Results!$F:$H,3,FALSE),-VLOOKUP($C38&amp;" "&amp;AV$1,Results!$G:$H,2,FALSE)),"")</f>
        <v/>
      </c>
      <c r="AW38" s="2" t="str">
        <f>IFERROR(IFERROR(VLOOKUP($C38&amp;" "&amp;AW$1,Results!$F:$H,3,FALSE),-VLOOKUP($C38&amp;" "&amp;AW$1,Results!$G:$H,2,FALSE)),"")</f>
        <v/>
      </c>
      <c r="AX38" s="2" t="str">
        <f>IFERROR(IFERROR(VLOOKUP($C38&amp;" "&amp;AX$1,Results!$F:$H,3,FALSE),-VLOOKUP($C38&amp;" "&amp;AX$1,Results!$G:$H,2,FALSE)),"")</f>
        <v/>
      </c>
      <c r="AY38" s="2" t="str">
        <f>IFERROR(IFERROR(VLOOKUP($C38&amp;" "&amp;AY$1,Results!$F:$H,3,FALSE),-VLOOKUP($C38&amp;" "&amp;AY$1,Results!$G:$H,2,FALSE)),"")</f>
        <v/>
      </c>
      <c r="AZ38" s="19" t="str">
        <f>IFERROR(IFERROR(VLOOKUP($C38&amp;" "&amp;AZ$1,Results!$F:$H,3,FALSE),-VLOOKUP($C38&amp;" "&amp;AZ$1,Results!$G:$H,2,FALSE)),"")</f>
        <v/>
      </c>
      <c r="BA38" s="19" t="str">
        <f>IFERROR(IFERROR(VLOOKUP($C38&amp;" "&amp;BA$1,Results!$F:$H,3,FALSE),-VLOOKUP($C38&amp;" "&amp;BA$1,Results!$G:$H,2,FALSE)),"")</f>
        <v/>
      </c>
      <c r="BB38" s="19" t="str">
        <f>IFERROR(IFERROR(VLOOKUP($C38&amp;" "&amp;BB$1,Results!$F:$H,3,FALSE),-VLOOKUP($C38&amp;" "&amp;BB$1,Results!$G:$H,2,FALSE)),"")</f>
        <v/>
      </c>
      <c r="BC38" s="19">
        <f>IFERROR(IFERROR(VLOOKUP($C38&amp;" "&amp;BC$1,Results!$F:$H,3,FALSE),-VLOOKUP($C38&amp;" "&amp;BC$1,Results!$G:$H,2,FALSE)),"")</f>
        <v>88</v>
      </c>
      <c r="BD38" s="52">
        <f>IFERROR(IFERROR(VLOOKUP($C38&amp;" "&amp;BD$1,Results!$F:$H,3,FALSE),-VLOOKUP($C38&amp;" "&amp;BD$1,Results!$G:$H,2,FALSE)),"")</f>
        <v>112</v>
      </c>
      <c r="BE38" s="57">
        <f>IFERROR(IFERROR(VLOOKUP($C38&amp;" "&amp;BE$1,Results!$F:$H,3,FALSE),-VLOOKUP($C38&amp;" "&amp;BE$1,Results!$G:$H,2,FALSE)),"")</f>
        <v>-130</v>
      </c>
      <c r="BF38" s="58" t="str">
        <f>IFERROR(IFERROR(VLOOKUP($C38&amp;" "&amp;BF$1,Results!$F:$H,3,FALSE),-VLOOKUP($C38&amp;" "&amp;BF$1,Results!$G:$H,2,FALSE)),"")</f>
        <v/>
      </c>
      <c r="BG38" s="2">
        <f>IFERROR(IFERROR(VLOOKUP($C38&amp;" "&amp;BG$1,Results!$F:$H,3,FALSE),-VLOOKUP($C38&amp;" "&amp;BG$1,Results!$G:$H,2,FALSE)),"")</f>
        <v>168</v>
      </c>
      <c r="BH38" s="2">
        <f>IFERROR(IFERROR(VLOOKUP($C38&amp;" "&amp;BH$1,Results!$F:$H,3,FALSE),-VLOOKUP($C38&amp;" "&amp;BH$1,Results!$G:$H,2,FALSE)),"")</f>
        <v>127</v>
      </c>
      <c r="BI38" s="2">
        <f>IFERROR(IFERROR(VLOOKUP($C38&amp;" "&amp;BI$1,Results!$F:$H,3,FALSE),-VLOOKUP($C38&amp;" "&amp;BI$1,Results!$G:$H,2,FALSE)),"")</f>
        <v>85</v>
      </c>
      <c r="BJ38" s="82">
        <f t="shared" si="5"/>
        <v>365</v>
      </c>
      <c r="BK38" s="5">
        <f t="shared" si="6"/>
        <v>3</v>
      </c>
      <c r="BL38" s="5">
        <f t="shared" si="7"/>
        <v>3</v>
      </c>
      <c r="BM38" s="5">
        <f t="shared" si="8"/>
        <v>6</v>
      </c>
      <c r="BN38" s="65">
        <f t="shared" si="9"/>
        <v>0.5</v>
      </c>
      <c r="BQ38" s="60">
        <f t="shared" si="10"/>
        <v>450</v>
      </c>
      <c r="BS38" s="5">
        <v>30</v>
      </c>
      <c r="BT38" s="5">
        <f t="shared" si="11"/>
        <v>31</v>
      </c>
      <c r="BU38" s="5">
        <f t="shared" si="12"/>
        <v>-1</v>
      </c>
    </row>
    <row r="39" spans="1:73">
      <c r="A39" s="38">
        <v>34</v>
      </c>
      <c r="B39" s="38">
        <v>36</v>
      </c>
      <c r="C39" s="156" t="s">
        <v>182</v>
      </c>
      <c r="D39" s="41"/>
      <c r="E39" s="5">
        <f>IF(AND(BA39&gt;0,$A39&lt;VLOOKUP(BA$1,$C:$L,10,FALSE)),1,IF(AND(BA39&lt;0,$A39&gt;VLOOKUP(BA$1,$C:$L,10,FALSE)),1,0))</f>
        <v>0</v>
      </c>
      <c r="F39" s="5">
        <f>IF(AND(BD39&gt;0,$A39&lt;VLOOKUP(BD$1,$C:$L,10,FALSE)),1,IF(AND(BD39&lt;0,$A39&gt;VLOOKUP(BD$1,$C:$L,10,FALSE)),1,0))</f>
        <v>1</v>
      </c>
      <c r="G39" s="5">
        <f>IF(AND(BE39&gt;0,$A39&lt;VLOOKUP(BE$1,$C:$L,10,FALSE)),1,IF(AND(BE39&lt;0,$A39&gt;VLOOKUP(BE$1,$C:$L,10,FALSE)),1,0))</f>
        <v>0</v>
      </c>
      <c r="H39" s="5">
        <f>IF(AND(BF39&gt;0,$A39&lt;VLOOKUP(BF$1,$C:$L,10,FALSE)),1,IF(AND(BF39&lt;0,$A39&gt;VLOOKUP(BF$1,$C:$L,10,FALSE)),1,0))</f>
        <v>0</v>
      </c>
      <c r="I39" s="5">
        <f>IF(AND(BG39&gt;0,$A39&lt;VLOOKUP(BG$1,$C:$L,10,FALSE)),1,IF(AND(BG39&lt;0,$A39&gt;VLOOKUP(BG$1,$C:$L,10,FALSE)),1,0))</f>
        <v>1</v>
      </c>
      <c r="J39" s="5">
        <f>IF(AND(BI39&gt;0,$A39&lt;VLOOKUP(BI$1,$C:$L,10,FALSE)),1,IF(AND(BI39&lt;0,$A39&gt;VLOOKUP(BI$1,$C:$L,10,FALSE)),1,0))</f>
        <v>1</v>
      </c>
      <c r="K39" s="79" t="s">
        <v>134</v>
      </c>
      <c r="L39" s="5">
        <f t="shared" si="0"/>
        <v>36</v>
      </c>
      <c r="M39" s="2">
        <v>10</v>
      </c>
      <c r="N39" s="11">
        <f t="shared" si="37"/>
        <v>2</v>
      </c>
      <c r="O39" s="2">
        <f t="shared" si="38"/>
        <v>4</v>
      </c>
      <c r="P39" s="2">
        <f t="shared" si="39"/>
        <v>0</v>
      </c>
      <c r="Q39" s="12">
        <f>COUNTIF($BG39:$BI39,"&gt;0")</f>
        <v>2</v>
      </c>
      <c r="R39" s="13">
        <f>COUNTIF($BG39:$BI39,"&lt;0")</f>
        <v>0</v>
      </c>
      <c r="S39" s="14">
        <f>COUNTIF($BG39:$BI39,"=0")</f>
        <v>0</v>
      </c>
      <c r="T39" s="2">
        <f t="shared" si="4"/>
        <v>0</v>
      </c>
      <c r="AV39" s="2" t="str">
        <f>IFERROR(IFERROR(VLOOKUP($C39&amp;" "&amp;AV$1,Results!$F:$H,3,FALSE),-VLOOKUP($C39&amp;" "&amp;AV$1,Results!$G:$H,2,FALSE)),"")</f>
        <v/>
      </c>
      <c r="AW39" s="2" t="str">
        <f>IFERROR(IFERROR(VLOOKUP($C39&amp;" "&amp;AW$1,Results!$F:$H,3,FALSE),-VLOOKUP($C39&amp;" "&amp;AW$1,Results!$G:$H,2,FALSE)),"")</f>
        <v/>
      </c>
      <c r="AX39" s="2" t="str">
        <f>IFERROR(IFERROR(VLOOKUP($C39&amp;" "&amp;AX$1,Results!$F:$H,3,FALSE),-VLOOKUP($C39&amp;" "&amp;AX$1,Results!$G:$H,2,FALSE)),"")</f>
        <v/>
      </c>
      <c r="AY39" s="2" t="str">
        <f>IFERROR(IFERROR(VLOOKUP($C39&amp;" "&amp;AY$1,Results!$F:$H,3,FALSE),-VLOOKUP($C39&amp;" "&amp;AY$1,Results!$G:$H,2,FALSE)),"")</f>
        <v/>
      </c>
      <c r="AZ39" s="2" t="str">
        <f>IFERROR(IFERROR(VLOOKUP($C39&amp;" "&amp;AZ$1,Results!$F:$H,3,FALSE),-VLOOKUP($C39&amp;" "&amp;AZ$1,Results!$G:$H,2,FALSE)),"")</f>
        <v/>
      </c>
      <c r="BA39" s="2" t="str">
        <f>IFERROR(IFERROR(VLOOKUP($C39&amp;" "&amp;BA$1,Results!$F:$H,3,FALSE),-VLOOKUP($C39&amp;" "&amp;BA$1,Results!$G:$H,2,FALSE)),"")</f>
        <v/>
      </c>
      <c r="BB39" s="2">
        <f>IFERROR(IFERROR(VLOOKUP($C39&amp;" "&amp;BB$1,Results!$F:$H,3,FALSE),-VLOOKUP($C39&amp;" "&amp;BB$1,Results!$G:$H,2,FALSE)),"")</f>
        <v>-87</v>
      </c>
      <c r="BC39" s="2" t="str">
        <f>IFERROR(IFERROR(VLOOKUP($C39&amp;" "&amp;BC$1,Results!$F:$H,3,FALSE),-VLOOKUP($C39&amp;" "&amp;BC$1,Results!$G:$H,2,FALSE)),"")</f>
        <v/>
      </c>
      <c r="BD39" s="50">
        <f>IFERROR(IFERROR(VLOOKUP($C39&amp;" "&amp;BD$1,Results!$F:$H,3,FALSE),-VLOOKUP($C39&amp;" "&amp;BD$1,Results!$G:$H,2,FALSE)),"")</f>
        <v>-89</v>
      </c>
      <c r="BE39" s="50">
        <f>IFERROR(IFERROR(VLOOKUP($C39&amp;" "&amp;BE$1,Results!$F:$H,3,FALSE),-VLOOKUP($C39&amp;" "&amp;BE$1,Results!$G:$H,2,FALSE)),"")</f>
        <v>-178</v>
      </c>
      <c r="BF39" s="50">
        <f>IFERROR(IFERROR(VLOOKUP($C39&amp;" "&amp;BF$1,Results!$F:$H,3,FALSE),-VLOOKUP($C39&amp;" "&amp;BF$1,Results!$G:$H,2,FALSE)),"")</f>
        <v>-168</v>
      </c>
      <c r="BG39" s="37" t="str">
        <f>IFERROR(IFERROR(VLOOKUP($C39&amp;" "&amp;BG$1,Results!$F:$H,3,FALSE),-VLOOKUP($C39&amp;" "&amp;BG$1,Results!$G:$H,2,FALSE)),"")</f>
        <v/>
      </c>
      <c r="BH39" s="50">
        <f>IFERROR(IFERROR(VLOOKUP($C39&amp;" "&amp;BH$1,Results!$F:$H,3,FALSE),-VLOOKUP($C39&amp;" "&amp;BH$1,Results!$G:$H,2,FALSE)),"")</f>
        <v>35</v>
      </c>
      <c r="BI39" s="129">
        <f>IFERROR(IFERROR(VLOOKUP($C39&amp;" "&amp;BI$1,Results!$F:$H,3,FALSE),-VLOOKUP($C39&amp;" "&amp;BI$1,Results!$G:$H,2,FALSE)),"")</f>
        <v>76</v>
      </c>
      <c r="BJ39" s="82">
        <f t="shared" si="5"/>
        <v>-487</v>
      </c>
      <c r="BK39" s="5">
        <f t="shared" si="6"/>
        <v>3</v>
      </c>
      <c r="BL39" s="5">
        <f t="shared" si="7"/>
        <v>3</v>
      </c>
      <c r="BM39" s="5">
        <f t="shared" si="8"/>
        <v>6</v>
      </c>
      <c r="BN39" s="65">
        <f t="shared" si="9"/>
        <v>0.5</v>
      </c>
      <c r="BQ39" s="60">
        <f t="shared" si="10"/>
        <v>-411</v>
      </c>
      <c r="BS39" s="38">
        <v>37</v>
      </c>
      <c r="BT39" s="5">
        <f t="shared" si="11"/>
        <v>34</v>
      </c>
      <c r="BU39" s="5">
        <f t="shared" si="12"/>
        <v>3</v>
      </c>
    </row>
    <row r="40" spans="1:73" ht="12.75" customHeight="1">
      <c r="A40" s="5">
        <v>36</v>
      </c>
      <c r="B40" s="5">
        <v>37</v>
      </c>
      <c r="C40" s="41" t="s">
        <v>118</v>
      </c>
      <c r="D40" s="41"/>
      <c r="E40" s="5">
        <f t="shared" ref="E40:G41" si="46">IF(AND(BC40&gt;0,$A40&lt;VLOOKUP(BC$1,$C:$L,10,FALSE)),1,IF(AND(BC40&lt;0,$A40&gt;VLOOKUP(BC$1,$C:$L,10,FALSE)),1,0))</f>
        <v>0</v>
      </c>
      <c r="F40" s="5">
        <f t="shared" si="46"/>
        <v>0</v>
      </c>
      <c r="G40" s="5">
        <f t="shared" si="46"/>
        <v>1</v>
      </c>
      <c r="H40" s="5">
        <f>IF(AND(BG40&gt;0,$A40&lt;VLOOKUP(BG$1,$C:$L,10,FALSE)),1,IF(AND(BG40&lt;0,$A40&gt;VLOOKUP(BG$1,$C:$L,10,FALSE)),1,0))</f>
        <v>0</v>
      </c>
      <c r="I40" s="5">
        <f>IF(AND(BH40&gt;0,$A40&lt;VLOOKUP(BH$1,$C:$L,10,FALSE)),1,IF(AND(BH40&lt;0,$A40&gt;VLOOKUP(BH$1,$C:$L,10,FALSE)),1,0))</f>
        <v>1</v>
      </c>
      <c r="J40" s="5">
        <f>IF(AND(BI40&gt;0,$A40&lt;VLOOKUP(BI$1,$C:$L,10,FALSE)),1,IF(AND(BI40&lt;0,$A40&gt;VLOOKUP(BI$1,$C:$L,10,FALSE)),1,0))</f>
        <v>1</v>
      </c>
      <c r="K40" s="79" t="s">
        <v>134</v>
      </c>
      <c r="L40" s="5">
        <f t="shared" si="0"/>
        <v>37</v>
      </c>
      <c r="M40" s="2">
        <v>10</v>
      </c>
      <c r="N40" s="11">
        <f t="shared" si="37"/>
        <v>2</v>
      </c>
      <c r="O40" s="2">
        <f t="shared" si="38"/>
        <v>4</v>
      </c>
      <c r="P40" s="2">
        <f t="shared" si="39"/>
        <v>0</v>
      </c>
      <c r="Q40" s="12">
        <f t="shared" ref="Q40:Q41" si="47">COUNTIF($BG40:$BI40,"&gt;0")</f>
        <v>1</v>
      </c>
      <c r="R40" s="13">
        <f t="shared" ref="R40:R41" si="48">COUNTIF($BG40:$BI40,"&lt;0")</f>
        <v>1</v>
      </c>
      <c r="S40" s="14">
        <f t="shared" ref="S40:S41" si="49">COUNTIF($BG40:$BI40,"=0")</f>
        <v>0</v>
      </c>
      <c r="T40" s="2">
        <f t="shared" si="4"/>
        <v>0</v>
      </c>
      <c r="AV40" s="2" t="str">
        <f>IFERROR(IFERROR(VLOOKUP($C40&amp;" "&amp;AV$1,Results!$F:$H,3,FALSE),-VLOOKUP($C40&amp;" "&amp;AV$1,Results!$G:$H,2,FALSE)),"")</f>
        <v/>
      </c>
      <c r="AW40" s="2" t="str">
        <f>IFERROR(IFERROR(VLOOKUP($C40&amp;" "&amp;AW$1,Results!$F:$H,3,FALSE),-VLOOKUP($C40&amp;" "&amp;AW$1,Results!$G:$H,2,FALSE)),"")</f>
        <v/>
      </c>
      <c r="AX40" s="15" t="str">
        <f>IFERROR(IFERROR(VLOOKUP($C40&amp;" "&amp;AX$1,Results!$F:$H,3,FALSE),-VLOOKUP($C40&amp;" "&amp;AX$1,Results!$G:$H,2,FALSE)),"")</f>
        <v/>
      </c>
      <c r="AY40" s="15" t="str">
        <f>IFERROR(IFERROR(VLOOKUP($C40&amp;" "&amp;AY$1,Results!$F:$H,3,FALSE),-VLOOKUP($C40&amp;" "&amp;AY$1,Results!$G:$H,2,FALSE)),"")</f>
        <v/>
      </c>
      <c r="AZ40" s="15" t="str">
        <f>IFERROR(IFERROR(VLOOKUP($C40&amp;" "&amp;AZ$1,Results!$F:$H,3,FALSE),-VLOOKUP($C40&amp;" "&amp;AZ$1,Results!$G:$H,2,FALSE)),"")</f>
        <v/>
      </c>
      <c r="BA40" s="15">
        <f>IFERROR(IFERROR(VLOOKUP($C40&amp;" "&amp;BA$1,Results!$F:$H,3,FALSE),-VLOOKUP($C40&amp;" "&amp;BA$1,Results!$G:$H,2,FALSE)),"")</f>
        <v>-77</v>
      </c>
      <c r="BB40" s="15" t="str">
        <f>IFERROR(IFERROR(VLOOKUP($C40&amp;" "&amp;BB$1,Results!$F:$H,3,FALSE),-VLOOKUP($C40&amp;" "&amp;BB$1,Results!$G:$H,2,FALSE)),"")</f>
        <v/>
      </c>
      <c r="BC40" s="2" t="str">
        <f>IFERROR(IFERROR(VLOOKUP($C40&amp;" "&amp;BC$1,Results!$F:$H,3,FALSE),-VLOOKUP($C40&amp;" "&amp;BC$1,Results!$G:$H,2,FALSE)),"")</f>
        <v/>
      </c>
      <c r="BD40" s="2">
        <f>IFERROR(IFERROR(VLOOKUP($C40&amp;" "&amp;BD$1,Results!$F:$H,3,FALSE),-VLOOKUP($C40&amp;" "&amp;BD$1,Results!$G:$H,2,FALSE)),"")</f>
        <v>74</v>
      </c>
      <c r="BE40" s="15">
        <f>IFERROR(IFERROR(VLOOKUP($C40&amp;" "&amp;BE$1,Results!$F:$H,3,FALSE),-VLOOKUP($C40&amp;" "&amp;BE$1,Results!$G:$H,2,FALSE)),"")</f>
        <v>-210</v>
      </c>
      <c r="BF40" s="15">
        <f>IFERROR(IFERROR(VLOOKUP($C40&amp;" "&amp;BF$1,Results!$F:$H,3,FALSE),-VLOOKUP($C40&amp;" "&amp;BF$1,Results!$G:$H,2,FALSE)),"")</f>
        <v>-127</v>
      </c>
      <c r="BG40" s="77">
        <f>IFERROR(IFERROR(VLOOKUP($C40&amp;" "&amp;BG$1,Results!$F:$H,3,FALSE),-VLOOKUP($C40&amp;" "&amp;BG$1,Results!$G:$H,2,FALSE)),"")</f>
        <v>-35</v>
      </c>
      <c r="BH40" s="6" t="str">
        <f>IFERROR(IFERROR(VLOOKUP($C40&amp;" "&amp;BH$1,Results!$F:$H,3,FALSE),-VLOOKUP($C40&amp;" "&amp;BH$1,Results!$G:$H,2,FALSE)),"")</f>
        <v/>
      </c>
      <c r="BI40" s="130">
        <f>IFERROR(IFERROR(VLOOKUP($C40&amp;" "&amp;BI$1,Results!$F:$H,3,FALSE),-VLOOKUP($C40&amp;" "&amp;BI$1,Results!$G:$H,2,FALSE)),"")</f>
        <v>62</v>
      </c>
      <c r="BJ40" s="82">
        <f t="shared" si="5"/>
        <v>-375</v>
      </c>
      <c r="BK40" s="5">
        <f t="shared" si="6"/>
        <v>3</v>
      </c>
      <c r="BL40" s="5">
        <f t="shared" si="7"/>
        <v>3</v>
      </c>
      <c r="BM40" s="5">
        <f t="shared" si="8"/>
        <v>6</v>
      </c>
      <c r="BN40" s="65">
        <f t="shared" si="9"/>
        <v>0.5</v>
      </c>
      <c r="BQ40" s="60">
        <f t="shared" si="10"/>
        <v>-313</v>
      </c>
      <c r="BS40" s="5">
        <v>33</v>
      </c>
      <c r="BT40" s="5">
        <f t="shared" si="11"/>
        <v>36</v>
      </c>
      <c r="BU40" s="5">
        <f t="shared" si="12"/>
        <v>-3</v>
      </c>
    </row>
    <row r="41" spans="1:73" ht="12.75" customHeight="1" thickBot="1">
      <c r="A41" s="5">
        <v>37</v>
      </c>
      <c r="B41" s="5">
        <v>38</v>
      </c>
      <c r="C41" s="159" t="s">
        <v>106</v>
      </c>
      <c r="D41" s="41"/>
      <c r="E41" s="5">
        <f t="shared" si="46"/>
        <v>1</v>
      </c>
      <c r="F41" s="5">
        <f t="shared" si="46"/>
        <v>1</v>
      </c>
      <c r="G41" s="5">
        <f t="shared" si="46"/>
        <v>1</v>
      </c>
      <c r="H41" s="5">
        <f>IF(AND(BF41&gt;0,$A41&lt;VLOOKUP(BF$1,$C:$L,10,FALSE)),1,IF(AND(BF41&lt;0,$A41&gt;VLOOKUP(BF$1,$C:$L,10,FALSE)),1,0))</f>
        <v>1</v>
      </c>
      <c r="I41" s="5">
        <f>IF(AND(BG41&gt;0,$A41&lt;VLOOKUP(BG$1,$C:$L,10,FALSE)),1,IF(AND(BG41&lt;0,$A41&gt;VLOOKUP(BG$1,$C:$L,10,FALSE)),1,0))</f>
        <v>1</v>
      </c>
      <c r="J41" s="5">
        <f>IF(AND(BH41&gt;0,$A41&lt;VLOOKUP(BH$1,$C:$L,10,FALSE)),1,IF(AND(BH41&lt;0,$A41&gt;VLOOKUP(BH$1,$C:$L,10,FALSE)),1,0))</f>
        <v>0</v>
      </c>
      <c r="K41" s="79" t="s">
        <v>134</v>
      </c>
      <c r="L41" s="5">
        <f t="shared" si="0"/>
        <v>38</v>
      </c>
      <c r="M41" s="2">
        <v>10</v>
      </c>
      <c r="N41" s="11">
        <f t="shared" si="37"/>
        <v>0</v>
      </c>
      <c r="O41" s="2">
        <f t="shared" si="38"/>
        <v>6</v>
      </c>
      <c r="P41" s="2">
        <f t="shared" si="39"/>
        <v>0</v>
      </c>
      <c r="Q41" s="12">
        <f t="shared" si="47"/>
        <v>0</v>
      </c>
      <c r="R41" s="13">
        <f t="shared" si="48"/>
        <v>2</v>
      </c>
      <c r="S41" s="14">
        <f t="shared" si="49"/>
        <v>0</v>
      </c>
      <c r="T41" s="2">
        <f t="shared" si="4"/>
        <v>0</v>
      </c>
      <c r="AV41" s="2" t="str">
        <f>IFERROR(IFERROR(VLOOKUP($C41&amp;" "&amp;AV$1,Results!$F:$H,3,FALSE),-VLOOKUP($C41&amp;" "&amp;AV$1,Results!$G:$H,2,FALSE)),"")</f>
        <v/>
      </c>
      <c r="AW41" s="2" t="str">
        <f>IFERROR(IFERROR(VLOOKUP($C41&amp;" "&amp;AW$1,Results!$F:$H,3,FALSE),-VLOOKUP($C41&amp;" "&amp;AW$1,Results!$G:$H,2,FALSE)),"")</f>
        <v/>
      </c>
      <c r="AX41" s="2" t="str">
        <f>IFERROR(IFERROR(VLOOKUP($C41&amp;" "&amp;AX$1,Results!$F:$H,3,FALSE),-VLOOKUP($C41&amp;" "&amp;AX$1,Results!$G:$H,2,FALSE)),"")</f>
        <v/>
      </c>
      <c r="AY41" s="2" t="str">
        <f>IFERROR(IFERROR(VLOOKUP($C41&amp;" "&amp;AY$1,Results!$F:$H,3,FALSE),-VLOOKUP($C41&amp;" "&amp;AY$1,Results!$G:$H,2,FALSE)),"")</f>
        <v/>
      </c>
      <c r="AZ41" s="2" t="str">
        <f>IFERROR(IFERROR(VLOOKUP($C41&amp;" "&amp;AZ$1,Results!$F:$H,3,FALSE),-VLOOKUP($C41&amp;" "&amp;AZ$1,Results!$G:$H,2,FALSE)),"")</f>
        <v/>
      </c>
      <c r="BA41" s="2" t="str">
        <f>IFERROR(IFERROR(VLOOKUP($C41&amp;" "&amp;BA$1,Results!$F:$H,3,FALSE),-VLOOKUP($C41&amp;" "&amp;BA$1,Results!$G:$H,2,FALSE)),"")</f>
        <v/>
      </c>
      <c r="BB41" s="2" t="str">
        <f>IFERROR(IFERROR(VLOOKUP($C41&amp;" "&amp;BB$1,Results!$F:$H,3,FALSE),-VLOOKUP($C41&amp;" "&amp;BB$1,Results!$G:$H,2,FALSE)),"")</f>
        <v/>
      </c>
      <c r="BC41" s="2">
        <f>IFERROR(IFERROR(VLOOKUP($C41&amp;" "&amp;BC$1,Results!$F:$H,3,FALSE),-VLOOKUP($C41&amp;" "&amp;BC$1,Results!$G:$H,2,FALSE)),"")</f>
        <v>-147</v>
      </c>
      <c r="BD41" s="15">
        <f>IFERROR(IFERROR(VLOOKUP($C41&amp;" "&amp;BD$1,Results!$F:$H,3,FALSE),-VLOOKUP($C41&amp;" "&amp;BD$1,Results!$G:$H,2,FALSE)),"")</f>
        <v>-74</v>
      </c>
      <c r="BE41" s="15">
        <f>IFERROR(IFERROR(VLOOKUP($C41&amp;" "&amp;BE$1,Results!$F:$H,3,FALSE),-VLOOKUP($C41&amp;" "&amp;BE$1,Results!$G:$H,2,FALSE)),"")</f>
        <v>-188</v>
      </c>
      <c r="BF41" s="15">
        <f>IFERROR(IFERROR(VLOOKUP($C41&amp;" "&amp;BF$1,Results!$F:$H,3,FALSE),-VLOOKUP($C41&amp;" "&amp;BF$1,Results!$G:$H,2,FALSE)),"")</f>
        <v>-85</v>
      </c>
      <c r="BG41" s="78">
        <f>IFERROR(IFERROR(VLOOKUP($C41&amp;" "&amp;BG$1,Results!$F:$H,3,FALSE),-VLOOKUP($C41&amp;" "&amp;BG$1,Results!$G:$H,2,FALSE)),"")</f>
        <v>-76</v>
      </c>
      <c r="BH41" s="53">
        <f>IFERROR(IFERROR(VLOOKUP($C41&amp;" "&amp;BH$1,Results!$F:$H,3,FALSE),-VLOOKUP($C41&amp;" "&amp;BH$1,Results!$G:$H,2,FALSE)),"")</f>
        <v>-62</v>
      </c>
      <c r="BI41" s="36" t="str">
        <f>IFERROR(IFERROR(VLOOKUP($C41&amp;" "&amp;BI$1,Results!$F:$H,3,FALSE),-VLOOKUP($C41&amp;" "&amp;BI$1,Results!$G:$H,2,FALSE)),"")</f>
        <v/>
      </c>
      <c r="BJ41" s="82">
        <f t="shared" si="5"/>
        <v>-632</v>
      </c>
      <c r="BK41" s="5">
        <f t="shared" si="6"/>
        <v>5</v>
      </c>
      <c r="BL41" s="5">
        <f t="shared" si="7"/>
        <v>1</v>
      </c>
      <c r="BM41" s="5">
        <f t="shared" si="8"/>
        <v>6</v>
      </c>
      <c r="BN41" s="65">
        <f t="shared" si="9"/>
        <v>0.83333333333333337</v>
      </c>
      <c r="BQ41" s="60">
        <f t="shared" si="10"/>
        <v>-632</v>
      </c>
      <c r="BS41" s="5">
        <v>38</v>
      </c>
      <c r="BT41" s="5">
        <f t="shared" si="11"/>
        <v>37</v>
      </c>
      <c r="BU41" s="5">
        <f t="shared" si="12"/>
        <v>1</v>
      </c>
    </row>
    <row r="42" spans="1:73">
      <c r="C42" s="16"/>
      <c r="D42" s="16"/>
      <c r="E42" s="16"/>
      <c r="F42" s="16"/>
      <c r="G42" s="16"/>
      <c r="H42" s="16"/>
      <c r="I42" s="16"/>
      <c r="J42" s="16"/>
      <c r="K42" s="16"/>
      <c r="L42" s="16"/>
      <c r="BG42" s="15"/>
      <c r="BH42" s="15"/>
      <c r="BI42" s="15"/>
      <c r="BJ42" s="61"/>
      <c r="BK42" s="5"/>
      <c r="BL42" s="5"/>
      <c r="BM42" s="5"/>
      <c r="BN42" s="65"/>
    </row>
    <row r="43" spans="1:73">
      <c r="BG43" s="15"/>
      <c r="BH43" s="15"/>
      <c r="BI43" s="15"/>
      <c r="BJ43" s="61"/>
      <c r="BK43" s="5">
        <f>SUM(BK4:BK41)</f>
        <v>131</v>
      </c>
      <c r="BL43" s="5">
        <f>SUM(BL4:BL41)</f>
        <v>91</v>
      </c>
      <c r="BM43" s="5">
        <f>SUM(BM4:BM41)</f>
        <v>222</v>
      </c>
      <c r="BN43" s="65"/>
    </row>
    <row r="44" spans="1:73">
      <c r="BG44" s="15"/>
      <c r="BH44" s="15"/>
      <c r="BI44" s="15"/>
      <c r="BJ44" s="62"/>
      <c r="BK44" s="69">
        <f>BK43/BM43</f>
        <v>0.59009009009009006</v>
      </c>
      <c r="BL44" s="5"/>
      <c r="BM44" s="5"/>
      <c r="BN44" s="65"/>
      <c r="BS44" s="5">
        <v>91.7</v>
      </c>
    </row>
    <row r="45" spans="1:73">
      <c r="BJ45" s="62"/>
      <c r="BK45" s="5"/>
      <c r="BL45" s="5"/>
      <c r="BM45" s="5"/>
      <c r="BN45" s="65"/>
    </row>
    <row r="46" spans="1:73">
      <c r="BJ46" s="62"/>
      <c r="BK46" s="67" t="s">
        <v>117</v>
      </c>
      <c r="BL46" s="5"/>
      <c r="BM46" s="5"/>
      <c r="BN46" s="65"/>
    </row>
    <row r="47" spans="1:73">
      <c r="BJ47" s="62"/>
    </row>
    <row r="48" spans="1:73">
      <c r="BJ48" s="62"/>
    </row>
    <row r="50" spans="64:64">
      <c r="BL50" s="8" t="s">
        <v>185</v>
      </c>
    </row>
  </sheetData>
  <sortState xmlns:xlrd2="http://schemas.microsoft.com/office/spreadsheetml/2017/richdata2" ref="A4:BU41">
    <sortCondition ref="A4:A41"/>
  </sortState>
  <customSheetViews>
    <customSheetView guid="{DE7C2479-4243-442D-8A3C-4D0E1EDB2109}" scale="110" showPageBreaks="1" fitToPage="1" printArea="1">
      <pane xSplit="3" ySplit="3" topLeftCell="N18" activePane="bottomRight" state="frozen"/>
      <selection pane="bottomRight" activeCell="AT24" sqref="AT24:BK41"/>
      <pageMargins left="0.23" right="0.2" top="1" bottom="1" header="0.5" footer="0.5"/>
      <printOptions gridLines="1"/>
      <pageSetup paperSize="5" orientation="landscape" r:id="rId1"/>
      <headerFooter alignWithMargins="0">
        <oddHeader xml:space="preserve">&amp;L2014 TSA Dual Meet Results&amp;CNorthern League&amp;R&amp;D
</oddHeader>
      </headerFooter>
    </customSheetView>
    <customSheetView guid="{DEF8AD2E-C46F-4190-A88E-C6B69C1F99BB}" scale="110" showPageBreaks="1" fitToPage="1" printArea="1">
      <pane xSplit="3" ySplit="3" topLeftCell="D10" activePane="bottomRight" state="frozen"/>
      <selection pane="bottomRight" activeCell="G1" sqref="G1"/>
      <pageMargins left="0.23" right="0.2" top="1" bottom="1" header="0.5" footer="0.5"/>
      <printOptions gridLines="1"/>
      <pageSetup paperSize="5" scale="82" orientation="landscape" r:id="rId2"/>
      <headerFooter alignWithMargins="0">
        <oddHeader xml:space="preserve">&amp;L2014 TSA Dual Meet Results&amp;CNorthern League&amp;R&amp;D
</oddHeader>
      </headerFooter>
    </customSheetView>
    <customSheetView guid="{BDC744E3-8A98-4FFB-AA7D-7119F2F68EB6}" scale="110" showPageBreaks="1" fitToPage="1" printArea="1">
      <pane xSplit="3" ySplit="3" topLeftCell="D4" activePane="bottomRight" state="frozen"/>
      <selection pane="bottomRight" activeCell="D4" sqref="D4"/>
      <pageMargins left="0.23" right="0.2" top="1" bottom="1" header="0.5" footer="0.5"/>
      <printOptions gridLines="1"/>
      <pageSetup paperSize="5" orientation="landscape" r:id="rId3"/>
      <headerFooter alignWithMargins="0">
        <oddHeader xml:space="preserve">&amp;L2013 TSA Dual Meet Results&amp;CNorthern League&amp;R&amp;D
</oddHeader>
      </headerFooter>
    </customSheetView>
    <customSheetView guid="{E7597357-F01A-4EC3-9284-2CC61D1CC724}" scale="110" showPageBreaks="1" fitToPage="1" printArea="1">
      <pane xSplit="3" ySplit="3" topLeftCell="N18" activePane="bottomRight" state="frozen"/>
      <selection pane="bottomRight" activeCell="B46" sqref="B46"/>
      <pageMargins left="0.23" right="0.2" top="1" bottom="1" header="0.5" footer="0.5"/>
      <printOptions gridLines="1"/>
      <pageSetup paperSize="5" orientation="landscape" r:id="rId4"/>
      <headerFooter alignWithMargins="0">
        <oddHeader xml:space="preserve">&amp;L2014 TSA Dual Meet Results&amp;CNorthern League&amp;R&amp;D
</oddHeader>
      </headerFooter>
    </customSheetView>
  </customSheetViews>
  <mergeCells count="4">
    <mergeCell ref="N2:P2"/>
    <mergeCell ref="Q2:S2"/>
    <mergeCell ref="E2:J2"/>
    <mergeCell ref="N1:S1"/>
  </mergeCells>
  <conditionalFormatting sqref="A4:C41">
    <cfRule type="expression" dxfId="34" priority="1">
      <formula>ISEVEN($M4)</formula>
    </cfRule>
    <cfRule type="expression" dxfId="33" priority="2">
      <formula>ISODD($M4)</formula>
    </cfRule>
  </conditionalFormatting>
  <conditionalFormatting sqref="C1">
    <cfRule type="cellIs" dxfId="32" priority="845" stopIfTrue="1" operator="equal">
      <formula>0</formula>
    </cfRule>
    <cfRule type="cellIs" dxfId="31" priority="846" stopIfTrue="1" operator="notEqual">
      <formula>0</formula>
    </cfRule>
  </conditionalFormatting>
  <conditionalFormatting sqref="D39:D41">
    <cfRule type="expression" dxfId="30" priority="25">
      <formula>ISEVEN($M39)</formula>
    </cfRule>
  </conditionalFormatting>
  <conditionalFormatting sqref="D40:D41">
    <cfRule type="expression" dxfId="29" priority="486">
      <formula>ISODD($M40)</formula>
    </cfRule>
  </conditionalFormatting>
  <conditionalFormatting sqref="D39:H39">
    <cfRule type="expression" dxfId="28" priority="26">
      <formula>ISODD($M39)</formula>
    </cfRule>
  </conditionalFormatting>
  <conditionalFormatting sqref="D4:J38">
    <cfRule type="expression" dxfId="27" priority="31">
      <formula>ISEVEN($M4)</formula>
    </cfRule>
    <cfRule type="expression" dxfId="26" priority="32">
      <formula>ISODD($M4)</formula>
    </cfRule>
  </conditionalFormatting>
  <conditionalFormatting sqref="E40:H40">
    <cfRule type="expression" dxfId="25" priority="20">
      <formula>ISODD($M40)</formula>
    </cfRule>
  </conditionalFormatting>
  <conditionalFormatting sqref="E39:J40">
    <cfRule type="expression" dxfId="24" priority="17">
      <formula>ISEVEN($M39)</formula>
    </cfRule>
  </conditionalFormatting>
  <conditionalFormatting sqref="E41:K41">
    <cfRule type="expression" dxfId="23" priority="11">
      <formula>ISEVEN($M41)</formula>
    </cfRule>
    <cfRule type="expression" dxfId="22" priority="12">
      <formula>ISODD($M41)</formula>
    </cfRule>
  </conditionalFormatting>
  <conditionalFormatting sqref="I39:J40">
    <cfRule type="expression" dxfId="21" priority="18">
      <formula>ISODD($M39)</formula>
    </cfRule>
  </conditionalFormatting>
  <conditionalFormatting sqref="K4:M41">
    <cfRule type="expression" dxfId="20" priority="7">
      <formula>ISEVEN($M4)</formula>
    </cfRule>
    <cfRule type="expression" dxfId="19" priority="8">
      <formula>ISODD($M4)</formula>
    </cfRule>
  </conditionalFormatting>
  <conditionalFormatting sqref="N4:P41">
    <cfRule type="expression" dxfId="18" priority="852" stopIfTrue="1">
      <formula>SUM($N4:$P4)=6</formula>
    </cfRule>
  </conditionalFormatting>
  <conditionalFormatting sqref="Q4:S35">
    <cfRule type="expression" dxfId="17" priority="839">
      <formula>SUM($Q4:$S4)=3</formula>
    </cfRule>
  </conditionalFormatting>
  <conditionalFormatting sqref="U4:BI41">
    <cfRule type="expression" dxfId="16" priority="483">
      <formula>ISEVEN($M4)</formula>
    </cfRule>
    <cfRule type="expression" dxfId="15" priority="484">
      <formula>ISODD($M4)</formula>
    </cfRule>
  </conditionalFormatting>
  <conditionalFormatting sqref="BL4:BL42 BL44:BL46">
    <cfRule type="cellIs" dxfId="14" priority="801" operator="greaterThan">
      <formula>0</formula>
    </cfRule>
  </conditionalFormatting>
  <conditionalFormatting sqref="BS4:BS41">
    <cfRule type="expression" dxfId="13" priority="9">
      <formula>ISEVEN($M4)</formula>
    </cfRule>
    <cfRule type="expression" dxfId="12" priority="10">
      <formula>ISODD($M4)</formula>
    </cfRule>
  </conditionalFormatting>
  <conditionalFormatting sqref="BU4:BU41">
    <cfRule type="cellIs" dxfId="11" priority="482" operator="notEqual">
      <formula>0</formula>
    </cfRule>
  </conditionalFormatting>
  <printOptions gridLines="1"/>
  <pageMargins left="0.25" right="0.25" top="0.75" bottom="0.75" header="0.3" footer="0.3"/>
  <pageSetup scale="54" fitToHeight="0" orientation="landscape" r:id="rId5"/>
  <headerFooter alignWithMargins="0">
    <oddHeader xml:space="preserve">&amp;L2025 TSA Dual Meet Results&amp;CNorthern League&amp;R&amp;D
</oddHeader>
  </headerFooter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0E9B-F4B4-42B8-90AF-EA0B3B0F283C}">
  <dimension ref="A1:H278"/>
  <sheetViews>
    <sheetView workbookViewId="0">
      <selection activeCell="D2" sqref="D2:D278"/>
    </sheetView>
  </sheetViews>
  <sheetFormatPr defaultRowHeight="15"/>
  <cols>
    <col min="1" max="1" width="11.7109375" bestFit="1" customWidth="1"/>
    <col min="2" max="2" width="33.5703125" bestFit="1" customWidth="1"/>
    <col min="3" max="3" width="12.28515625" bestFit="1" customWidth="1"/>
    <col min="4" max="4" width="33.5703125" bestFit="1" customWidth="1"/>
    <col min="5" max="5" width="12.28515625" bestFit="1" customWidth="1"/>
    <col min="6" max="7" width="49.7109375" bestFit="1" customWidth="1"/>
    <col min="8" max="8" width="12.28515625" bestFit="1" customWidth="1"/>
  </cols>
  <sheetData>
    <row r="1" spans="1:8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</row>
    <row r="2" spans="1:8">
      <c r="A2" s="139" t="s">
        <v>298</v>
      </c>
      <c r="B2" t="s">
        <v>179</v>
      </c>
      <c r="C2">
        <v>1</v>
      </c>
      <c r="D2" t="s">
        <v>277</v>
      </c>
      <c r="E2">
        <v>0</v>
      </c>
      <c r="F2" t="str">
        <f>_xlfn.CONCAT(B2," ",D2)</f>
        <v>Arbor Creek Sweetwater</v>
      </c>
      <c r="G2" t="str">
        <f>_xlfn.CONCAT(D2," ",B2)</f>
        <v>Sweetwater Arbor Creek</v>
      </c>
      <c r="H2">
        <f>C2-E2</f>
        <v>1</v>
      </c>
    </row>
    <row r="3" spans="1:8">
      <c r="A3" s="139" t="s">
        <v>298</v>
      </c>
      <c r="B3" t="s">
        <v>82</v>
      </c>
      <c r="C3">
        <v>290</v>
      </c>
      <c r="D3" t="s">
        <v>97</v>
      </c>
      <c r="E3">
        <v>223</v>
      </c>
      <c r="F3" t="str">
        <f t="shared" ref="F3:F45" si="0">_xlfn.CONCAT(B3," ",D3)</f>
        <v>Amberly Regency</v>
      </c>
      <c r="G3" t="str">
        <f t="shared" ref="G3:G45" si="1">_xlfn.CONCAT(D3," ",B3)</f>
        <v>Regency Amberly</v>
      </c>
      <c r="H3">
        <f t="shared" ref="H3:H45" si="2">C3-E3</f>
        <v>67</v>
      </c>
    </row>
    <row r="4" spans="1:8">
      <c r="A4" s="139" t="s">
        <v>298</v>
      </c>
      <c r="B4" t="s">
        <v>21</v>
      </c>
      <c r="C4">
        <v>309</v>
      </c>
      <c r="D4" t="s">
        <v>18</v>
      </c>
      <c r="E4">
        <v>200</v>
      </c>
      <c r="F4" t="str">
        <f t="shared" si="0"/>
        <v>Apex Sunset Ridge</v>
      </c>
      <c r="G4" t="str">
        <f t="shared" si="1"/>
        <v>Sunset Ridge Apex</v>
      </c>
      <c r="H4">
        <f t="shared" si="2"/>
        <v>109</v>
      </c>
    </row>
    <row r="5" spans="1:8">
      <c r="A5" s="139" t="s">
        <v>298</v>
      </c>
      <c r="B5" t="s">
        <v>54</v>
      </c>
      <c r="C5">
        <v>309.5</v>
      </c>
      <c r="D5" t="s">
        <v>55</v>
      </c>
      <c r="E5">
        <v>201.5</v>
      </c>
      <c r="F5" t="str">
        <f t="shared" si="0"/>
        <v>North Hills Bedford at Falls River</v>
      </c>
      <c r="G5" t="str">
        <f t="shared" si="1"/>
        <v>Bedford at Falls River North Hills</v>
      </c>
      <c r="H5">
        <f t="shared" si="2"/>
        <v>108</v>
      </c>
    </row>
    <row r="6" spans="1:8">
      <c r="A6" s="139" t="s">
        <v>298</v>
      </c>
      <c r="B6" t="s">
        <v>98</v>
      </c>
      <c r="C6">
        <v>302.5</v>
      </c>
      <c r="D6" t="s">
        <v>72</v>
      </c>
      <c r="E6">
        <v>206.5</v>
      </c>
      <c r="F6" t="str">
        <f t="shared" si="0"/>
        <v>Bella Casa TCC</v>
      </c>
      <c r="G6" t="str">
        <f t="shared" si="1"/>
        <v>TCC Bella Casa</v>
      </c>
      <c r="H6">
        <f t="shared" si="2"/>
        <v>96</v>
      </c>
    </row>
    <row r="7" spans="1:8">
      <c r="A7" s="139" t="s">
        <v>298</v>
      </c>
      <c r="B7" t="s">
        <v>28</v>
      </c>
      <c r="C7">
        <v>262</v>
      </c>
      <c r="D7" t="s">
        <v>95</v>
      </c>
      <c r="E7">
        <v>241</v>
      </c>
      <c r="F7" t="str">
        <f t="shared" si="0"/>
        <v>Glenridge Brighton Forest</v>
      </c>
      <c r="G7" t="str">
        <f t="shared" si="1"/>
        <v>Brighton Forest Glenridge</v>
      </c>
      <c r="H7">
        <f t="shared" si="2"/>
        <v>21</v>
      </c>
    </row>
    <row r="8" spans="1:8">
      <c r="A8" s="139" t="s">
        <v>298</v>
      </c>
      <c r="B8" t="s">
        <v>70</v>
      </c>
      <c r="C8">
        <v>287</v>
      </c>
      <c r="D8" t="s">
        <v>86</v>
      </c>
      <c r="E8">
        <v>199</v>
      </c>
      <c r="F8" t="str">
        <f t="shared" si="0"/>
        <v>Coachman's Trail Banbury Woods &amp; Hunters Landing</v>
      </c>
      <c r="G8" t="str">
        <f t="shared" si="1"/>
        <v>Banbury Woods &amp; Hunters Landing Coachman's Trail</v>
      </c>
      <c r="H8">
        <f t="shared" si="2"/>
        <v>88</v>
      </c>
    </row>
    <row r="9" spans="1:8">
      <c r="A9" s="139" t="s">
        <v>298</v>
      </c>
      <c r="B9" t="s">
        <v>17</v>
      </c>
      <c r="C9">
        <v>263.5</v>
      </c>
      <c r="D9" t="s">
        <v>8</v>
      </c>
      <c r="E9">
        <v>250.5</v>
      </c>
      <c r="F9" t="str">
        <f t="shared" si="0"/>
        <v>Cary University Club</v>
      </c>
      <c r="G9" t="str">
        <f t="shared" si="1"/>
        <v>University Club Cary</v>
      </c>
      <c r="H9">
        <f t="shared" si="2"/>
        <v>13</v>
      </c>
    </row>
    <row r="10" spans="1:8">
      <c r="A10" s="139" t="s">
        <v>298</v>
      </c>
      <c r="B10" t="s">
        <v>22</v>
      </c>
      <c r="C10">
        <v>273</v>
      </c>
      <c r="D10" t="s">
        <v>32</v>
      </c>
      <c r="E10">
        <v>231</v>
      </c>
      <c r="F10" t="str">
        <f t="shared" si="0"/>
        <v>Devereaux Crooked Creek</v>
      </c>
      <c r="G10" t="str">
        <f t="shared" si="1"/>
        <v>Crooked Creek Devereaux</v>
      </c>
      <c r="H10">
        <f t="shared" si="2"/>
        <v>42</v>
      </c>
    </row>
    <row r="11" spans="1:8">
      <c r="A11" s="139" t="s">
        <v>298</v>
      </c>
      <c r="B11" t="s">
        <v>34</v>
      </c>
      <c r="C11">
        <v>287</v>
      </c>
      <c r="D11" t="s">
        <v>33</v>
      </c>
      <c r="E11">
        <v>211</v>
      </c>
      <c r="F11" t="str">
        <f t="shared" si="0"/>
        <v>Charleston Village Garner</v>
      </c>
      <c r="G11" t="str">
        <f t="shared" si="1"/>
        <v>Garner Charleston Village</v>
      </c>
      <c r="H11">
        <f t="shared" si="2"/>
        <v>76</v>
      </c>
    </row>
    <row r="12" spans="1:8">
      <c r="A12" s="139" t="s">
        <v>298</v>
      </c>
      <c r="B12" t="s">
        <v>58</v>
      </c>
      <c r="C12">
        <v>275.5</v>
      </c>
      <c r="D12" t="s">
        <v>65</v>
      </c>
      <c r="E12">
        <v>228.5</v>
      </c>
      <c r="F12" t="str">
        <f t="shared" si="0"/>
        <v>Durant Trails Hasentree</v>
      </c>
      <c r="G12" t="str">
        <f t="shared" si="1"/>
        <v>Hasentree Durant Trails</v>
      </c>
      <c r="H12">
        <f t="shared" si="2"/>
        <v>47</v>
      </c>
    </row>
    <row r="13" spans="1:8">
      <c r="A13" s="139" t="s">
        <v>298</v>
      </c>
      <c r="B13" t="s">
        <v>16</v>
      </c>
      <c r="C13">
        <v>268</v>
      </c>
      <c r="D13" t="s">
        <v>78</v>
      </c>
      <c r="E13">
        <v>236</v>
      </c>
      <c r="F13" t="str">
        <f t="shared" si="0"/>
        <v>Dutchman Downs Abbington</v>
      </c>
      <c r="G13" t="str">
        <f t="shared" si="1"/>
        <v>Abbington Dutchman Downs</v>
      </c>
      <c r="H13">
        <f t="shared" si="2"/>
        <v>32</v>
      </c>
    </row>
    <row r="14" spans="1:8">
      <c r="A14" s="139" t="s">
        <v>298</v>
      </c>
      <c r="B14" t="s">
        <v>63</v>
      </c>
      <c r="C14">
        <v>306</v>
      </c>
      <c r="D14" t="s">
        <v>6</v>
      </c>
      <c r="E14">
        <v>208</v>
      </c>
      <c r="F14" t="str">
        <f t="shared" si="0"/>
        <v>Granite Falls Greystone</v>
      </c>
      <c r="G14" t="str">
        <f t="shared" si="1"/>
        <v>Greystone Granite Falls</v>
      </c>
      <c r="H14">
        <f t="shared" si="2"/>
        <v>98</v>
      </c>
    </row>
    <row r="15" spans="1:8">
      <c r="A15" s="139" t="s">
        <v>298</v>
      </c>
      <c r="B15" t="s">
        <v>56</v>
      </c>
      <c r="C15">
        <v>271</v>
      </c>
      <c r="D15" t="s">
        <v>84</v>
      </c>
      <c r="E15">
        <v>234</v>
      </c>
      <c r="F15" t="str">
        <f t="shared" si="0"/>
        <v>North Raleigh Greenway Club</v>
      </c>
      <c r="G15" t="str">
        <f t="shared" si="1"/>
        <v>Greenway Club North Raleigh</v>
      </c>
      <c r="H15">
        <f t="shared" si="2"/>
        <v>37</v>
      </c>
    </row>
    <row r="16" spans="1:8">
      <c r="A16" s="139" t="s">
        <v>298</v>
      </c>
      <c r="B16" t="s">
        <v>31</v>
      </c>
      <c r="C16">
        <v>329</v>
      </c>
      <c r="D16" t="s">
        <v>113</v>
      </c>
      <c r="E16">
        <v>164</v>
      </c>
      <c r="F16" t="str">
        <f t="shared" si="0"/>
        <v>Eagle Ridge Harmony</v>
      </c>
      <c r="G16" t="str">
        <f t="shared" si="1"/>
        <v>Harmony Eagle Ridge</v>
      </c>
      <c r="H16">
        <f t="shared" si="2"/>
        <v>165</v>
      </c>
    </row>
    <row r="17" spans="1:8">
      <c r="A17" s="139" t="s">
        <v>298</v>
      </c>
      <c r="B17" t="s">
        <v>61</v>
      </c>
      <c r="C17">
        <v>245</v>
      </c>
      <c r="D17" t="s">
        <v>64</v>
      </c>
      <c r="E17">
        <v>219</v>
      </c>
      <c r="F17" t="str">
        <f t="shared" si="0"/>
        <v>Black Horse Run Hawthorne</v>
      </c>
      <c r="G17" t="str">
        <f t="shared" si="1"/>
        <v>Hawthorne Black Horse Run</v>
      </c>
      <c r="H17">
        <f t="shared" si="2"/>
        <v>26</v>
      </c>
    </row>
    <row r="18" spans="1:8">
      <c r="A18" s="139" t="s">
        <v>298</v>
      </c>
      <c r="B18" t="s">
        <v>59</v>
      </c>
      <c r="C18">
        <v>259</v>
      </c>
      <c r="D18" t="s">
        <v>1</v>
      </c>
      <c r="E18">
        <v>243</v>
      </c>
      <c r="F18" t="str">
        <f t="shared" si="0"/>
        <v>Hedingham Oak Park</v>
      </c>
      <c r="G18" t="str">
        <f t="shared" si="1"/>
        <v>Oak Park Hedingham</v>
      </c>
      <c r="H18">
        <f t="shared" si="2"/>
        <v>16</v>
      </c>
    </row>
    <row r="19" spans="1:8">
      <c r="A19" s="139" t="s">
        <v>298</v>
      </c>
      <c r="B19" t="s">
        <v>2</v>
      </c>
      <c r="C19">
        <v>271</v>
      </c>
      <c r="D19" t="s">
        <v>27</v>
      </c>
      <c r="E19">
        <v>243</v>
      </c>
      <c r="F19" t="str">
        <f t="shared" si="0"/>
        <v>Wellsley Highcroft</v>
      </c>
      <c r="G19" t="str">
        <f t="shared" si="1"/>
        <v>Highcroft Wellsley</v>
      </c>
      <c r="H19">
        <f t="shared" si="2"/>
        <v>28</v>
      </c>
    </row>
    <row r="20" spans="1:8">
      <c r="A20" s="139" t="s">
        <v>298</v>
      </c>
      <c r="B20" t="s">
        <v>50</v>
      </c>
      <c r="C20">
        <v>303</v>
      </c>
      <c r="D20" t="s">
        <v>52</v>
      </c>
      <c r="E20">
        <v>202</v>
      </c>
      <c r="F20" t="str">
        <f t="shared" si="0"/>
        <v>Quail Hollow Heritage of Wake Forest</v>
      </c>
      <c r="G20" t="str">
        <f t="shared" si="1"/>
        <v>Heritage of Wake Forest Quail Hollow</v>
      </c>
      <c r="H20">
        <f t="shared" si="2"/>
        <v>101</v>
      </c>
    </row>
    <row r="21" spans="1:8">
      <c r="A21" s="139" t="s">
        <v>298</v>
      </c>
      <c r="B21" t="s">
        <v>71</v>
      </c>
      <c r="C21">
        <v>309</v>
      </c>
      <c r="D21" t="s">
        <v>24</v>
      </c>
      <c r="E21">
        <v>199</v>
      </c>
      <c r="F21" t="str">
        <f t="shared" si="0"/>
        <v>Kildaire Farms The Reserve</v>
      </c>
      <c r="G21" t="str">
        <f t="shared" si="1"/>
        <v>The Reserve Kildaire Farms</v>
      </c>
      <c r="H21">
        <f t="shared" si="2"/>
        <v>110</v>
      </c>
    </row>
    <row r="22" spans="1:8">
      <c r="A22" s="139" t="s">
        <v>298</v>
      </c>
      <c r="B22" t="s">
        <v>83</v>
      </c>
      <c r="C22">
        <v>309</v>
      </c>
      <c r="D22" t="s">
        <v>37</v>
      </c>
      <c r="E22">
        <v>205</v>
      </c>
      <c r="F22" t="str">
        <f t="shared" si="0"/>
        <v>Kitts Creek Carpenter Village</v>
      </c>
      <c r="G22" t="str">
        <f t="shared" si="1"/>
        <v>Carpenter Village Kitts Creek</v>
      </c>
      <c r="H22">
        <f t="shared" si="2"/>
        <v>104</v>
      </c>
    </row>
    <row r="23" spans="1:8">
      <c r="A23" s="139" t="s">
        <v>298</v>
      </c>
      <c r="B23" t="s">
        <v>60</v>
      </c>
      <c r="C23">
        <v>266</v>
      </c>
      <c r="D23" t="s">
        <v>0</v>
      </c>
      <c r="E23">
        <v>240</v>
      </c>
      <c r="F23" t="str">
        <f t="shared" si="0"/>
        <v>Southall Lakemont</v>
      </c>
      <c r="G23" t="str">
        <f t="shared" si="1"/>
        <v>Lakemont Southall</v>
      </c>
      <c r="H23">
        <f t="shared" si="2"/>
        <v>26</v>
      </c>
    </row>
    <row r="24" spans="1:8">
      <c r="A24" s="139" t="s">
        <v>298</v>
      </c>
      <c r="B24" t="s">
        <v>104</v>
      </c>
      <c r="C24">
        <v>276</v>
      </c>
      <c r="D24" t="s">
        <v>13</v>
      </c>
      <c r="E24">
        <v>175</v>
      </c>
      <c r="F24" t="str">
        <f t="shared" si="0"/>
        <v>Life Time Fitness Cary Scotts Mill</v>
      </c>
      <c r="G24" t="str">
        <f t="shared" si="1"/>
        <v>Scotts Mill Life Time Fitness Cary</v>
      </c>
      <c r="H24">
        <f t="shared" si="2"/>
        <v>101</v>
      </c>
    </row>
    <row r="25" spans="1:8">
      <c r="A25" s="139" t="s">
        <v>298</v>
      </c>
      <c r="B25" t="s">
        <v>51</v>
      </c>
      <c r="C25">
        <v>285</v>
      </c>
      <c r="D25" t="s">
        <v>181</v>
      </c>
      <c r="E25">
        <v>223</v>
      </c>
      <c r="F25" t="str">
        <f t="shared" si="0"/>
        <v>Summerfield North Lifetime Raleigh</v>
      </c>
      <c r="G25" t="str">
        <f t="shared" si="1"/>
        <v>Lifetime Raleigh Summerfield North</v>
      </c>
      <c r="H25">
        <f t="shared" si="2"/>
        <v>62</v>
      </c>
    </row>
    <row r="26" spans="1:8">
      <c r="A26" s="139" t="s">
        <v>298</v>
      </c>
      <c r="B26" t="s">
        <v>15</v>
      </c>
      <c r="C26">
        <v>263</v>
      </c>
      <c r="D26" t="s">
        <v>25</v>
      </c>
      <c r="E26">
        <v>250</v>
      </c>
      <c r="F26" t="str">
        <f t="shared" si="0"/>
        <v>Cary Park Medfield</v>
      </c>
      <c r="G26" t="str">
        <f t="shared" si="1"/>
        <v>Medfield Cary Park</v>
      </c>
      <c r="H26">
        <f t="shared" si="2"/>
        <v>13</v>
      </c>
    </row>
    <row r="27" spans="1:8">
      <c r="A27" s="139" t="s">
        <v>298</v>
      </c>
      <c r="B27" t="s">
        <v>57</v>
      </c>
      <c r="C27">
        <v>1</v>
      </c>
      <c r="F27" t="str">
        <f t="shared" si="0"/>
        <v xml:space="preserve">Manchester </v>
      </c>
      <c r="G27" t="str">
        <f t="shared" si="1"/>
        <v xml:space="preserve"> Manchester</v>
      </c>
      <c r="H27">
        <f t="shared" si="2"/>
        <v>1</v>
      </c>
    </row>
    <row r="28" spans="1:8">
      <c r="A28" s="139" t="s">
        <v>298</v>
      </c>
      <c r="B28" t="s">
        <v>67</v>
      </c>
      <c r="C28">
        <v>339</v>
      </c>
      <c r="D28" t="s">
        <v>62</v>
      </c>
      <c r="E28">
        <v>167</v>
      </c>
      <c r="F28" t="str">
        <f t="shared" si="0"/>
        <v>Crabtree Meredith Townes</v>
      </c>
      <c r="G28" t="str">
        <f t="shared" si="1"/>
        <v>Meredith Townes Crabtree</v>
      </c>
      <c r="H28">
        <f t="shared" si="2"/>
        <v>172</v>
      </c>
    </row>
    <row r="29" spans="1:8">
      <c r="A29" s="139" t="s">
        <v>298</v>
      </c>
      <c r="B29" t="s">
        <v>48</v>
      </c>
      <c r="C29">
        <v>263</v>
      </c>
      <c r="D29" t="s">
        <v>5</v>
      </c>
      <c r="E29">
        <v>244</v>
      </c>
      <c r="F29" t="str">
        <f t="shared" si="0"/>
        <v>Northbrook Lake Park</v>
      </c>
      <c r="G29" t="str">
        <f t="shared" si="1"/>
        <v>Lake Park Northbrook</v>
      </c>
      <c r="H29">
        <f t="shared" si="2"/>
        <v>19</v>
      </c>
    </row>
    <row r="30" spans="1:8">
      <c r="A30" s="139" t="s">
        <v>298</v>
      </c>
      <c r="B30" t="s">
        <v>29</v>
      </c>
      <c r="C30">
        <v>286</v>
      </c>
      <c r="D30" t="s">
        <v>26</v>
      </c>
      <c r="E30">
        <v>218</v>
      </c>
      <c r="F30" t="str">
        <f t="shared" si="0"/>
        <v>Oxxford Hunt Weatherstone</v>
      </c>
      <c r="G30" t="str">
        <f t="shared" si="1"/>
        <v>Weatherstone Oxxford Hunt</v>
      </c>
      <c r="H30">
        <f t="shared" si="2"/>
        <v>68</v>
      </c>
    </row>
    <row r="31" spans="1:8">
      <c r="A31" s="139" t="s">
        <v>298</v>
      </c>
      <c r="B31" t="s">
        <v>38</v>
      </c>
      <c r="C31">
        <v>263</v>
      </c>
      <c r="D31" t="s">
        <v>23</v>
      </c>
      <c r="E31">
        <v>246</v>
      </c>
      <c r="F31" t="str">
        <f t="shared" si="0"/>
        <v>Bentwinds Park Village</v>
      </c>
      <c r="G31" t="str">
        <f t="shared" si="1"/>
        <v>Park Village Bentwinds</v>
      </c>
      <c r="H31">
        <f t="shared" si="2"/>
        <v>17</v>
      </c>
    </row>
    <row r="32" spans="1:8">
      <c r="A32" s="139" t="s">
        <v>298</v>
      </c>
      <c r="B32" t="s">
        <v>166</v>
      </c>
      <c r="C32">
        <v>266</v>
      </c>
      <c r="D32" t="s">
        <v>3</v>
      </c>
      <c r="E32">
        <v>248</v>
      </c>
      <c r="F32" t="str">
        <f t="shared" si="0"/>
        <v>Holly Glen Park at West Lake</v>
      </c>
      <c r="G32" t="str">
        <f t="shared" si="1"/>
        <v>Park at West Lake Holly Glen</v>
      </c>
      <c r="H32">
        <f t="shared" si="2"/>
        <v>18</v>
      </c>
    </row>
    <row r="33" spans="1:8">
      <c r="A33" s="139" t="s">
        <v>298</v>
      </c>
      <c r="B33" t="s">
        <v>96</v>
      </c>
      <c r="C33">
        <v>303</v>
      </c>
      <c r="D33" t="s">
        <v>81</v>
      </c>
      <c r="E33">
        <v>211</v>
      </c>
      <c r="F33" t="str">
        <f t="shared" si="0"/>
        <v>Shepherds Vineyard Preston Village</v>
      </c>
      <c r="G33" t="str">
        <f t="shared" si="1"/>
        <v>Preston Village Shepherds Vineyard</v>
      </c>
      <c r="H33">
        <f t="shared" si="2"/>
        <v>92</v>
      </c>
    </row>
    <row r="34" spans="1:8">
      <c r="A34" s="139" t="s">
        <v>298</v>
      </c>
      <c r="B34" t="s">
        <v>11</v>
      </c>
      <c r="C34">
        <v>264</v>
      </c>
      <c r="D34" t="s">
        <v>10</v>
      </c>
      <c r="E34">
        <v>250</v>
      </c>
      <c r="F34" t="str">
        <f t="shared" si="0"/>
        <v>Lochmere Prestonwood</v>
      </c>
      <c r="G34" t="str">
        <f t="shared" si="1"/>
        <v>Prestonwood Lochmere</v>
      </c>
      <c r="H34">
        <f t="shared" si="2"/>
        <v>14</v>
      </c>
    </row>
    <row r="35" spans="1:8">
      <c r="A35" s="139" t="s">
        <v>298</v>
      </c>
      <c r="B35" t="s">
        <v>49</v>
      </c>
      <c r="C35">
        <v>375</v>
      </c>
      <c r="D35" t="s">
        <v>156</v>
      </c>
      <c r="E35">
        <v>137</v>
      </c>
      <c r="F35" t="str">
        <f t="shared" si="0"/>
        <v>Harrington Grove Riverwood</v>
      </c>
      <c r="G35" t="str">
        <f t="shared" si="1"/>
        <v>Riverwood Harrington Grove</v>
      </c>
      <c r="H35">
        <f t="shared" si="2"/>
        <v>238</v>
      </c>
    </row>
    <row r="36" spans="1:8">
      <c r="A36" s="139" t="s">
        <v>298</v>
      </c>
      <c r="B36" t="s">
        <v>4</v>
      </c>
      <c r="C36">
        <v>355</v>
      </c>
      <c r="D36" t="s">
        <v>12</v>
      </c>
      <c r="E36">
        <v>158</v>
      </c>
      <c r="F36" t="str">
        <f t="shared" si="0"/>
        <v>Seven Oaks Scottish Hills</v>
      </c>
      <c r="G36" t="str">
        <f t="shared" si="1"/>
        <v>Scottish Hills Seven Oaks</v>
      </c>
      <c r="H36">
        <f t="shared" si="2"/>
        <v>197</v>
      </c>
    </row>
    <row r="37" spans="1:8">
      <c r="A37" s="139" t="s">
        <v>298</v>
      </c>
      <c r="B37" t="s">
        <v>14</v>
      </c>
      <c r="C37">
        <v>272</v>
      </c>
      <c r="D37" t="s">
        <v>30</v>
      </c>
      <c r="E37">
        <v>233</v>
      </c>
      <c r="F37" t="str">
        <f t="shared" si="0"/>
        <v>Silverton Brookstone</v>
      </c>
      <c r="G37" t="str">
        <f t="shared" si="1"/>
        <v>Brookstone Silverton</v>
      </c>
      <c r="H37">
        <f t="shared" si="2"/>
        <v>39</v>
      </c>
    </row>
    <row r="38" spans="1:8">
      <c r="A38" s="139" t="s">
        <v>298</v>
      </c>
      <c r="B38" t="s">
        <v>7</v>
      </c>
      <c r="C38">
        <v>272</v>
      </c>
      <c r="D38" t="s">
        <v>53</v>
      </c>
      <c r="E38">
        <v>238</v>
      </c>
      <c r="F38" t="str">
        <f t="shared" si="0"/>
        <v>Springdale Stonebridge</v>
      </c>
      <c r="G38" t="str">
        <f t="shared" si="1"/>
        <v>Stonebridge Springdale</v>
      </c>
      <c r="H38">
        <f t="shared" si="2"/>
        <v>34</v>
      </c>
    </row>
    <row r="39" spans="1:8">
      <c r="A39" s="139" t="s">
        <v>298</v>
      </c>
      <c r="B39" t="s">
        <v>66</v>
      </c>
      <c r="C39">
        <v>331</v>
      </c>
      <c r="D39" t="s">
        <v>106</v>
      </c>
      <c r="E39">
        <v>143</v>
      </c>
      <c r="F39" t="str">
        <f t="shared" si="0"/>
        <v>Wendell Planter's Walk</v>
      </c>
      <c r="G39" t="str">
        <f t="shared" si="1"/>
        <v>Planter's Walk Wendell</v>
      </c>
      <c r="H39">
        <f t="shared" si="2"/>
        <v>188</v>
      </c>
    </row>
    <row r="40" spans="1:8">
      <c r="A40" s="139" t="s">
        <v>298</v>
      </c>
      <c r="B40" t="s">
        <v>105</v>
      </c>
      <c r="C40">
        <v>308.5</v>
      </c>
      <c r="D40" t="s">
        <v>73</v>
      </c>
      <c r="E40">
        <v>205.5</v>
      </c>
      <c r="F40" t="str">
        <f t="shared" si="0"/>
        <v>WoodCreek Clubworx</v>
      </c>
      <c r="G40" t="str">
        <f t="shared" si="1"/>
        <v>Clubworx WoodCreek</v>
      </c>
      <c r="H40">
        <f t="shared" si="2"/>
        <v>103</v>
      </c>
    </row>
    <row r="41" spans="1:8">
      <c r="A41" s="139" t="s">
        <v>298</v>
      </c>
      <c r="B41" t="s">
        <v>20</v>
      </c>
      <c r="C41">
        <v>315</v>
      </c>
      <c r="D41" t="s">
        <v>19</v>
      </c>
      <c r="E41">
        <v>192</v>
      </c>
      <c r="F41" t="str">
        <f t="shared" si="0"/>
        <v>Olive Chapel Walden Creek</v>
      </c>
      <c r="G41" t="str">
        <f t="shared" si="1"/>
        <v>Walden Creek Olive Chapel</v>
      </c>
      <c r="H41">
        <f t="shared" si="2"/>
        <v>123</v>
      </c>
    </row>
    <row r="42" spans="1:8">
      <c r="A42" s="139" t="s">
        <v>298</v>
      </c>
      <c r="B42" t="s">
        <v>180</v>
      </c>
      <c r="C42">
        <v>293.5</v>
      </c>
      <c r="D42" t="s">
        <v>9</v>
      </c>
      <c r="E42">
        <v>207.5</v>
      </c>
      <c r="F42" t="str">
        <f t="shared" si="0"/>
        <v>Brier Creek Wood Valley</v>
      </c>
      <c r="G42" t="str">
        <f t="shared" si="1"/>
        <v>Wood Valley Brier Creek</v>
      </c>
      <c r="H42">
        <f t="shared" si="2"/>
        <v>86</v>
      </c>
    </row>
    <row r="43" spans="1:8">
      <c r="A43" s="139" t="s">
        <v>298</v>
      </c>
      <c r="B43" t="s">
        <v>40</v>
      </c>
      <c r="C43">
        <v>258</v>
      </c>
      <c r="D43" t="s">
        <v>100</v>
      </c>
      <c r="E43">
        <v>220</v>
      </c>
      <c r="F43" t="str">
        <f t="shared" si="0"/>
        <v>Wellington Park Renaissance Park</v>
      </c>
      <c r="G43" t="str">
        <f t="shared" si="1"/>
        <v>Renaissance Park Wellington Park</v>
      </c>
      <c r="H43">
        <f t="shared" si="2"/>
        <v>38</v>
      </c>
    </row>
    <row r="44" spans="1:8">
      <c r="A44" s="139" t="s">
        <v>298</v>
      </c>
      <c r="B44" t="s">
        <v>35</v>
      </c>
      <c r="C44">
        <v>235</v>
      </c>
      <c r="D44" t="s">
        <v>36</v>
      </c>
      <c r="E44">
        <v>225</v>
      </c>
      <c r="F44" t="str">
        <f t="shared" si="0"/>
        <v>Weldon Ridge Haddon Hall</v>
      </c>
      <c r="G44" t="str">
        <f t="shared" si="1"/>
        <v>Haddon Hall Weldon Ridge</v>
      </c>
      <c r="H44">
        <f t="shared" si="2"/>
        <v>10</v>
      </c>
    </row>
    <row r="45" spans="1:8">
      <c r="A45" s="139" t="s">
        <v>298</v>
      </c>
      <c r="B45" t="s">
        <v>182</v>
      </c>
      <c r="C45">
        <v>224</v>
      </c>
      <c r="D45" t="s">
        <v>118</v>
      </c>
      <c r="E45">
        <v>189</v>
      </c>
      <c r="F45" t="str">
        <f t="shared" si="0"/>
        <v>Raleigh Racquet Zebulon</v>
      </c>
      <c r="G45" t="str">
        <f t="shared" si="1"/>
        <v>Zebulon Raleigh Racquet</v>
      </c>
      <c r="H45">
        <f t="shared" si="2"/>
        <v>35</v>
      </c>
    </row>
    <row r="46" spans="1:8">
      <c r="A46" s="139"/>
    </row>
    <row r="47" spans="1:8">
      <c r="A47" s="139"/>
    </row>
    <row r="48" spans="1:8">
      <c r="A48" s="139" t="s">
        <v>299</v>
      </c>
      <c r="B48" t="s">
        <v>4</v>
      </c>
      <c r="C48">
        <v>324</v>
      </c>
      <c r="D48" t="s">
        <v>17</v>
      </c>
      <c r="E48">
        <v>190</v>
      </c>
      <c r="F48" t="str">
        <f t="shared" ref="F48" si="3">_xlfn.CONCAT(B48," ",D48)</f>
        <v>Seven Oaks Cary</v>
      </c>
      <c r="G48" t="str">
        <f t="shared" ref="G48" si="4">_xlfn.CONCAT(D48," ",B48)</f>
        <v>Cary Seven Oaks</v>
      </c>
      <c r="H48">
        <f t="shared" ref="H48:H91" si="5">C48-E48</f>
        <v>134</v>
      </c>
    </row>
    <row r="49" spans="1:8">
      <c r="A49" s="139" t="s">
        <v>299</v>
      </c>
      <c r="B49" t="s">
        <v>78</v>
      </c>
      <c r="C49">
        <v>287</v>
      </c>
      <c r="D49" t="s">
        <v>11</v>
      </c>
      <c r="E49">
        <v>226</v>
      </c>
      <c r="F49" t="str">
        <f t="shared" ref="F49:F91" si="6">_xlfn.CONCAT(B49," ",D49)</f>
        <v>Abbington Lochmere</v>
      </c>
      <c r="G49" t="str">
        <f t="shared" ref="G49:G91" si="7">_xlfn.CONCAT(D49," ",B49)</f>
        <v>Lochmere Abbington</v>
      </c>
      <c r="H49">
        <f t="shared" si="5"/>
        <v>61</v>
      </c>
    </row>
    <row r="50" spans="1:8">
      <c r="A50" s="139" t="s">
        <v>299</v>
      </c>
      <c r="B50" t="s">
        <v>98</v>
      </c>
      <c r="C50">
        <v>334.83333333333297</v>
      </c>
      <c r="D50" t="s">
        <v>71</v>
      </c>
      <c r="E50">
        <v>173.166666666666</v>
      </c>
      <c r="F50" t="str">
        <f t="shared" si="6"/>
        <v>Bella Casa Kildaire Farms</v>
      </c>
      <c r="G50" t="str">
        <f t="shared" si="7"/>
        <v>Kildaire Farms Bella Casa</v>
      </c>
      <c r="H50">
        <f t="shared" si="5"/>
        <v>161.66666666666697</v>
      </c>
    </row>
    <row r="51" spans="1:8">
      <c r="A51" s="139" t="s">
        <v>299</v>
      </c>
      <c r="B51" t="s">
        <v>61</v>
      </c>
      <c r="C51">
        <v>282</v>
      </c>
      <c r="D51" t="s">
        <v>182</v>
      </c>
      <c r="E51">
        <v>195</v>
      </c>
      <c r="F51" t="str">
        <f t="shared" si="6"/>
        <v>Black Horse Run Raleigh Racquet</v>
      </c>
      <c r="G51" t="str">
        <f t="shared" si="7"/>
        <v>Raleigh Racquet Black Horse Run</v>
      </c>
      <c r="H51">
        <f t="shared" si="5"/>
        <v>87</v>
      </c>
    </row>
    <row r="52" spans="1:8">
      <c r="A52" s="139" t="s">
        <v>299</v>
      </c>
      <c r="B52" t="s">
        <v>32</v>
      </c>
      <c r="C52">
        <v>316</v>
      </c>
      <c r="D52" t="s">
        <v>277</v>
      </c>
      <c r="E52">
        <v>74</v>
      </c>
      <c r="F52" t="str">
        <f t="shared" si="6"/>
        <v>Crooked Creek Sweetwater</v>
      </c>
      <c r="G52" t="str">
        <f t="shared" si="7"/>
        <v>Sweetwater Crooked Creek</v>
      </c>
      <c r="H52">
        <f t="shared" si="5"/>
        <v>242</v>
      </c>
    </row>
    <row r="53" spans="1:8">
      <c r="A53" s="139" t="s">
        <v>299</v>
      </c>
      <c r="B53" t="s">
        <v>105</v>
      </c>
      <c r="C53">
        <v>299</v>
      </c>
      <c r="D53" t="s">
        <v>30</v>
      </c>
      <c r="E53">
        <v>202</v>
      </c>
      <c r="F53" t="str">
        <f t="shared" si="6"/>
        <v>WoodCreek Brookstone</v>
      </c>
      <c r="G53" t="str">
        <f t="shared" si="7"/>
        <v>Brookstone WoodCreek</v>
      </c>
      <c r="H53">
        <f t="shared" si="5"/>
        <v>97</v>
      </c>
    </row>
    <row r="54" spans="1:8">
      <c r="A54" s="139" t="s">
        <v>299</v>
      </c>
      <c r="B54" t="s">
        <v>83</v>
      </c>
      <c r="C54">
        <v>267</v>
      </c>
      <c r="D54" t="s">
        <v>38</v>
      </c>
      <c r="E54">
        <v>237</v>
      </c>
      <c r="F54" t="str">
        <f t="shared" si="6"/>
        <v>Kitts Creek Bentwinds</v>
      </c>
      <c r="G54" t="str">
        <f t="shared" si="7"/>
        <v>Bentwinds Kitts Creek</v>
      </c>
      <c r="H54">
        <f t="shared" si="5"/>
        <v>30</v>
      </c>
    </row>
    <row r="55" spans="1:8">
      <c r="A55" s="139" t="s">
        <v>299</v>
      </c>
      <c r="B55" t="s">
        <v>23</v>
      </c>
      <c r="C55">
        <v>266</v>
      </c>
      <c r="D55" t="s">
        <v>37</v>
      </c>
      <c r="E55">
        <v>238</v>
      </c>
      <c r="F55" t="str">
        <f t="shared" si="6"/>
        <v>Park Village Carpenter Village</v>
      </c>
      <c r="G55" t="str">
        <f t="shared" si="7"/>
        <v>Carpenter Village Park Village</v>
      </c>
      <c r="H55">
        <f t="shared" si="5"/>
        <v>28</v>
      </c>
    </row>
    <row r="56" spans="1:8">
      <c r="A56" s="139" t="s">
        <v>299</v>
      </c>
      <c r="B56" t="s">
        <v>15</v>
      </c>
      <c r="C56">
        <v>346</v>
      </c>
      <c r="D56" t="s">
        <v>18</v>
      </c>
      <c r="E56">
        <v>166</v>
      </c>
      <c r="F56" t="str">
        <f t="shared" si="6"/>
        <v>Cary Park Sunset Ridge</v>
      </c>
      <c r="G56" t="str">
        <f t="shared" si="7"/>
        <v>Sunset Ridge Cary Park</v>
      </c>
      <c r="H56">
        <f t="shared" si="5"/>
        <v>180</v>
      </c>
    </row>
    <row r="57" spans="1:8">
      <c r="A57" s="139" t="s">
        <v>299</v>
      </c>
      <c r="B57" t="s">
        <v>0</v>
      </c>
      <c r="C57">
        <v>250</v>
      </c>
      <c r="D57" t="s">
        <v>67</v>
      </c>
      <c r="E57">
        <v>244</v>
      </c>
      <c r="F57" t="str">
        <f t="shared" si="6"/>
        <v>Lakemont Crabtree</v>
      </c>
      <c r="G57" t="str">
        <f t="shared" si="7"/>
        <v>Crabtree Lakemont</v>
      </c>
      <c r="H57">
        <f t="shared" si="5"/>
        <v>6</v>
      </c>
    </row>
    <row r="58" spans="1:8">
      <c r="A58" s="139" t="s">
        <v>299</v>
      </c>
      <c r="B58" t="s">
        <v>34</v>
      </c>
      <c r="C58">
        <v>327</v>
      </c>
      <c r="D58" t="s">
        <v>100</v>
      </c>
      <c r="E58">
        <v>157</v>
      </c>
      <c r="F58" t="str">
        <f t="shared" si="6"/>
        <v>Charleston Village Renaissance Park</v>
      </c>
      <c r="G58" t="str">
        <f t="shared" si="7"/>
        <v>Renaissance Park Charleston Village</v>
      </c>
      <c r="H58">
        <f t="shared" si="5"/>
        <v>170</v>
      </c>
    </row>
    <row r="59" spans="1:8">
      <c r="A59" s="139" t="s">
        <v>299</v>
      </c>
      <c r="B59" t="s">
        <v>73</v>
      </c>
      <c r="C59">
        <v>319</v>
      </c>
      <c r="D59" t="s">
        <v>14</v>
      </c>
      <c r="E59">
        <v>190</v>
      </c>
      <c r="F59" t="str">
        <f t="shared" si="6"/>
        <v>Clubworx Silverton</v>
      </c>
      <c r="G59" t="str">
        <f t="shared" si="7"/>
        <v>Silverton Clubworx</v>
      </c>
      <c r="H59">
        <f t="shared" si="5"/>
        <v>129</v>
      </c>
    </row>
    <row r="60" spans="1:8">
      <c r="A60" s="139" t="s">
        <v>299</v>
      </c>
      <c r="B60" t="s">
        <v>179</v>
      </c>
      <c r="C60">
        <v>268</v>
      </c>
      <c r="D60" t="s">
        <v>22</v>
      </c>
      <c r="E60">
        <v>210</v>
      </c>
      <c r="F60" t="str">
        <f t="shared" si="6"/>
        <v>Arbor Creek Devereaux</v>
      </c>
      <c r="G60" t="str">
        <f t="shared" si="7"/>
        <v>Devereaux Arbor Creek</v>
      </c>
      <c r="H60">
        <f t="shared" si="5"/>
        <v>58</v>
      </c>
    </row>
    <row r="61" spans="1:8">
      <c r="A61" s="139" t="s">
        <v>299</v>
      </c>
      <c r="B61" t="s">
        <v>16</v>
      </c>
      <c r="C61">
        <v>277</v>
      </c>
      <c r="D61" t="s">
        <v>10</v>
      </c>
      <c r="E61">
        <v>216</v>
      </c>
      <c r="F61" t="str">
        <f t="shared" si="6"/>
        <v>Dutchman Downs Prestonwood</v>
      </c>
      <c r="G61" t="str">
        <f t="shared" si="7"/>
        <v>Prestonwood Dutchman Downs</v>
      </c>
      <c r="H61">
        <f t="shared" si="5"/>
        <v>61</v>
      </c>
    </row>
    <row r="62" spans="1:8">
      <c r="A62" s="139" t="s">
        <v>299</v>
      </c>
      <c r="B62" t="s">
        <v>31</v>
      </c>
      <c r="C62">
        <v>278</v>
      </c>
      <c r="D62" t="s">
        <v>28</v>
      </c>
      <c r="E62">
        <v>225</v>
      </c>
      <c r="F62" t="str">
        <f t="shared" si="6"/>
        <v>Eagle Ridge Glenridge</v>
      </c>
      <c r="G62" t="str">
        <f t="shared" si="7"/>
        <v>Glenridge Eagle Ridge</v>
      </c>
      <c r="H62">
        <f t="shared" si="5"/>
        <v>53</v>
      </c>
    </row>
    <row r="63" spans="1:8">
      <c r="A63" s="139" t="s">
        <v>299</v>
      </c>
      <c r="B63" t="s">
        <v>33</v>
      </c>
      <c r="C63">
        <v>270</v>
      </c>
      <c r="D63" t="s">
        <v>40</v>
      </c>
      <c r="E63">
        <v>201</v>
      </c>
      <c r="F63" t="str">
        <f t="shared" si="6"/>
        <v>Garner Wellington Park</v>
      </c>
      <c r="G63" t="str">
        <f t="shared" si="7"/>
        <v>Wellington Park Garner</v>
      </c>
      <c r="H63">
        <f t="shared" si="5"/>
        <v>69</v>
      </c>
    </row>
    <row r="64" spans="1:8">
      <c r="A64" s="139" t="s">
        <v>299</v>
      </c>
      <c r="B64" t="s">
        <v>63</v>
      </c>
      <c r="C64">
        <v>314</v>
      </c>
      <c r="D64" t="s">
        <v>9</v>
      </c>
      <c r="E64">
        <v>199</v>
      </c>
      <c r="F64" t="str">
        <f t="shared" si="6"/>
        <v>Granite Falls Wood Valley</v>
      </c>
      <c r="G64" t="str">
        <f t="shared" si="7"/>
        <v>Wood Valley Granite Falls</v>
      </c>
      <c r="H64">
        <f t="shared" si="5"/>
        <v>115</v>
      </c>
    </row>
    <row r="65" spans="1:8">
      <c r="A65" s="139" t="s">
        <v>299</v>
      </c>
      <c r="B65" t="s">
        <v>6</v>
      </c>
      <c r="C65">
        <v>271</v>
      </c>
      <c r="D65" t="s">
        <v>180</v>
      </c>
      <c r="E65">
        <v>238</v>
      </c>
      <c r="F65" t="str">
        <f t="shared" si="6"/>
        <v>Greystone Brier Creek</v>
      </c>
      <c r="G65" t="str">
        <f t="shared" si="7"/>
        <v>Brier Creek Greystone</v>
      </c>
      <c r="H65">
        <f t="shared" si="5"/>
        <v>33</v>
      </c>
    </row>
    <row r="66" spans="1:8">
      <c r="A66" s="139" t="s">
        <v>299</v>
      </c>
      <c r="B66" t="s">
        <v>95</v>
      </c>
      <c r="C66">
        <v>250</v>
      </c>
      <c r="D66" t="s">
        <v>113</v>
      </c>
      <c r="E66">
        <v>226</v>
      </c>
      <c r="F66" t="str">
        <f t="shared" si="6"/>
        <v>Brighton Forest Harmony</v>
      </c>
      <c r="G66" t="str">
        <f t="shared" si="7"/>
        <v>Harmony Brighton Forest</v>
      </c>
      <c r="H66">
        <f t="shared" si="5"/>
        <v>24</v>
      </c>
    </row>
    <row r="67" spans="1:8">
      <c r="A67" s="139" t="s">
        <v>299</v>
      </c>
      <c r="B67" t="s">
        <v>5</v>
      </c>
      <c r="C67">
        <v>256</v>
      </c>
      <c r="D67" t="s">
        <v>49</v>
      </c>
      <c r="E67">
        <v>255</v>
      </c>
      <c r="F67" t="str">
        <f t="shared" si="6"/>
        <v>Lake Park Harrington Grove</v>
      </c>
      <c r="G67" t="str">
        <f t="shared" si="7"/>
        <v>Harrington Grove Lake Park</v>
      </c>
      <c r="H67">
        <f t="shared" si="5"/>
        <v>1</v>
      </c>
    </row>
    <row r="68" spans="1:8">
      <c r="A68" s="139" t="s">
        <v>299</v>
      </c>
      <c r="B68" t="s">
        <v>166</v>
      </c>
      <c r="C68">
        <v>293</v>
      </c>
      <c r="D68" t="s">
        <v>13</v>
      </c>
      <c r="E68">
        <v>216</v>
      </c>
      <c r="F68" t="str">
        <f t="shared" si="6"/>
        <v>Holly Glen Scotts Mill</v>
      </c>
      <c r="G68" t="str">
        <f t="shared" si="7"/>
        <v>Scotts Mill Holly Glen</v>
      </c>
      <c r="H68">
        <f t="shared" si="5"/>
        <v>77</v>
      </c>
    </row>
    <row r="69" spans="1:8">
      <c r="A69" s="139" t="s">
        <v>299</v>
      </c>
      <c r="B69" t="s">
        <v>36</v>
      </c>
      <c r="C69">
        <v>316</v>
      </c>
      <c r="D69" t="s">
        <v>26</v>
      </c>
      <c r="E69">
        <v>147</v>
      </c>
      <c r="F69" t="str">
        <f t="shared" si="6"/>
        <v>Haddon Hall Weatherstone</v>
      </c>
      <c r="G69" t="str">
        <f t="shared" si="7"/>
        <v>Weatherstone Haddon Hall</v>
      </c>
      <c r="H69">
        <f t="shared" si="5"/>
        <v>169</v>
      </c>
    </row>
    <row r="70" spans="1:8">
      <c r="A70" s="139" t="s">
        <v>299</v>
      </c>
      <c r="B70" t="s">
        <v>65</v>
      </c>
      <c r="C70">
        <v>313</v>
      </c>
      <c r="D70" t="s">
        <v>181</v>
      </c>
      <c r="E70">
        <v>173</v>
      </c>
      <c r="F70" t="str">
        <f t="shared" si="6"/>
        <v>Hasentree Lifetime Raleigh</v>
      </c>
      <c r="G70" t="str">
        <f t="shared" si="7"/>
        <v>Lifetime Raleigh Hasentree</v>
      </c>
      <c r="H70">
        <f t="shared" si="5"/>
        <v>140</v>
      </c>
    </row>
    <row r="71" spans="1:8">
      <c r="A71" s="139" t="s">
        <v>299</v>
      </c>
      <c r="B71" t="s">
        <v>1</v>
      </c>
      <c r="C71">
        <v>1</v>
      </c>
      <c r="F71" t="str">
        <f t="shared" si="6"/>
        <v xml:space="preserve">Oak Park </v>
      </c>
      <c r="G71" t="str">
        <f t="shared" si="7"/>
        <v xml:space="preserve"> Oak Park</v>
      </c>
      <c r="H71">
        <f t="shared" si="5"/>
        <v>1</v>
      </c>
    </row>
    <row r="72" spans="1:8">
      <c r="A72" s="139" t="s">
        <v>299</v>
      </c>
      <c r="B72" t="s">
        <v>104</v>
      </c>
      <c r="C72">
        <v>268</v>
      </c>
      <c r="D72" t="s">
        <v>3</v>
      </c>
      <c r="E72">
        <v>225</v>
      </c>
      <c r="F72" t="str">
        <f t="shared" si="6"/>
        <v>Life Time Fitness Cary Park at West Lake</v>
      </c>
      <c r="G72" t="str">
        <f t="shared" si="7"/>
        <v>Park at West Lake Life Time Fitness Cary</v>
      </c>
      <c r="H72">
        <f t="shared" si="5"/>
        <v>43</v>
      </c>
    </row>
    <row r="73" spans="1:8">
      <c r="A73" s="139" t="s">
        <v>299</v>
      </c>
      <c r="B73" t="s">
        <v>21</v>
      </c>
      <c r="C73">
        <v>280</v>
      </c>
      <c r="D73" t="s">
        <v>25</v>
      </c>
      <c r="E73">
        <v>234</v>
      </c>
      <c r="F73" t="str">
        <f t="shared" si="6"/>
        <v>Apex Medfield</v>
      </c>
      <c r="G73" t="str">
        <f t="shared" si="7"/>
        <v>Medfield Apex</v>
      </c>
      <c r="H73">
        <f t="shared" si="5"/>
        <v>46</v>
      </c>
    </row>
    <row r="74" spans="1:8">
      <c r="A74" s="139" t="s">
        <v>299</v>
      </c>
      <c r="B74" t="s">
        <v>59</v>
      </c>
      <c r="C74">
        <v>320</v>
      </c>
      <c r="D74" t="s">
        <v>57</v>
      </c>
      <c r="E74">
        <v>179</v>
      </c>
      <c r="F74" t="str">
        <f t="shared" si="6"/>
        <v>Hedingham Manchester</v>
      </c>
      <c r="G74" t="str">
        <f t="shared" si="7"/>
        <v>Manchester Hedingham</v>
      </c>
      <c r="H74">
        <f t="shared" si="5"/>
        <v>141</v>
      </c>
    </row>
    <row r="75" spans="1:8">
      <c r="A75" s="139" t="s">
        <v>299</v>
      </c>
      <c r="B75" t="s">
        <v>54</v>
      </c>
      <c r="C75">
        <v>269.5</v>
      </c>
      <c r="D75" t="s">
        <v>84</v>
      </c>
      <c r="E75">
        <v>243.5</v>
      </c>
      <c r="F75" t="str">
        <f t="shared" si="6"/>
        <v>North Hills Greenway Club</v>
      </c>
      <c r="G75" t="str">
        <f t="shared" si="7"/>
        <v>Greenway Club North Hills</v>
      </c>
      <c r="H75">
        <f t="shared" si="5"/>
        <v>26</v>
      </c>
    </row>
    <row r="76" spans="1:8">
      <c r="A76" s="139" t="s">
        <v>299</v>
      </c>
      <c r="B76" t="s">
        <v>56</v>
      </c>
      <c r="C76">
        <v>274.5</v>
      </c>
      <c r="D76" t="s">
        <v>55</v>
      </c>
      <c r="E76">
        <v>233.5</v>
      </c>
      <c r="F76" t="str">
        <f t="shared" si="6"/>
        <v>North Raleigh Bedford at Falls River</v>
      </c>
      <c r="G76" t="str">
        <f t="shared" si="7"/>
        <v>Bedford at Falls River North Raleigh</v>
      </c>
      <c r="H76">
        <f t="shared" si="5"/>
        <v>41</v>
      </c>
    </row>
    <row r="77" spans="1:8">
      <c r="A77" s="139" t="s">
        <v>299</v>
      </c>
      <c r="B77" t="s">
        <v>81</v>
      </c>
      <c r="C77">
        <v>257</v>
      </c>
      <c r="D77" t="s">
        <v>20</v>
      </c>
      <c r="E77">
        <v>246</v>
      </c>
      <c r="F77" t="str">
        <f t="shared" si="6"/>
        <v>Preston Village Olive Chapel</v>
      </c>
      <c r="G77" t="str">
        <f t="shared" si="7"/>
        <v>Olive Chapel Preston Village</v>
      </c>
      <c r="H77">
        <f t="shared" si="5"/>
        <v>11</v>
      </c>
    </row>
    <row r="78" spans="1:8">
      <c r="A78" s="139" t="s">
        <v>299</v>
      </c>
      <c r="B78" t="s">
        <v>86</v>
      </c>
      <c r="C78">
        <v>311</v>
      </c>
      <c r="D78" t="s">
        <v>106</v>
      </c>
      <c r="E78">
        <v>164</v>
      </c>
      <c r="F78" t="str">
        <f t="shared" si="6"/>
        <v>Banbury Woods &amp; Hunters Landing Planter's Walk</v>
      </c>
      <c r="G78" t="str">
        <f t="shared" si="7"/>
        <v>Planter's Walk Banbury Woods &amp; Hunters Landing</v>
      </c>
      <c r="H78">
        <f t="shared" si="5"/>
        <v>147</v>
      </c>
    </row>
    <row r="79" spans="1:8">
      <c r="A79" s="139" t="s">
        <v>299</v>
      </c>
      <c r="B79" t="s">
        <v>50</v>
      </c>
      <c r="C79">
        <v>261</v>
      </c>
      <c r="D79" t="s">
        <v>7</v>
      </c>
      <c r="E79">
        <v>252</v>
      </c>
      <c r="F79" t="str">
        <f t="shared" si="6"/>
        <v>Quail Hollow Springdale</v>
      </c>
      <c r="G79" t="str">
        <f t="shared" si="7"/>
        <v>Springdale Quail Hollow</v>
      </c>
      <c r="H79">
        <f t="shared" si="5"/>
        <v>9</v>
      </c>
    </row>
    <row r="80" spans="1:8">
      <c r="A80" s="139" t="s">
        <v>299</v>
      </c>
      <c r="B80" t="s">
        <v>97</v>
      </c>
      <c r="C80">
        <v>292</v>
      </c>
      <c r="D80" t="s">
        <v>27</v>
      </c>
      <c r="E80">
        <v>204</v>
      </c>
      <c r="F80" t="str">
        <f t="shared" si="6"/>
        <v>Regency Highcroft</v>
      </c>
      <c r="G80" t="str">
        <f t="shared" si="7"/>
        <v>Highcroft Regency</v>
      </c>
      <c r="H80">
        <f t="shared" si="5"/>
        <v>88</v>
      </c>
    </row>
    <row r="81" spans="1:8">
      <c r="A81" s="139" t="s">
        <v>299</v>
      </c>
      <c r="B81" t="s">
        <v>48</v>
      </c>
      <c r="C81">
        <v>288</v>
      </c>
      <c r="D81" t="s">
        <v>156</v>
      </c>
      <c r="E81">
        <v>216</v>
      </c>
      <c r="F81" t="str">
        <f t="shared" si="6"/>
        <v>Northbrook Riverwood</v>
      </c>
      <c r="G81" t="str">
        <f t="shared" si="7"/>
        <v>Riverwood Northbrook</v>
      </c>
      <c r="H81">
        <f t="shared" si="5"/>
        <v>72</v>
      </c>
    </row>
    <row r="82" spans="1:8">
      <c r="A82" s="139" t="s">
        <v>299</v>
      </c>
      <c r="B82" t="s">
        <v>96</v>
      </c>
      <c r="C82">
        <v>382</v>
      </c>
      <c r="D82" t="s">
        <v>19</v>
      </c>
      <c r="E82">
        <v>132</v>
      </c>
      <c r="F82" t="str">
        <f t="shared" si="6"/>
        <v>Shepherds Vineyard Walden Creek</v>
      </c>
      <c r="G82" t="str">
        <f t="shared" si="7"/>
        <v>Walden Creek Shepherds Vineyard</v>
      </c>
      <c r="H82">
        <f t="shared" si="5"/>
        <v>250</v>
      </c>
    </row>
    <row r="83" spans="1:8">
      <c r="A83" s="139" t="s">
        <v>299</v>
      </c>
      <c r="B83" t="s">
        <v>51</v>
      </c>
      <c r="C83">
        <v>282</v>
      </c>
      <c r="D83" t="s">
        <v>58</v>
      </c>
      <c r="E83">
        <v>224</v>
      </c>
      <c r="F83" t="str">
        <f t="shared" si="6"/>
        <v>Summerfield North Durant Trails</v>
      </c>
      <c r="G83" t="str">
        <f t="shared" si="7"/>
        <v>Durant Trails Summerfield North</v>
      </c>
      <c r="H83">
        <f t="shared" si="5"/>
        <v>58</v>
      </c>
    </row>
    <row r="84" spans="1:8">
      <c r="A84" s="139" t="s">
        <v>299</v>
      </c>
      <c r="B84" t="s">
        <v>60</v>
      </c>
      <c r="C84">
        <v>366</v>
      </c>
      <c r="D84" t="s">
        <v>62</v>
      </c>
      <c r="E84">
        <v>132</v>
      </c>
      <c r="F84" t="str">
        <f t="shared" si="6"/>
        <v>Southall Meredith Townes</v>
      </c>
      <c r="G84" t="str">
        <f t="shared" si="7"/>
        <v>Meredith Townes Southall</v>
      </c>
      <c r="H84">
        <f t="shared" si="5"/>
        <v>234</v>
      </c>
    </row>
    <row r="85" spans="1:8">
      <c r="A85" s="139" t="s">
        <v>299</v>
      </c>
      <c r="B85" t="s">
        <v>53</v>
      </c>
      <c r="C85">
        <v>347</v>
      </c>
      <c r="D85" t="s">
        <v>52</v>
      </c>
      <c r="E85">
        <v>165</v>
      </c>
      <c r="F85" t="str">
        <f t="shared" si="6"/>
        <v>Stonebridge Heritage of Wake Forest</v>
      </c>
      <c r="G85" t="str">
        <f t="shared" si="7"/>
        <v>Heritage of Wake Forest Stonebridge</v>
      </c>
      <c r="H85">
        <f t="shared" si="5"/>
        <v>182</v>
      </c>
    </row>
    <row r="86" spans="1:8">
      <c r="A86" s="139" t="s">
        <v>299</v>
      </c>
      <c r="B86" t="s">
        <v>72</v>
      </c>
      <c r="C86">
        <v>298</v>
      </c>
      <c r="D86" t="s">
        <v>24</v>
      </c>
      <c r="E86">
        <v>211</v>
      </c>
      <c r="F86" t="str">
        <f t="shared" si="6"/>
        <v>TCC The Reserve</v>
      </c>
      <c r="G86" t="str">
        <f t="shared" si="7"/>
        <v>The Reserve TCC</v>
      </c>
      <c r="H86">
        <f t="shared" si="5"/>
        <v>87</v>
      </c>
    </row>
    <row r="87" spans="1:8">
      <c r="A87" s="139" t="s">
        <v>299</v>
      </c>
      <c r="B87" t="s">
        <v>8</v>
      </c>
      <c r="C87">
        <v>306</v>
      </c>
      <c r="D87" t="s">
        <v>12</v>
      </c>
      <c r="E87">
        <v>204</v>
      </c>
      <c r="F87" t="str">
        <f t="shared" si="6"/>
        <v>University Club Scottish Hills</v>
      </c>
      <c r="G87" t="str">
        <f t="shared" si="7"/>
        <v>Scottish Hills University Club</v>
      </c>
      <c r="H87">
        <f t="shared" si="5"/>
        <v>102</v>
      </c>
    </row>
    <row r="88" spans="1:8">
      <c r="A88" s="139" t="s">
        <v>299</v>
      </c>
      <c r="B88" t="s">
        <v>66</v>
      </c>
      <c r="C88">
        <v>317</v>
      </c>
      <c r="D88" t="s">
        <v>70</v>
      </c>
      <c r="E88">
        <v>187</v>
      </c>
      <c r="F88" t="str">
        <f t="shared" si="6"/>
        <v>Wendell Coachman's Trail</v>
      </c>
      <c r="G88" t="str">
        <f t="shared" si="7"/>
        <v>Coachman's Trail Wendell</v>
      </c>
      <c r="H88">
        <f t="shared" si="5"/>
        <v>130</v>
      </c>
    </row>
    <row r="89" spans="1:8">
      <c r="A89" s="139" t="s">
        <v>299</v>
      </c>
      <c r="B89" t="s">
        <v>2</v>
      </c>
      <c r="C89">
        <v>328</v>
      </c>
      <c r="D89" t="s">
        <v>82</v>
      </c>
      <c r="E89">
        <v>186</v>
      </c>
      <c r="F89" t="str">
        <f t="shared" si="6"/>
        <v>Wellsley Amberly</v>
      </c>
      <c r="G89" t="str">
        <f t="shared" si="7"/>
        <v>Amberly Wellsley</v>
      </c>
      <c r="H89">
        <f t="shared" si="5"/>
        <v>142</v>
      </c>
    </row>
    <row r="90" spans="1:8">
      <c r="A90" s="139" t="s">
        <v>299</v>
      </c>
      <c r="B90" t="s">
        <v>35</v>
      </c>
      <c r="C90">
        <v>245.5</v>
      </c>
      <c r="D90" t="s">
        <v>29</v>
      </c>
      <c r="E90">
        <v>241.5</v>
      </c>
      <c r="F90" t="str">
        <f t="shared" si="6"/>
        <v>Weldon Ridge Oxxford Hunt</v>
      </c>
      <c r="G90" t="str">
        <f t="shared" si="7"/>
        <v>Oxxford Hunt Weldon Ridge</v>
      </c>
      <c r="H90">
        <f t="shared" si="5"/>
        <v>4</v>
      </c>
    </row>
    <row r="91" spans="1:8">
      <c r="A91" s="139" t="s">
        <v>299</v>
      </c>
      <c r="B91" t="s">
        <v>118</v>
      </c>
      <c r="C91">
        <v>268</v>
      </c>
      <c r="D91" t="s">
        <v>64</v>
      </c>
      <c r="E91">
        <v>194</v>
      </c>
      <c r="F91" t="str">
        <f t="shared" si="6"/>
        <v>Zebulon Hawthorne</v>
      </c>
      <c r="G91" t="str">
        <f t="shared" si="7"/>
        <v>Hawthorne Zebulon</v>
      </c>
      <c r="H91">
        <f t="shared" si="5"/>
        <v>74</v>
      </c>
    </row>
    <row r="94" spans="1:8">
      <c r="A94" s="139" t="s">
        <v>300</v>
      </c>
      <c r="B94" t="s">
        <v>82</v>
      </c>
      <c r="C94">
        <v>349</v>
      </c>
      <c r="D94" t="s">
        <v>35</v>
      </c>
      <c r="E94">
        <v>160</v>
      </c>
      <c r="F94" t="str">
        <f t="shared" ref="F94:F136" si="8">_xlfn.CONCAT(B94," ",D94)</f>
        <v>Amberly Weldon Ridge</v>
      </c>
      <c r="G94" t="str">
        <f t="shared" ref="G94:G136" si="9">_xlfn.CONCAT(D94," ",B94)</f>
        <v>Weldon Ridge Amberly</v>
      </c>
      <c r="H94">
        <f t="shared" ref="H94:H137" si="10">C94-E94</f>
        <v>189</v>
      </c>
    </row>
    <row r="95" spans="1:8">
      <c r="A95" s="139" t="s">
        <v>300</v>
      </c>
      <c r="B95" t="s">
        <v>17</v>
      </c>
      <c r="C95">
        <v>289</v>
      </c>
      <c r="D95" t="s">
        <v>21</v>
      </c>
      <c r="E95">
        <v>221</v>
      </c>
      <c r="F95" t="str">
        <f t="shared" si="8"/>
        <v>Cary Apex</v>
      </c>
      <c r="G95" t="str">
        <f t="shared" si="9"/>
        <v>Apex Cary</v>
      </c>
      <c r="H95">
        <f t="shared" si="10"/>
        <v>68</v>
      </c>
    </row>
    <row r="96" spans="1:8">
      <c r="A96" s="139" t="s">
        <v>300</v>
      </c>
      <c r="B96" t="s">
        <v>49</v>
      </c>
      <c r="C96">
        <v>260</v>
      </c>
      <c r="D96" t="s">
        <v>55</v>
      </c>
      <c r="E96">
        <v>241</v>
      </c>
      <c r="F96" t="str">
        <f t="shared" si="8"/>
        <v>Harrington Grove Bedford at Falls River</v>
      </c>
      <c r="G96" t="str">
        <f t="shared" si="9"/>
        <v>Bedford at Falls River Harrington Grove</v>
      </c>
      <c r="H96">
        <f t="shared" si="10"/>
        <v>19</v>
      </c>
    </row>
    <row r="97" spans="1:8">
      <c r="A97" s="139" t="s">
        <v>300</v>
      </c>
      <c r="B97" t="s">
        <v>54</v>
      </c>
      <c r="C97">
        <v>275.5</v>
      </c>
      <c r="D97" t="s">
        <v>180</v>
      </c>
      <c r="E97">
        <v>236.5</v>
      </c>
      <c r="F97" t="str">
        <f t="shared" si="8"/>
        <v>North Hills Brier Creek</v>
      </c>
      <c r="G97" t="str">
        <f t="shared" si="9"/>
        <v>Brier Creek North Hills</v>
      </c>
      <c r="H97">
        <f t="shared" si="10"/>
        <v>39</v>
      </c>
    </row>
    <row r="98" spans="1:8">
      <c r="A98" s="139" t="s">
        <v>300</v>
      </c>
      <c r="B98" t="s">
        <v>34</v>
      </c>
      <c r="C98">
        <v>389</v>
      </c>
      <c r="D98" t="s">
        <v>276</v>
      </c>
      <c r="E98">
        <v>88</v>
      </c>
      <c r="F98" t="str">
        <f t="shared" si="8"/>
        <v>Charleston Village Breckenridge</v>
      </c>
      <c r="G98" t="str">
        <f t="shared" si="9"/>
        <v>Breckenridge Charleston Village</v>
      </c>
      <c r="H98">
        <f t="shared" si="10"/>
        <v>301</v>
      </c>
    </row>
    <row r="99" spans="1:8">
      <c r="A99" s="139" t="s">
        <v>300</v>
      </c>
      <c r="B99" t="s">
        <v>38</v>
      </c>
      <c r="C99">
        <v>259</v>
      </c>
      <c r="D99" t="s">
        <v>72</v>
      </c>
      <c r="E99">
        <v>253</v>
      </c>
      <c r="F99" t="str">
        <f t="shared" si="8"/>
        <v>Bentwinds TCC</v>
      </c>
      <c r="G99" t="str">
        <f t="shared" si="9"/>
        <v>TCC Bentwinds</v>
      </c>
      <c r="H99">
        <f t="shared" si="10"/>
        <v>6</v>
      </c>
    </row>
    <row r="100" spans="1:8">
      <c r="A100" s="139" t="s">
        <v>300</v>
      </c>
      <c r="B100" t="s">
        <v>67</v>
      </c>
      <c r="C100">
        <v>323</v>
      </c>
      <c r="D100" t="s">
        <v>86</v>
      </c>
      <c r="E100">
        <v>180</v>
      </c>
      <c r="F100" t="str">
        <f t="shared" si="8"/>
        <v>Crabtree Banbury Woods &amp; Hunters Landing</v>
      </c>
      <c r="G100" t="str">
        <f t="shared" si="9"/>
        <v>Banbury Woods &amp; Hunters Landing Crabtree</v>
      </c>
      <c r="H100">
        <f t="shared" si="10"/>
        <v>143</v>
      </c>
    </row>
    <row r="101" spans="1:8">
      <c r="A101" s="139" t="s">
        <v>300</v>
      </c>
      <c r="B101" t="s">
        <v>70</v>
      </c>
      <c r="C101">
        <v>270</v>
      </c>
      <c r="D101" t="s">
        <v>118</v>
      </c>
      <c r="E101">
        <v>143</v>
      </c>
      <c r="F101" t="str">
        <f t="shared" si="8"/>
        <v>Coachman's Trail Zebulon</v>
      </c>
      <c r="G101" t="str">
        <f t="shared" si="9"/>
        <v>Zebulon Coachman's Trail</v>
      </c>
      <c r="H101">
        <f t="shared" si="10"/>
        <v>127</v>
      </c>
    </row>
    <row r="102" spans="1:8">
      <c r="A102" s="139" t="s">
        <v>300</v>
      </c>
      <c r="B102" t="s">
        <v>58</v>
      </c>
      <c r="C102">
        <v>322</v>
      </c>
      <c r="D102" t="s">
        <v>57</v>
      </c>
      <c r="E102">
        <v>172</v>
      </c>
      <c r="F102" t="str">
        <f t="shared" si="8"/>
        <v>Durant Trails Manchester</v>
      </c>
      <c r="G102" t="str">
        <f t="shared" si="9"/>
        <v>Manchester Durant Trails</v>
      </c>
      <c r="H102">
        <f t="shared" si="10"/>
        <v>150</v>
      </c>
    </row>
    <row r="103" spans="1:8">
      <c r="A103" s="139" t="s">
        <v>300</v>
      </c>
      <c r="B103" t="s">
        <v>16</v>
      </c>
      <c r="C103">
        <v>269</v>
      </c>
      <c r="D103" t="s">
        <v>20</v>
      </c>
      <c r="E103">
        <v>239</v>
      </c>
      <c r="F103" t="str">
        <f t="shared" si="8"/>
        <v>Dutchman Downs Olive Chapel</v>
      </c>
      <c r="G103" t="str">
        <f t="shared" si="9"/>
        <v>Olive Chapel Dutchman Downs</v>
      </c>
      <c r="H103">
        <f t="shared" si="10"/>
        <v>30</v>
      </c>
    </row>
    <row r="104" spans="1:8">
      <c r="A104" s="139" t="s">
        <v>300</v>
      </c>
      <c r="B104" t="s">
        <v>33</v>
      </c>
      <c r="C104">
        <v>235</v>
      </c>
      <c r="D104" t="s">
        <v>113</v>
      </c>
      <c r="E104">
        <v>204</v>
      </c>
      <c r="F104" t="str">
        <f t="shared" si="8"/>
        <v>Garner Harmony</v>
      </c>
      <c r="G104" t="str">
        <f t="shared" si="9"/>
        <v>Harmony Garner</v>
      </c>
      <c r="H104">
        <f t="shared" si="10"/>
        <v>31</v>
      </c>
    </row>
    <row r="105" spans="1:8">
      <c r="A105" s="139" t="s">
        <v>300</v>
      </c>
      <c r="B105" t="s">
        <v>28</v>
      </c>
      <c r="C105">
        <v>301</v>
      </c>
      <c r="D105" t="s">
        <v>32</v>
      </c>
      <c r="E105">
        <v>192</v>
      </c>
      <c r="F105" t="str">
        <f t="shared" si="8"/>
        <v>Glenridge Crooked Creek</v>
      </c>
      <c r="G105" t="str">
        <f t="shared" si="9"/>
        <v>Crooked Creek Glenridge</v>
      </c>
      <c r="H105">
        <f t="shared" si="10"/>
        <v>109</v>
      </c>
    </row>
    <row r="106" spans="1:8">
      <c r="A106" s="139" t="s">
        <v>300</v>
      </c>
      <c r="B106" t="s">
        <v>84</v>
      </c>
      <c r="C106">
        <v>266</v>
      </c>
      <c r="D106" t="s">
        <v>48</v>
      </c>
      <c r="E106">
        <v>246</v>
      </c>
      <c r="F106" t="str">
        <f t="shared" si="8"/>
        <v>Greenway Club Northbrook</v>
      </c>
      <c r="G106" t="str">
        <f t="shared" si="9"/>
        <v>Northbrook Greenway Club</v>
      </c>
      <c r="H106">
        <f t="shared" si="10"/>
        <v>20</v>
      </c>
    </row>
    <row r="107" spans="1:8">
      <c r="A107" s="139" t="s">
        <v>300</v>
      </c>
      <c r="B107" t="s">
        <v>64</v>
      </c>
      <c r="C107">
        <v>260</v>
      </c>
      <c r="D107" t="s">
        <v>106</v>
      </c>
      <c r="E107">
        <v>186</v>
      </c>
      <c r="F107" t="str">
        <f t="shared" si="8"/>
        <v>Hawthorne Planter's Walk</v>
      </c>
      <c r="G107" t="str">
        <f t="shared" si="9"/>
        <v>Planter's Walk Hawthorne</v>
      </c>
      <c r="H107">
        <f t="shared" si="10"/>
        <v>74</v>
      </c>
    </row>
    <row r="108" spans="1:8">
      <c r="A108" s="139" t="s">
        <v>300</v>
      </c>
      <c r="B108" t="s">
        <v>59</v>
      </c>
      <c r="C108">
        <v>269</v>
      </c>
      <c r="D108" t="s">
        <v>0</v>
      </c>
      <c r="E108">
        <v>231</v>
      </c>
      <c r="F108" t="str">
        <f t="shared" si="8"/>
        <v>Hedingham Lakemont</v>
      </c>
      <c r="G108" t="str">
        <f t="shared" si="9"/>
        <v>Lakemont Hedingham</v>
      </c>
      <c r="H108">
        <f t="shared" si="10"/>
        <v>38</v>
      </c>
    </row>
    <row r="109" spans="1:8">
      <c r="A109" s="139" t="s">
        <v>300</v>
      </c>
      <c r="B109" t="s">
        <v>166</v>
      </c>
      <c r="C109">
        <v>263</v>
      </c>
      <c r="D109" t="s">
        <v>98</v>
      </c>
      <c r="E109">
        <v>250</v>
      </c>
      <c r="F109" t="str">
        <f t="shared" si="8"/>
        <v>Holly Glen Bella Casa</v>
      </c>
      <c r="G109" t="str">
        <f t="shared" si="9"/>
        <v>Bella Casa Holly Glen</v>
      </c>
      <c r="H109">
        <f t="shared" si="10"/>
        <v>13</v>
      </c>
    </row>
    <row r="110" spans="1:8">
      <c r="A110" s="139" t="s">
        <v>300</v>
      </c>
      <c r="B110" t="s">
        <v>7</v>
      </c>
      <c r="C110">
        <v>318</v>
      </c>
      <c r="D110" t="s">
        <v>65</v>
      </c>
      <c r="E110">
        <v>196</v>
      </c>
      <c r="F110" t="str">
        <f t="shared" si="8"/>
        <v>Springdale Hasentree</v>
      </c>
      <c r="G110" t="str">
        <f t="shared" si="9"/>
        <v>Hasentree Springdale</v>
      </c>
      <c r="H110">
        <f t="shared" si="10"/>
        <v>122</v>
      </c>
    </row>
    <row r="111" spans="1:8">
      <c r="A111" s="139" t="s">
        <v>300</v>
      </c>
      <c r="B111" t="s">
        <v>62</v>
      </c>
      <c r="F111" t="str">
        <f t="shared" si="8"/>
        <v xml:space="preserve">Meredith Townes </v>
      </c>
      <c r="G111" t="str">
        <f t="shared" si="9"/>
        <v xml:space="preserve"> Meredith Townes</v>
      </c>
      <c r="H111">
        <f t="shared" si="10"/>
        <v>0</v>
      </c>
    </row>
    <row r="112" spans="1:8">
      <c r="A112" s="139" t="s">
        <v>300</v>
      </c>
      <c r="B112" t="s">
        <v>37</v>
      </c>
      <c r="C112">
        <v>287</v>
      </c>
      <c r="D112" t="s">
        <v>71</v>
      </c>
      <c r="E112">
        <v>227</v>
      </c>
      <c r="F112" t="str">
        <f t="shared" si="8"/>
        <v>Carpenter Village Kildaire Farms</v>
      </c>
      <c r="G112" t="str">
        <f t="shared" si="9"/>
        <v>Kildaire Farms Carpenter Village</v>
      </c>
      <c r="H112">
        <f t="shared" si="10"/>
        <v>60</v>
      </c>
    </row>
    <row r="113" spans="1:8">
      <c r="A113" s="139" t="s">
        <v>300</v>
      </c>
      <c r="B113" t="s">
        <v>83</v>
      </c>
      <c r="C113">
        <v>321</v>
      </c>
      <c r="D113" t="s">
        <v>31</v>
      </c>
      <c r="E113">
        <v>193</v>
      </c>
      <c r="F113" t="str">
        <f t="shared" si="8"/>
        <v>Kitts Creek Eagle Ridge</v>
      </c>
      <c r="G113" t="str">
        <f t="shared" si="9"/>
        <v>Eagle Ridge Kitts Creek</v>
      </c>
      <c r="H113">
        <f t="shared" si="10"/>
        <v>128</v>
      </c>
    </row>
    <row r="114" spans="1:8">
      <c r="A114" s="139" t="s">
        <v>300</v>
      </c>
      <c r="B114" t="s">
        <v>11</v>
      </c>
      <c r="C114">
        <v>277</v>
      </c>
      <c r="D114" t="s">
        <v>96</v>
      </c>
      <c r="E114">
        <v>228</v>
      </c>
      <c r="F114" t="str">
        <f t="shared" si="8"/>
        <v>Lochmere Shepherds Vineyard</v>
      </c>
      <c r="G114" t="str">
        <f t="shared" si="9"/>
        <v>Shepherds Vineyard Lochmere</v>
      </c>
      <c r="H114">
        <f t="shared" si="10"/>
        <v>49</v>
      </c>
    </row>
    <row r="115" spans="1:8">
      <c r="A115" s="139" t="s">
        <v>300</v>
      </c>
      <c r="B115" t="s">
        <v>5</v>
      </c>
      <c r="C115">
        <v>300</v>
      </c>
      <c r="D115" t="s">
        <v>53</v>
      </c>
      <c r="E115">
        <v>204</v>
      </c>
      <c r="F115" t="str">
        <f t="shared" si="8"/>
        <v>Lake Park Stonebridge</v>
      </c>
      <c r="G115" t="str">
        <f t="shared" si="9"/>
        <v>Stonebridge Lake Park</v>
      </c>
      <c r="H115">
        <f t="shared" si="10"/>
        <v>96</v>
      </c>
    </row>
    <row r="116" spans="1:8">
      <c r="A116" s="139" t="s">
        <v>300</v>
      </c>
      <c r="B116" t="s">
        <v>56</v>
      </c>
      <c r="C116">
        <v>280</v>
      </c>
      <c r="D116" t="s">
        <v>63</v>
      </c>
      <c r="E116">
        <v>233</v>
      </c>
      <c r="F116" t="str">
        <f t="shared" si="8"/>
        <v>North Raleigh Granite Falls</v>
      </c>
      <c r="G116" t="str">
        <f t="shared" si="9"/>
        <v>Granite Falls North Raleigh</v>
      </c>
      <c r="H116">
        <f t="shared" si="10"/>
        <v>47</v>
      </c>
    </row>
    <row r="117" spans="1:8">
      <c r="A117" s="139" t="s">
        <v>300</v>
      </c>
      <c r="B117" t="s">
        <v>1</v>
      </c>
      <c r="C117">
        <v>246</v>
      </c>
      <c r="D117" t="s">
        <v>181</v>
      </c>
      <c r="E117">
        <v>237</v>
      </c>
      <c r="F117" t="str">
        <f t="shared" si="8"/>
        <v>Oak Park Lifetime Raleigh</v>
      </c>
      <c r="G117" t="str">
        <f t="shared" si="9"/>
        <v>Lifetime Raleigh Oak Park</v>
      </c>
      <c r="H117">
        <f t="shared" si="10"/>
        <v>9</v>
      </c>
    </row>
    <row r="118" spans="1:8">
      <c r="A118" s="139" t="s">
        <v>300</v>
      </c>
      <c r="B118" t="s">
        <v>29</v>
      </c>
      <c r="C118">
        <v>255</v>
      </c>
      <c r="D118" t="s">
        <v>3</v>
      </c>
      <c r="E118">
        <v>211</v>
      </c>
      <c r="F118" t="str">
        <f t="shared" si="8"/>
        <v>Oxxford Hunt Park at West Lake</v>
      </c>
      <c r="G118" t="str">
        <f t="shared" si="9"/>
        <v>Park at West Lake Oxxford Hunt</v>
      </c>
      <c r="H118">
        <f t="shared" si="10"/>
        <v>44</v>
      </c>
    </row>
    <row r="119" spans="1:8">
      <c r="A119" s="139" t="s">
        <v>300</v>
      </c>
      <c r="B119" t="s">
        <v>23</v>
      </c>
      <c r="C119">
        <v>311</v>
      </c>
      <c r="D119" t="s">
        <v>95</v>
      </c>
      <c r="E119">
        <v>201</v>
      </c>
      <c r="F119" t="str">
        <f t="shared" si="8"/>
        <v>Park Village Brighton Forest</v>
      </c>
      <c r="G119" t="str">
        <f t="shared" si="9"/>
        <v>Brighton Forest Park Village</v>
      </c>
      <c r="H119">
        <f t="shared" si="10"/>
        <v>110</v>
      </c>
    </row>
    <row r="120" spans="1:8">
      <c r="A120" s="139" t="s">
        <v>300</v>
      </c>
      <c r="B120" t="s">
        <v>81</v>
      </c>
      <c r="C120">
        <v>306</v>
      </c>
      <c r="D120" t="s">
        <v>14</v>
      </c>
      <c r="E120">
        <v>199</v>
      </c>
      <c r="F120" t="str">
        <f t="shared" si="8"/>
        <v>Preston Village Silverton</v>
      </c>
      <c r="G120" t="str">
        <f t="shared" si="9"/>
        <v>Silverton Preston Village</v>
      </c>
      <c r="H120">
        <f t="shared" si="10"/>
        <v>107</v>
      </c>
    </row>
    <row r="121" spans="1:8">
      <c r="A121" s="139" t="s">
        <v>300</v>
      </c>
      <c r="B121" t="s">
        <v>25</v>
      </c>
      <c r="C121">
        <v>286</v>
      </c>
      <c r="D121" t="s">
        <v>10</v>
      </c>
      <c r="E121">
        <v>227</v>
      </c>
      <c r="F121" t="str">
        <f t="shared" si="8"/>
        <v>Medfield Prestonwood</v>
      </c>
      <c r="G121" t="str">
        <f t="shared" si="9"/>
        <v>Prestonwood Medfield</v>
      </c>
      <c r="H121">
        <f t="shared" si="10"/>
        <v>59</v>
      </c>
    </row>
    <row r="122" spans="1:8">
      <c r="A122" s="139" t="s">
        <v>300</v>
      </c>
      <c r="B122" t="s">
        <v>50</v>
      </c>
      <c r="C122">
        <v>287</v>
      </c>
      <c r="D122" t="s">
        <v>156</v>
      </c>
      <c r="E122">
        <v>216</v>
      </c>
      <c r="F122" t="str">
        <f t="shared" si="8"/>
        <v>Quail Hollow Riverwood</v>
      </c>
      <c r="G122" t="str">
        <f t="shared" si="9"/>
        <v>Riverwood Quail Hollow</v>
      </c>
      <c r="H122">
        <f t="shared" si="10"/>
        <v>71</v>
      </c>
    </row>
    <row r="123" spans="1:8">
      <c r="A123" s="139" t="s">
        <v>300</v>
      </c>
      <c r="B123" t="s">
        <v>66</v>
      </c>
      <c r="C123">
        <v>329</v>
      </c>
      <c r="D123" t="s">
        <v>182</v>
      </c>
      <c r="E123">
        <v>151</v>
      </c>
      <c r="F123" t="str">
        <f t="shared" si="8"/>
        <v>Wendell Raleigh Racquet</v>
      </c>
      <c r="G123" t="str">
        <f t="shared" si="9"/>
        <v>Raleigh Racquet Wendell</v>
      </c>
      <c r="H123">
        <f t="shared" si="10"/>
        <v>178</v>
      </c>
    </row>
    <row r="124" spans="1:8">
      <c r="A124" s="139" t="s">
        <v>300</v>
      </c>
      <c r="B124" t="s">
        <v>30</v>
      </c>
      <c r="C124">
        <v>283</v>
      </c>
      <c r="D124" t="s">
        <v>97</v>
      </c>
      <c r="E124">
        <v>230</v>
      </c>
      <c r="F124" t="str">
        <f t="shared" si="8"/>
        <v>Brookstone Regency</v>
      </c>
      <c r="G124" t="str">
        <f t="shared" si="9"/>
        <v>Regency Brookstone</v>
      </c>
      <c r="H124">
        <f t="shared" si="10"/>
        <v>53</v>
      </c>
    </row>
    <row r="125" spans="1:8">
      <c r="A125" s="139" t="s">
        <v>300</v>
      </c>
      <c r="B125" t="s">
        <v>104</v>
      </c>
      <c r="C125">
        <v>243</v>
      </c>
      <c r="D125" t="s">
        <v>24</v>
      </c>
      <c r="E125">
        <v>205</v>
      </c>
      <c r="F125" t="str">
        <f t="shared" si="8"/>
        <v>Life Time Fitness Cary The Reserve</v>
      </c>
      <c r="G125" t="str">
        <f t="shared" si="9"/>
        <v>The Reserve Life Time Fitness Cary</v>
      </c>
      <c r="H125">
        <f t="shared" si="10"/>
        <v>38</v>
      </c>
    </row>
    <row r="126" spans="1:8">
      <c r="A126" s="139" t="s">
        <v>300</v>
      </c>
      <c r="B126" t="s">
        <v>22</v>
      </c>
      <c r="C126">
        <v>243</v>
      </c>
      <c r="D126" t="s">
        <v>100</v>
      </c>
      <c r="E126">
        <v>218</v>
      </c>
      <c r="F126" t="str">
        <f t="shared" si="8"/>
        <v>Devereaux Renaissance Park</v>
      </c>
      <c r="G126" t="str">
        <f t="shared" si="9"/>
        <v>Renaissance Park Devereaux</v>
      </c>
      <c r="H126">
        <f t="shared" si="10"/>
        <v>25</v>
      </c>
    </row>
    <row r="127" spans="1:8">
      <c r="A127" s="139" t="s">
        <v>300</v>
      </c>
      <c r="B127" t="s">
        <v>15</v>
      </c>
      <c r="C127">
        <v>289.5</v>
      </c>
      <c r="D127" t="s">
        <v>12</v>
      </c>
      <c r="E127">
        <v>223.5</v>
      </c>
      <c r="F127" t="str">
        <f t="shared" si="8"/>
        <v>Cary Park Scottish Hills</v>
      </c>
      <c r="G127" t="str">
        <f t="shared" si="9"/>
        <v>Scottish Hills Cary Park</v>
      </c>
      <c r="H127">
        <f t="shared" si="10"/>
        <v>66</v>
      </c>
    </row>
    <row r="128" spans="1:8">
      <c r="A128" s="139" t="s">
        <v>300</v>
      </c>
      <c r="B128" t="s">
        <v>52</v>
      </c>
      <c r="C128">
        <v>264</v>
      </c>
      <c r="D128" t="s">
        <v>51</v>
      </c>
      <c r="E128">
        <v>245</v>
      </c>
      <c r="F128" t="str">
        <f t="shared" si="8"/>
        <v>Heritage of Wake Forest Summerfield North</v>
      </c>
      <c r="G128" t="str">
        <f t="shared" si="9"/>
        <v>Summerfield North Heritage of Wake Forest</v>
      </c>
      <c r="H128">
        <f t="shared" si="10"/>
        <v>19</v>
      </c>
    </row>
    <row r="129" spans="1:8">
      <c r="A129" s="139" t="s">
        <v>300</v>
      </c>
      <c r="B129" t="s">
        <v>36</v>
      </c>
      <c r="C129">
        <v>267</v>
      </c>
      <c r="D129" t="s">
        <v>13</v>
      </c>
      <c r="E129">
        <v>239</v>
      </c>
      <c r="F129" t="str">
        <f t="shared" si="8"/>
        <v>Haddon Hall Scotts Mill</v>
      </c>
      <c r="G129" t="str">
        <f t="shared" si="9"/>
        <v>Scotts Mill Haddon Hall</v>
      </c>
      <c r="H129">
        <f t="shared" si="10"/>
        <v>28</v>
      </c>
    </row>
    <row r="130" spans="1:8">
      <c r="A130" s="139" t="s">
        <v>300</v>
      </c>
      <c r="B130" t="s">
        <v>18</v>
      </c>
      <c r="C130">
        <v>1</v>
      </c>
      <c r="D130" t="s">
        <v>78</v>
      </c>
      <c r="E130">
        <v>1</v>
      </c>
      <c r="F130" t="str">
        <f t="shared" si="8"/>
        <v>Sunset Ridge Abbington</v>
      </c>
      <c r="G130" t="str">
        <f t="shared" si="9"/>
        <v>Abbington Sunset Ridge</v>
      </c>
      <c r="H130">
        <f t="shared" si="10"/>
        <v>0</v>
      </c>
    </row>
    <row r="131" spans="1:8">
      <c r="A131" s="139" t="s">
        <v>300</v>
      </c>
      <c r="B131" t="s">
        <v>60</v>
      </c>
      <c r="C131">
        <v>314</v>
      </c>
      <c r="D131" t="s">
        <v>61</v>
      </c>
      <c r="E131">
        <v>200</v>
      </c>
      <c r="F131" t="str">
        <f t="shared" si="8"/>
        <v>Southall Black Horse Run</v>
      </c>
      <c r="G131" t="str">
        <f t="shared" si="9"/>
        <v>Black Horse Run Southall</v>
      </c>
      <c r="H131">
        <f t="shared" si="10"/>
        <v>114</v>
      </c>
    </row>
    <row r="132" spans="1:8">
      <c r="A132" s="139" t="s">
        <v>300</v>
      </c>
      <c r="B132" t="s">
        <v>8</v>
      </c>
      <c r="C132">
        <v>245</v>
      </c>
      <c r="D132" t="s">
        <v>6</v>
      </c>
      <c r="E132">
        <v>165</v>
      </c>
      <c r="F132" t="str">
        <f t="shared" si="8"/>
        <v>University Club Greystone</v>
      </c>
      <c r="G132" t="str">
        <f t="shared" si="9"/>
        <v>Greystone University Club</v>
      </c>
      <c r="H132">
        <f t="shared" si="10"/>
        <v>80</v>
      </c>
    </row>
    <row r="133" spans="1:8">
      <c r="A133" s="139" t="s">
        <v>300</v>
      </c>
      <c r="B133" t="s">
        <v>105</v>
      </c>
      <c r="C133">
        <v>363</v>
      </c>
      <c r="D133" t="s">
        <v>19</v>
      </c>
      <c r="E133">
        <v>151</v>
      </c>
      <c r="F133" t="str">
        <f t="shared" si="8"/>
        <v>WoodCreek Walden Creek</v>
      </c>
      <c r="G133" t="str">
        <f t="shared" si="9"/>
        <v>Walden Creek WoodCreek</v>
      </c>
      <c r="H133">
        <f t="shared" si="10"/>
        <v>212</v>
      </c>
    </row>
    <row r="134" spans="1:8">
      <c r="A134" s="139" t="s">
        <v>300</v>
      </c>
      <c r="B134" t="s">
        <v>4</v>
      </c>
      <c r="C134">
        <v>369</v>
      </c>
      <c r="D134" t="s">
        <v>9</v>
      </c>
      <c r="E134">
        <v>144</v>
      </c>
      <c r="F134" t="str">
        <f t="shared" si="8"/>
        <v>Seven Oaks Wood Valley</v>
      </c>
      <c r="G134" t="str">
        <f t="shared" si="9"/>
        <v>Wood Valley Seven Oaks</v>
      </c>
      <c r="H134">
        <f t="shared" si="10"/>
        <v>225</v>
      </c>
    </row>
    <row r="135" spans="1:8">
      <c r="A135" s="139" t="s">
        <v>300</v>
      </c>
      <c r="B135" t="s">
        <v>73</v>
      </c>
      <c r="C135">
        <v>290</v>
      </c>
      <c r="D135" t="s">
        <v>2</v>
      </c>
      <c r="E135">
        <v>224</v>
      </c>
      <c r="F135" t="str">
        <f t="shared" si="8"/>
        <v>Clubworx Wellsley</v>
      </c>
      <c r="G135" t="str">
        <f t="shared" si="9"/>
        <v>Wellsley Clubworx</v>
      </c>
      <c r="H135">
        <f t="shared" si="10"/>
        <v>66</v>
      </c>
    </row>
    <row r="136" spans="1:8">
      <c r="A136" s="139" t="s">
        <v>300</v>
      </c>
      <c r="B136" t="s">
        <v>27</v>
      </c>
      <c r="C136">
        <v>259</v>
      </c>
      <c r="D136" t="s">
        <v>26</v>
      </c>
      <c r="E136">
        <v>235</v>
      </c>
      <c r="F136" t="str">
        <f t="shared" si="8"/>
        <v>Highcroft Weatherstone</v>
      </c>
      <c r="G136" t="str">
        <f t="shared" si="9"/>
        <v>Weatherstone Highcroft</v>
      </c>
      <c r="H136">
        <f t="shared" si="10"/>
        <v>24</v>
      </c>
    </row>
    <row r="137" spans="1:8">
      <c r="A137" s="139" t="s">
        <v>300</v>
      </c>
      <c r="B137" t="s">
        <v>40</v>
      </c>
      <c r="C137">
        <v>256</v>
      </c>
      <c r="D137" t="s">
        <v>179</v>
      </c>
      <c r="E137">
        <v>229</v>
      </c>
      <c r="F137" t="str">
        <f t="shared" ref="F137" si="11">_xlfn.CONCAT(B137," ",D137)</f>
        <v>Wellington Park Arbor Creek</v>
      </c>
      <c r="G137" t="str">
        <f t="shared" ref="G137" si="12">_xlfn.CONCAT(D137," ",B137)</f>
        <v>Arbor Creek Wellington Park</v>
      </c>
      <c r="H137">
        <f t="shared" si="10"/>
        <v>27</v>
      </c>
    </row>
    <row r="138" spans="1:8">
      <c r="A138" s="139"/>
    </row>
    <row r="139" spans="1:8">
      <c r="A139" s="139"/>
    </row>
    <row r="140" spans="1:8">
      <c r="A140" s="139" t="s">
        <v>309</v>
      </c>
      <c r="B140" t="s">
        <v>73</v>
      </c>
      <c r="C140">
        <v>344</v>
      </c>
      <c r="D140" t="s">
        <v>19</v>
      </c>
      <c r="E140">
        <v>169</v>
      </c>
      <c r="F140" t="str">
        <f t="shared" ref="F140" si="13">_xlfn.CONCAT(B140," ",D140)</f>
        <v>Clubworx Walden Creek</v>
      </c>
      <c r="G140" t="str">
        <f t="shared" ref="G140" si="14">_xlfn.CONCAT(D140," ",B140)</f>
        <v>Walden Creek Clubworx</v>
      </c>
      <c r="H140">
        <f t="shared" ref="H140" si="15">C140-E140</f>
        <v>175</v>
      </c>
    </row>
    <row r="141" spans="1:8">
      <c r="A141" s="139"/>
    </row>
    <row r="142" spans="1:8">
      <c r="F142" t="str">
        <f t="shared" ref="F142:F186" si="16">_xlfn.CONCAT(B142," ",D142)</f>
        <v xml:space="preserve"> </v>
      </c>
      <c r="G142" t="str">
        <f t="shared" ref="G142:G186" si="17">_xlfn.CONCAT(D142," ",B142)</f>
        <v xml:space="preserve"> </v>
      </c>
      <c r="H142">
        <f t="shared" ref="H142:H185" si="18">C142-E142</f>
        <v>0</v>
      </c>
    </row>
    <row r="143" spans="1:8">
      <c r="A143" s="139" t="s">
        <v>301</v>
      </c>
      <c r="B143" t="s">
        <v>4</v>
      </c>
      <c r="C143">
        <v>306</v>
      </c>
      <c r="D143" t="s">
        <v>15</v>
      </c>
      <c r="E143">
        <v>207</v>
      </c>
      <c r="F143" t="str">
        <f t="shared" si="16"/>
        <v>Seven Oaks Cary Park</v>
      </c>
      <c r="G143" t="str">
        <f t="shared" si="17"/>
        <v>Cary Park Seven Oaks</v>
      </c>
      <c r="H143">
        <f t="shared" si="18"/>
        <v>99</v>
      </c>
    </row>
    <row r="144" spans="1:8">
      <c r="A144" s="139" t="s">
        <v>301</v>
      </c>
      <c r="B144" t="s">
        <v>78</v>
      </c>
      <c r="C144">
        <v>290</v>
      </c>
      <c r="D144" t="s">
        <v>21</v>
      </c>
      <c r="E144">
        <v>224</v>
      </c>
      <c r="F144" t="str">
        <f t="shared" si="16"/>
        <v>Abbington Apex</v>
      </c>
      <c r="G144" t="str">
        <f t="shared" si="17"/>
        <v>Apex Abbington</v>
      </c>
      <c r="H144">
        <f t="shared" si="18"/>
        <v>66</v>
      </c>
    </row>
    <row r="145" spans="1:8">
      <c r="A145" s="139" t="s">
        <v>301</v>
      </c>
      <c r="B145" t="s">
        <v>180</v>
      </c>
      <c r="C145">
        <v>381</v>
      </c>
      <c r="D145" t="s">
        <v>55</v>
      </c>
      <c r="E145">
        <v>132</v>
      </c>
      <c r="F145" t="str">
        <f t="shared" si="16"/>
        <v>Brier Creek Bedford at Falls River</v>
      </c>
      <c r="G145" t="str">
        <f t="shared" si="17"/>
        <v>Bedford at Falls River Brier Creek</v>
      </c>
      <c r="H145">
        <f t="shared" si="18"/>
        <v>249</v>
      </c>
    </row>
    <row r="146" spans="1:8">
      <c r="A146" s="139" t="s">
        <v>301</v>
      </c>
      <c r="B146" t="s">
        <v>38</v>
      </c>
      <c r="C146">
        <v>267</v>
      </c>
      <c r="D146" t="s">
        <v>95</v>
      </c>
      <c r="E146">
        <v>206</v>
      </c>
      <c r="F146" t="str">
        <f t="shared" si="16"/>
        <v>Bentwinds Brighton Forest</v>
      </c>
      <c r="G146" t="str">
        <f t="shared" si="17"/>
        <v>Brighton Forest Bentwinds</v>
      </c>
      <c r="H146">
        <f t="shared" si="18"/>
        <v>61</v>
      </c>
    </row>
    <row r="147" spans="1:8">
      <c r="A147" s="139" t="s">
        <v>301</v>
      </c>
      <c r="B147" t="s">
        <v>82</v>
      </c>
      <c r="C147">
        <v>308</v>
      </c>
      <c r="D147" t="s">
        <v>30</v>
      </c>
      <c r="E147">
        <v>203</v>
      </c>
      <c r="F147" t="str">
        <f t="shared" si="16"/>
        <v>Amberly Brookstone</v>
      </c>
      <c r="G147" t="str">
        <f t="shared" si="17"/>
        <v>Brookstone Amberly</v>
      </c>
      <c r="H147">
        <f t="shared" si="18"/>
        <v>105</v>
      </c>
    </row>
    <row r="148" spans="1:8">
      <c r="A148" s="139" t="s">
        <v>301</v>
      </c>
      <c r="B148" t="s">
        <v>66</v>
      </c>
      <c r="C148">
        <v>278</v>
      </c>
      <c r="D148" t="s">
        <v>86</v>
      </c>
      <c r="E148">
        <v>220</v>
      </c>
      <c r="F148" t="str">
        <f t="shared" si="16"/>
        <v>Wendell Banbury Woods &amp; Hunters Landing</v>
      </c>
      <c r="G148" t="str">
        <f t="shared" si="17"/>
        <v>Banbury Woods &amp; Hunters Landing Wendell</v>
      </c>
      <c r="H148">
        <f t="shared" si="18"/>
        <v>58</v>
      </c>
    </row>
    <row r="149" spans="1:8">
      <c r="A149" s="139" t="s">
        <v>301</v>
      </c>
      <c r="B149" t="s">
        <v>17</v>
      </c>
      <c r="C149">
        <v>257.5</v>
      </c>
      <c r="D149" t="s">
        <v>6</v>
      </c>
      <c r="E149">
        <v>256.5</v>
      </c>
      <c r="F149" t="str">
        <f t="shared" si="16"/>
        <v>Cary Greystone</v>
      </c>
      <c r="G149" t="str">
        <f t="shared" si="17"/>
        <v>Greystone Cary</v>
      </c>
      <c r="H149">
        <f t="shared" si="18"/>
        <v>1</v>
      </c>
    </row>
    <row r="150" spans="1:8">
      <c r="A150" s="139" t="s">
        <v>301</v>
      </c>
      <c r="B150" t="s">
        <v>179</v>
      </c>
      <c r="C150">
        <v>315</v>
      </c>
      <c r="D150" t="s">
        <v>32</v>
      </c>
      <c r="E150">
        <v>137</v>
      </c>
      <c r="F150" t="str">
        <f t="shared" si="16"/>
        <v>Arbor Creek Crooked Creek</v>
      </c>
      <c r="G150" t="str">
        <f t="shared" si="17"/>
        <v>Crooked Creek Arbor Creek</v>
      </c>
      <c r="H150">
        <f t="shared" si="18"/>
        <v>178</v>
      </c>
    </row>
    <row r="151" spans="1:8">
      <c r="A151" s="139" t="s">
        <v>301</v>
      </c>
      <c r="B151" t="s">
        <v>67</v>
      </c>
      <c r="F151" t="str">
        <f t="shared" si="16"/>
        <v xml:space="preserve">Crabtree </v>
      </c>
      <c r="G151" t="str">
        <f t="shared" si="17"/>
        <v xml:space="preserve"> Crabtree</v>
      </c>
      <c r="H151">
        <f t="shared" si="18"/>
        <v>0</v>
      </c>
    </row>
    <row r="152" spans="1:8">
      <c r="A152" s="139" t="s">
        <v>301</v>
      </c>
      <c r="B152" t="s">
        <v>22</v>
      </c>
      <c r="C152">
        <v>285</v>
      </c>
      <c r="D152" t="s">
        <v>276</v>
      </c>
      <c r="E152">
        <v>152</v>
      </c>
      <c r="F152" t="str">
        <f t="shared" si="16"/>
        <v>Devereaux Breckenridge</v>
      </c>
      <c r="G152" t="str">
        <f t="shared" si="17"/>
        <v>Breckenridge Devereaux</v>
      </c>
      <c r="H152">
        <f t="shared" si="18"/>
        <v>133</v>
      </c>
    </row>
    <row r="153" spans="1:8">
      <c r="A153" s="139" t="s">
        <v>301</v>
      </c>
      <c r="B153" t="s">
        <v>31</v>
      </c>
      <c r="C153">
        <v>349</v>
      </c>
      <c r="D153" t="s">
        <v>33</v>
      </c>
      <c r="E153">
        <v>154</v>
      </c>
      <c r="F153" t="str">
        <f t="shared" si="16"/>
        <v>Eagle Ridge Garner</v>
      </c>
      <c r="G153" t="str">
        <f t="shared" si="17"/>
        <v>Garner Eagle Ridge</v>
      </c>
      <c r="H153">
        <f t="shared" si="18"/>
        <v>195</v>
      </c>
    </row>
    <row r="154" spans="1:8">
      <c r="A154" s="139" t="s">
        <v>301</v>
      </c>
      <c r="B154" t="s">
        <v>8</v>
      </c>
      <c r="C154">
        <v>263.5</v>
      </c>
      <c r="D154" t="s">
        <v>63</v>
      </c>
      <c r="E154">
        <v>249.5</v>
      </c>
      <c r="F154" t="str">
        <f t="shared" si="16"/>
        <v>University Club Granite Falls</v>
      </c>
      <c r="G154" t="str">
        <f t="shared" si="17"/>
        <v>Granite Falls University Club</v>
      </c>
      <c r="H154">
        <f t="shared" si="18"/>
        <v>14</v>
      </c>
    </row>
    <row r="155" spans="1:8">
      <c r="A155" s="139" t="s">
        <v>301</v>
      </c>
      <c r="B155" t="s">
        <v>23</v>
      </c>
      <c r="C155">
        <v>291</v>
      </c>
      <c r="D155" t="s">
        <v>28</v>
      </c>
      <c r="E155">
        <v>208</v>
      </c>
      <c r="F155" t="str">
        <f t="shared" si="16"/>
        <v>Park Village Glenridge</v>
      </c>
      <c r="G155" t="str">
        <f t="shared" si="17"/>
        <v>Glenridge Park Village</v>
      </c>
      <c r="H155">
        <f t="shared" si="18"/>
        <v>83</v>
      </c>
    </row>
    <row r="156" spans="1:8">
      <c r="A156" s="139" t="s">
        <v>301</v>
      </c>
      <c r="B156" t="s">
        <v>50</v>
      </c>
      <c r="C156">
        <v>313</v>
      </c>
      <c r="D156" t="s">
        <v>49</v>
      </c>
      <c r="E156">
        <v>200</v>
      </c>
      <c r="F156" t="str">
        <f t="shared" si="16"/>
        <v>Quail Hollow Harrington Grove</v>
      </c>
      <c r="G156" t="str">
        <f t="shared" si="17"/>
        <v>Harrington Grove Quail Hollow</v>
      </c>
      <c r="H156">
        <f t="shared" si="18"/>
        <v>113</v>
      </c>
    </row>
    <row r="157" spans="1:8">
      <c r="A157" s="139" t="s">
        <v>301</v>
      </c>
      <c r="B157" t="s">
        <v>104</v>
      </c>
      <c r="C157">
        <v>287.5</v>
      </c>
      <c r="D157" t="s">
        <v>36</v>
      </c>
      <c r="E157">
        <v>207.5</v>
      </c>
      <c r="F157" t="str">
        <f t="shared" si="16"/>
        <v>Life Time Fitness Cary Haddon Hall</v>
      </c>
      <c r="G157" t="str">
        <f t="shared" si="17"/>
        <v>Haddon Hall Life Time Fitness Cary</v>
      </c>
      <c r="H157">
        <f t="shared" si="18"/>
        <v>80</v>
      </c>
    </row>
    <row r="158" spans="1:8">
      <c r="A158" s="139" t="s">
        <v>301</v>
      </c>
      <c r="B158" t="s">
        <v>29</v>
      </c>
      <c r="C158">
        <v>274</v>
      </c>
      <c r="D158" t="s">
        <v>27</v>
      </c>
      <c r="E158">
        <v>227</v>
      </c>
      <c r="F158" t="str">
        <f t="shared" si="16"/>
        <v>Oxxford Hunt Highcroft</v>
      </c>
      <c r="G158" t="str">
        <f t="shared" si="17"/>
        <v>Highcroft Oxxford Hunt</v>
      </c>
      <c r="H158">
        <f t="shared" si="18"/>
        <v>47</v>
      </c>
    </row>
    <row r="159" spans="1:8">
      <c r="A159" s="139" t="s">
        <v>301</v>
      </c>
      <c r="B159" t="s">
        <v>52</v>
      </c>
      <c r="C159">
        <v>274</v>
      </c>
      <c r="D159" t="s">
        <v>156</v>
      </c>
      <c r="E159">
        <v>240</v>
      </c>
      <c r="F159" t="str">
        <f t="shared" si="16"/>
        <v>Heritage of Wake Forest Riverwood</v>
      </c>
      <c r="G159" t="str">
        <f t="shared" si="17"/>
        <v>Riverwood Heritage of Wake Forest</v>
      </c>
      <c r="H159">
        <f t="shared" si="18"/>
        <v>34</v>
      </c>
    </row>
    <row r="160" spans="1:8">
      <c r="A160" s="139" t="s">
        <v>301</v>
      </c>
      <c r="B160" t="s">
        <v>83</v>
      </c>
      <c r="C160">
        <v>269</v>
      </c>
      <c r="D160" t="s">
        <v>71</v>
      </c>
      <c r="E160">
        <v>245</v>
      </c>
      <c r="F160" t="str">
        <f t="shared" si="16"/>
        <v>Kitts Creek Kildaire Farms</v>
      </c>
      <c r="G160" t="str">
        <f t="shared" si="17"/>
        <v>Kildaire Farms Kitts Creek</v>
      </c>
      <c r="H160">
        <f t="shared" si="18"/>
        <v>24</v>
      </c>
    </row>
    <row r="161" spans="1:8">
      <c r="A161" s="139" t="s">
        <v>301</v>
      </c>
      <c r="B161" t="s">
        <v>0</v>
      </c>
      <c r="C161">
        <v>254</v>
      </c>
      <c r="D161" t="s">
        <v>61</v>
      </c>
      <c r="E161">
        <v>245</v>
      </c>
      <c r="F161" t="str">
        <f t="shared" si="16"/>
        <v>Lakemont Black Horse Run</v>
      </c>
      <c r="G161" t="str">
        <f t="shared" si="17"/>
        <v>Black Horse Run Lakemont</v>
      </c>
      <c r="H161">
        <f t="shared" si="18"/>
        <v>9</v>
      </c>
    </row>
    <row r="162" spans="1:8">
      <c r="A162" s="139" t="s">
        <v>301</v>
      </c>
      <c r="B162" t="s">
        <v>81</v>
      </c>
      <c r="C162">
        <v>302</v>
      </c>
      <c r="D162" t="s">
        <v>11</v>
      </c>
      <c r="E162">
        <v>211</v>
      </c>
      <c r="F162" t="str">
        <f t="shared" si="16"/>
        <v>Preston Village Lochmere</v>
      </c>
      <c r="G162" t="str">
        <f t="shared" si="17"/>
        <v>Lochmere Preston Village</v>
      </c>
      <c r="H162">
        <f t="shared" si="18"/>
        <v>91</v>
      </c>
    </row>
    <row r="163" spans="1:8">
      <c r="A163" s="139" t="s">
        <v>301</v>
      </c>
      <c r="B163" t="s">
        <v>84</v>
      </c>
      <c r="C163">
        <v>292</v>
      </c>
      <c r="D163" t="s">
        <v>5</v>
      </c>
      <c r="E163">
        <v>221</v>
      </c>
      <c r="F163" t="str">
        <f t="shared" si="16"/>
        <v>Greenway Club Lake Park</v>
      </c>
      <c r="G163" t="str">
        <f t="shared" si="17"/>
        <v>Lake Park Greenway Club</v>
      </c>
      <c r="H163">
        <f t="shared" si="18"/>
        <v>71</v>
      </c>
    </row>
    <row r="164" spans="1:8">
      <c r="A164" s="139" t="s">
        <v>301</v>
      </c>
      <c r="B164" t="s">
        <v>59</v>
      </c>
      <c r="C164">
        <v>275</v>
      </c>
      <c r="D164" t="s">
        <v>181</v>
      </c>
      <c r="E164">
        <v>216</v>
      </c>
      <c r="F164" t="str">
        <f t="shared" si="16"/>
        <v>Hedingham Lifetime Raleigh</v>
      </c>
      <c r="G164" t="str">
        <f t="shared" si="17"/>
        <v>Lifetime Raleigh Hedingham</v>
      </c>
      <c r="H164">
        <f t="shared" si="18"/>
        <v>59</v>
      </c>
    </row>
    <row r="165" spans="1:8">
      <c r="A165" s="139" t="s">
        <v>301</v>
      </c>
      <c r="B165" t="s">
        <v>57</v>
      </c>
      <c r="C165">
        <v>292</v>
      </c>
      <c r="D165" t="s">
        <v>62</v>
      </c>
      <c r="E165">
        <v>190</v>
      </c>
      <c r="F165" t="str">
        <f t="shared" si="16"/>
        <v>Manchester Meredith Townes</v>
      </c>
      <c r="G165" t="str">
        <f t="shared" si="17"/>
        <v>Meredith Townes Manchester</v>
      </c>
      <c r="H165">
        <f t="shared" si="18"/>
        <v>102</v>
      </c>
    </row>
    <row r="166" spans="1:8">
      <c r="A166" s="139" t="s">
        <v>301</v>
      </c>
      <c r="B166" t="s">
        <v>56</v>
      </c>
      <c r="C166">
        <v>265</v>
      </c>
      <c r="D166" t="s">
        <v>48</v>
      </c>
      <c r="E166">
        <v>249</v>
      </c>
      <c r="F166" t="str">
        <f t="shared" si="16"/>
        <v>North Raleigh Northbrook</v>
      </c>
      <c r="G166" t="str">
        <f t="shared" si="17"/>
        <v>Northbrook North Raleigh</v>
      </c>
      <c r="H166">
        <f t="shared" si="18"/>
        <v>16</v>
      </c>
    </row>
    <row r="167" spans="1:8">
      <c r="A167" s="139" t="s">
        <v>301</v>
      </c>
      <c r="B167" t="s">
        <v>54</v>
      </c>
      <c r="C167">
        <v>256</v>
      </c>
      <c r="D167" t="s">
        <v>9</v>
      </c>
      <c r="E167">
        <v>247</v>
      </c>
      <c r="F167" t="str">
        <f t="shared" si="16"/>
        <v>North Hills Wood Valley</v>
      </c>
      <c r="G167" t="str">
        <f t="shared" si="17"/>
        <v>Wood Valley North Hills</v>
      </c>
      <c r="H167">
        <f t="shared" si="18"/>
        <v>9</v>
      </c>
    </row>
    <row r="168" spans="1:8">
      <c r="A168" s="139" t="s">
        <v>301</v>
      </c>
      <c r="B168" t="s">
        <v>51</v>
      </c>
      <c r="C168">
        <v>260</v>
      </c>
      <c r="D168" t="s">
        <v>1</v>
      </c>
      <c r="E168">
        <v>249</v>
      </c>
      <c r="F168" t="str">
        <f t="shared" si="16"/>
        <v>Summerfield North Oak Park</v>
      </c>
      <c r="G168" t="str">
        <f t="shared" si="17"/>
        <v>Oak Park Summerfield North</v>
      </c>
      <c r="H168">
        <f t="shared" si="18"/>
        <v>11</v>
      </c>
    </row>
    <row r="169" spans="1:8">
      <c r="A169" s="139" t="s">
        <v>301</v>
      </c>
      <c r="B169" t="s">
        <v>98</v>
      </c>
      <c r="C169">
        <v>267.5</v>
      </c>
      <c r="D169" t="s">
        <v>3</v>
      </c>
      <c r="E169">
        <v>239.5</v>
      </c>
      <c r="F169" t="str">
        <f t="shared" si="16"/>
        <v>Bella Casa Park at West Lake</v>
      </c>
      <c r="G169" t="str">
        <f t="shared" si="17"/>
        <v>Park at West Lake Bella Casa</v>
      </c>
      <c r="H169">
        <f t="shared" si="18"/>
        <v>28</v>
      </c>
    </row>
    <row r="170" spans="1:8">
      <c r="A170" s="139" t="s">
        <v>301</v>
      </c>
      <c r="B170" t="s">
        <v>70</v>
      </c>
      <c r="C170">
        <v>293</v>
      </c>
      <c r="D170" t="s">
        <v>106</v>
      </c>
      <c r="E170">
        <v>208</v>
      </c>
      <c r="F170" t="str">
        <f t="shared" si="16"/>
        <v>Coachman's Trail Planter's Walk</v>
      </c>
      <c r="G170" t="str">
        <f t="shared" si="17"/>
        <v>Planter's Walk Coachman's Trail</v>
      </c>
      <c r="H170">
        <f t="shared" si="18"/>
        <v>85</v>
      </c>
    </row>
    <row r="171" spans="1:8">
      <c r="A171" s="139" t="s">
        <v>301</v>
      </c>
      <c r="B171" t="s">
        <v>64</v>
      </c>
      <c r="C171">
        <v>263</v>
      </c>
      <c r="D171" t="s">
        <v>182</v>
      </c>
      <c r="E171">
        <v>174</v>
      </c>
      <c r="F171" t="str">
        <f t="shared" si="16"/>
        <v>Hawthorne Raleigh Racquet</v>
      </c>
      <c r="G171" t="str">
        <f t="shared" si="17"/>
        <v>Raleigh Racquet Hawthorne</v>
      </c>
      <c r="H171">
        <f t="shared" si="18"/>
        <v>89</v>
      </c>
    </row>
    <row r="172" spans="1:8">
      <c r="A172" s="139" t="s">
        <v>301</v>
      </c>
      <c r="B172" t="s">
        <v>37</v>
      </c>
      <c r="C172">
        <v>261</v>
      </c>
      <c r="D172" t="s">
        <v>24</v>
      </c>
      <c r="E172">
        <v>247</v>
      </c>
      <c r="F172" t="str">
        <f t="shared" si="16"/>
        <v>Carpenter Village The Reserve</v>
      </c>
      <c r="G172" t="str">
        <f t="shared" si="17"/>
        <v>The Reserve Carpenter Village</v>
      </c>
      <c r="H172">
        <f t="shared" si="18"/>
        <v>14</v>
      </c>
    </row>
    <row r="173" spans="1:8">
      <c r="A173" s="139" t="s">
        <v>301</v>
      </c>
      <c r="B173" t="s">
        <v>100</v>
      </c>
      <c r="C173">
        <v>255</v>
      </c>
      <c r="D173" t="s">
        <v>113</v>
      </c>
      <c r="E173">
        <v>204</v>
      </c>
      <c r="F173" t="str">
        <f t="shared" si="16"/>
        <v>Renaissance Park Harmony</v>
      </c>
      <c r="G173" t="str">
        <f t="shared" si="17"/>
        <v>Harmony Renaissance Park</v>
      </c>
      <c r="H173">
        <f t="shared" si="18"/>
        <v>51</v>
      </c>
    </row>
    <row r="174" spans="1:8">
      <c r="A174" s="139" t="s">
        <v>301</v>
      </c>
      <c r="B174" t="s">
        <v>96</v>
      </c>
      <c r="C174">
        <v>304</v>
      </c>
      <c r="D174" t="s">
        <v>10</v>
      </c>
      <c r="E174">
        <v>210</v>
      </c>
      <c r="F174" t="str">
        <f t="shared" si="16"/>
        <v>Shepherds Vineyard Prestonwood</v>
      </c>
      <c r="G174" t="str">
        <f t="shared" si="17"/>
        <v>Prestonwood Shepherds Vineyard</v>
      </c>
      <c r="H174">
        <f t="shared" si="18"/>
        <v>94</v>
      </c>
    </row>
    <row r="175" spans="1:8">
      <c r="A175" s="139" t="s">
        <v>301</v>
      </c>
      <c r="B175" t="s">
        <v>12</v>
      </c>
      <c r="C175">
        <v>315</v>
      </c>
      <c r="D175" t="s">
        <v>25</v>
      </c>
      <c r="E175">
        <v>199</v>
      </c>
      <c r="F175" t="str">
        <f t="shared" si="16"/>
        <v>Scottish Hills Medfield</v>
      </c>
      <c r="G175" t="str">
        <f t="shared" si="17"/>
        <v>Medfield Scottish Hills</v>
      </c>
      <c r="H175">
        <f t="shared" si="18"/>
        <v>116</v>
      </c>
    </row>
    <row r="176" spans="1:8">
      <c r="A176" s="139" t="s">
        <v>301</v>
      </c>
      <c r="B176" t="s">
        <v>14</v>
      </c>
      <c r="C176">
        <v>265.5</v>
      </c>
      <c r="D176" t="s">
        <v>97</v>
      </c>
      <c r="E176">
        <v>247.5</v>
      </c>
      <c r="F176" t="str">
        <f t="shared" si="16"/>
        <v>Silverton Regency</v>
      </c>
      <c r="G176" t="str">
        <f t="shared" si="17"/>
        <v>Regency Silverton</v>
      </c>
      <c r="H176">
        <f t="shared" si="18"/>
        <v>18</v>
      </c>
    </row>
    <row r="177" spans="1:8">
      <c r="A177" s="139" t="s">
        <v>301</v>
      </c>
      <c r="B177" t="s">
        <v>13</v>
      </c>
      <c r="C177">
        <v>266</v>
      </c>
      <c r="D177" t="s">
        <v>35</v>
      </c>
      <c r="E177">
        <v>236</v>
      </c>
      <c r="F177" t="str">
        <f t="shared" si="16"/>
        <v>Scotts Mill Weldon Ridge</v>
      </c>
      <c r="G177" t="str">
        <f t="shared" si="17"/>
        <v>Weldon Ridge Scotts Mill</v>
      </c>
      <c r="H177">
        <f t="shared" si="18"/>
        <v>30</v>
      </c>
    </row>
    <row r="178" spans="1:8">
      <c r="A178" s="139" t="s">
        <v>301</v>
      </c>
      <c r="B178" t="s">
        <v>7</v>
      </c>
      <c r="C178">
        <v>369.83333333333297</v>
      </c>
      <c r="D178" t="s">
        <v>58</v>
      </c>
      <c r="E178">
        <v>139.166666666666</v>
      </c>
      <c r="F178" t="str">
        <f t="shared" si="16"/>
        <v>Springdale Durant Trails</v>
      </c>
      <c r="G178" t="str">
        <f t="shared" si="17"/>
        <v>Durant Trails Springdale</v>
      </c>
      <c r="H178">
        <f t="shared" si="18"/>
        <v>230.66666666666697</v>
      </c>
    </row>
    <row r="179" spans="1:8">
      <c r="A179" s="139" t="s">
        <v>301</v>
      </c>
      <c r="B179" t="s">
        <v>18</v>
      </c>
      <c r="C179">
        <v>251.5</v>
      </c>
      <c r="D179" t="s">
        <v>16</v>
      </c>
      <c r="E179">
        <v>251.5</v>
      </c>
      <c r="F179" t="str">
        <f t="shared" si="16"/>
        <v>Sunset Ridge Dutchman Downs</v>
      </c>
      <c r="G179" t="str">
        <f t="shared" si="17"/>
        <v>Dutchman Downs Sunset Ridge</v>
      </c>
      <c r="H179">
        <f t="shared" si="18"/>
        <v>0</v>
      </c>
    </row>
    <row r="180" spans="1:8">
      <c r="A180" s="139" t="s">
        <v>301</v>
      </c>
      <c r="B180" t="s">
        <v>53</v>
      </c>
      <c r="C180">
        <v>305</v>
      </c>
      <c r="D180" t="s">
        <v>65</v>
      </c>
      <c r="E180">
        <v>197</v>
      </c>
      <c r="F180" t="str">
        <f t="shared" si="16"/>
        <v>Stonebridge Hasentree</v>
      </c>
      <c r="G180" t="str">
        <f t="shared" si="17"/>
        <v>Hasentree Stonebridge</v>
      </c>
      <c r="H180">
        <f t="shared" si="18"/>
        <v>108</v>
      </c>
    </row>
    <row r="181" spans="1:8">
      <c r="A181" s="139" t="s">
        <v>301</v>
      </c>
      <c r="B181" t="s">
        <v>72</v>
      </c>
      <c r="C181">
        <v>296</v>
      </c>
      <c r="D181" t="s">
        <v>166</v>
      </c>
      <c r="E181">
        <v>218</v>
      </c>
      <c r="F181" t="str">
        <f t="shared" si="16"/>
        <v>TCC Holly Glen</v>
      </c>
      <c r="G181" t="str">
        <f t="shared" si="17"/>
        <v>Holly Glen TCC</v>
      </c>
      <c r="H181">
        <f t="shared" si="18"/>
        <v>78</v>
      </c>
    </row>
    <row r="182" spans="1:8">
      <c r="A182" s="139" t="s">
        <v>301</v>
      </c>
      <c r="B182" t="s">
        <v>105</v>
      </c>
      <c r="C182">
        <v>273</v>
      </c>
      <c r="D182" t="s">
        <v>20</v>
      </c>
      <c r="E182">
        <v>241</v>
      </c>
      <c r="F182" t="str">
        <f t="shared" si="16"/>
        <v>WoodCreek Olive Chapel</v>
      </c>
      <c r="G182" t="str">
        <f t="shared" si="17"/>
        <v>Olive Chapel WoodCreek</v>
      </c>
      <c r="H182">
        <f t="shared" si="18"/>
        <v>32</v>
      </c>
    </row>
    <row r="183" spans="1:8">
      <c r="A183" s="139" t="s">
        <v>301</v>
      </c>
      <c r="B183" t="s">
        <v>2</v>
      </c>
      <c r="C183">
        <v>385</v>
      </c>
      <c r="D183" t="s">
        <v>26</v>
      </c>
      <c r="E183">
        <v>120</v>
      </c>
      <c r="F183" t="str">
        <f t="shared" si="16"/>
        <v>Wellsley Weatherstone</v>
      </c>
      <c r="G183" t="str">
        <f t="shared" si="17"/>
        <v>Weatherstone Wellsley</v>
      </c>
      <c r="H183">
        <f t="shared" si="18"/>
        <v>265</v>
      </c>
    </row>
    <row r="184" spans="1:8">
      <c r="A184" s="139" t="s">
        <v>301</v>
      </c>
      <c r="B184" t="s">
        <v>34</v>
      </c>
      <c r="C184">
        <v>281</v>
      </c>
      <c r="D184" t="s">
        <v>40</v>
      </c>
      <c r="E184">
        <v>221</v>
      </c>
      <c r="F184" t="str">
        <f t="shared" si="16"/>
        <v>Charleston Village Wellington Park</v>
      </c>
      <c r="G184" t="str">
        <f t="shared" si="17"/>
        <v>Wellington Park Charleston Village</v>
      </c>
      <c r="H184">
        <f t="shared" si="18"/>
        <v>60</v>
      </c>
    </row>
    <row r="185" spans="1:8">
      <c r="A185" s="139" t="s">
        <v>301</v>
      </c>
      <c r="B185" t="s">
        <v>60</v>
      </c>
      <c r="C185">
        <v>291</v>
      </c>
      <c r="D185" t="s">
        <v>118</v>
      </c>
      <c r="E185">
        <v>214</v>
      </c>
      <c r="F185" t="str">
        <f t="shared" si="16"/>
        <v>Southall Zebulon</v>
      </c>
      <c r="G185" t="str">
        <f t="shared" si="17"/>
        <v>Zebulon Southall</v>
      </c>
      <c r="H185">
        <f t="shared" si="18"/>
        <v>77</v>
      </c>
    </row>
    <row r="186" spans="1:8">
      <c r="F186" t="str">
        <f t="shared" si="16"/>
        <v xml:space="preserve"> </v>
      </c>
      <c r="G186" t="str">
        <f t="shared" si="17"/>
        <v xml:space="preserve"> </v>
      </c>
    </row>
    <row r="188" spans="1:8">
      <c r="A188" s="139" t="s">
        <v>302</v>
      </c>
      <c r="B188" t="s">
        <v>179</v>
      </c>
      <c r="C188">
        <v>258</v>
      </c>
      <c r="D188" t="s">
        <v>100</v>
      </c>
      <c r="E188">
        <v>191</v>
      </c>
      <c r="F188" t="str">
        <f t="shared" ref="F188:F231" si="19">_xlfn.CONCAT(B188," ",D188)</f>
        <v>Arbor Creek Renaissance Park</v>
      </c>
      <c r="G188" t="str">
        <f t="shared" ref="G188:G231" si="20">_xlfn.CONCAT(D188," ",B188)</f>
        <v>Renaissance Park Arbor Creek</v>
      </c>
      <c r="H188">
        <f t="shared" ref="H188:H231" si="21">C188-E188</f>
        <v>67</v>
      </c>
    </row>
    <row r="189" spans="1:8">
      <c r="A189" s="139" t="s">
        <v>302</v>
      </c>
      <c r="B189" t="s">
        <v>82</v>
      </c>
      <c r="C189">
        <v>304</v>
      </c>
      <c r="D189" t="s">
        <v>26</v>
      </c>
      <c r="E189">
        <v>179</v>
      </c>
      <c r="F189" t="str">
        <f t="shared" si="19"/>
        <v>Amberly Weatherstone</v>
      </c>
      <c r="G189" t="str">
        <f t="shared" si="20"/>
        <v>Weatherstone Amberly</v>
      </c>
      <c r="H189">
        <f t="shared" si="21"/>
        <v>125</v>
      </c>
    </row>
    <row r="190" spans="1:8">
      <c r="A190" s="139" t="s">
        <v>302</v>
      </c>
      <c r="B190" t="s">
        <v>12</v>
      </c>
      <c r="C190">
        <v>318</v>
      </c>
      <c r="D190" t="s">
        <v>21</v>
      </c>
      <c r="E190">
        <v>195</v>
      </c>
      <c r="F190" t="str">
        <f t="shared" si="19"/>
        <v>Scottish Hills Apex</v>
      </c>
      <c r="G190" t="str">
        <f t="shared" si="20"/>
        <v>Apex Scottish Hills</v>
      </c>
      <c r="H190">
        <f t="shared" si="21"/>
        <v>123</v>
      </c>
    </row>
    <row r="191" spans="1:8">
      <c r="A191" s="139" t="s">
        <v>302</v>
      </c>
      <c r="B191" t="s">
        <v>104</v>
      </c>
      <c r="C191">
        <v>260.75</v>
      </c>
      <c r="D191" t="s">
        <v>98</v>
      </c>
      <c r="E191">
        <v>242.25</v>
      </c>
      <c r="F191" t="str">
        <f t="shared" si="19"/>
        <v>Life Time Fitness Cary Bella Casa</v>
      </c>
      <c r="G191" t="str">
        <f t="shared" si="20"/>
        <v>Bella Casa Life Time Fitness Cary</v>
      </c>
      <c r="H191">
        <f t="shared" si="21"/>
        <v>18.5</v>
      </c>
    </row>
    <row r="192" spans="1:8">
      <c r="A192" s="139" t="s">
        <v>302</v>
      </c>
      <c r="B192" t="s">
        <v>67</v>
      </c>
      <c r="C192">
        <v>275</v>
      </c>
      <c r="D192" t="s">
        <v>61</v>
      </c>
      <c r="E192">
        <v>235</v>
      </c>
      <c r="F192" t="str">
        <f t="shared" si="19"/>
        <v>Crabtree Black Horse Run</v>
      </c>
      <c r="G192" t="str">
        <f t="shared" si="20"/>
        <v>Black Horse Run Crabtree</v>
      </c>
      <c r="H192">
        <f t="shared" si="21"/>
        <v>40</v>
      </c>
    </row>
    <row r="193" spans="1:8">
      <c r="A193" s="139" t="s">
        <v>302</v>
      </c>
      <c r="B193" t="s">
        <v>40</v>
      </c>
      <c r="C193">
        <v>368</v>
      </c>
      <c r="D193" t="s">
        <v>276</v>
      </c>
      <c r="E193">
        <v>96</v>
      </c>
      <c r="F193" t="str">
        <f t="shared" si="19"/>
        <v>Wellington Park Breckenridge</v>
      </c>
      <c r="G193" t="str">
        <f t="shared" si="20"/>
        <v>Breckenridge Wellington Park</v>
      </c>
      <c r="H193">
        <f t="shared" si="21"/>
        <v>272</v>
      </c>
    </row>
    <row r="194" spans="1:8">
      <c r="A194" s="139" t="s">
        <v>302</v>
      </c>
      <c r="B194" t="s">
        <v>83</v>
      </c>
      <c r="C194">
        <v>313</v>
      </c>
      <c r="D194" t="s">
        <v>95</v>
      </c>
      <c r="E194">
        <v>197</v>
      </c>
      <c r="F194" t="str">
        <f t="shared" si="19"/>
        <v>Kitts Creek Brighton Forest</v>
      </c>
      <c r="G194" t="str">
        <f t="shared" si="20"/>
        <v>Brighton Forest Kitts Creek</v>
      </c>
      <c r="H194">
        <f t="shared" si="21"/>
        <v>116</v>
      </c>
    </row>
    <row r="195" spans="1:8">
      <c r="A195" s="139" t="s">
        <v>302</v>
      </c>
      <c r="B195" t="s">
        <v>2</v>
      </c>
      <c r="C195">
        <v>280</v>
      </c>
      <c r="D195" t="s">
        <v>30</v>
      </c>
      <c r="E195">
        <v>230</v>
      </c>
      <c r="F195" t="str">
        <f t="shared" si="19"/>
        <v>Wellsley Brookstone</v>
      </c>
      <c r="G195" t="str">
        <f t="shared" si="20"/>
        <v>Brookstone Wellsley</v>
      </c>
      <c r="H195">
        <f t="shared" si="21"/>
        <v>50</v>
      </c>
    </row>
    <row r="196" spans="1:8">
      <c r="A196" s="139" t="s">
        <v>302</v>
      </c>
      <c r="B196" t="s">
        <v>38</v>
      </c>
      <c r="C196">
        <v>280</v>
      </c>
      <c r="D196" t="s">
        <v>71</v>
      </c>
      <c r="E196">
        <v>231</v>
      </c>
      <c r="F196" t="str">
        <f t="shared" si="19"/>
        <v>Bentwinds Kildaire Farms</v>
      </c>
      <c r="G196" t="str">
        <f t="shared" si="20"/>
        <v>Kildaire Farms Bentwinds</v>
      </c>
      <c r="H196">
        <f t="shared" si="21"/>
        <v>49</v>
      </c>
    </row>
    <row r="197" spans="1:8">
      <c r="A197" s="139" t="s">
        <v>302</v>
      </c>
      <c r="B197" t="s">
        <v>72</v>
      </c>
      <c r="C197">
        <v>269</v>
      </c>
      <c r="D197" t="s">
        <v>37</v>
      </c>
      <c r="E197">
        <v>229</v>
      </c>
      <c r="F197" t="str">
        <f t="shared" si="19"/>
        <v>TCC Carpenter Village</v>
      </c>
      <c r="G197" t="str">
        <f t="shared" si="20"/>
        <v>Carpenter Village TCC</v>
      </c>
      <c r="H197">
        <f t="shared" si="21"/>
        <v>40</v>
      </c>
    </row>
    <row r="198" spans="1:8">
      <c r="A198" s="139" t="s">
        <v>302</v>
      </c>
      <c r="B198" t="s">
        <v>17</v>
      </c>
      <c r="C198">
        <v>291.5</v>
      </c>
      <c r="D198" t="s">
        <v>15</v>
      </c>
      <c r="E198">
        <v>221.5</v>
      </c>
      <c r="F198" t="str">
        <f t="shared" si="19"/>
        <v>Cary Cary Park</v>
      </c>
      <c r="G198" t="str">
        <f t="shared" si="20"/>
        <v>Cary Park Cary</v>
      </c>
      <c r="H198">
        <f t="shared" si="21"/>
        <v>70</v>
      </c>
    </row>
    <row r="199" spans="1:8">
      <c r="A199" s="139" t="s">
        <v>302</v>
      </c>
      <c r="B199" t="s">
        <v>70</v>
      </c>
      <c r="C199">
        <v>281</v>
      </c>
      <c r="D199" t="s">
        <v>64</v>
      </c>
      <c r="E199">
        <v>169</v>
      </c>
      <c r="F199" t="str">
        <f t="shared" si="19"/>
        <v>Coachman's Trail Hawthorne</v>
      </c>
      <c r="G199" t="str">
        <f t="shared" si="20"/>
        <v>Hawthorne Coachman's Trail</v>
      </c>
      <c r="H199">
        <f t="shared" si="21"/>
        <v>112</v>
      </c>
    </row>
    <row r="200" spans="1:8">
      <c r="A200" s="139" t="s">
        <v>302</v>
      </c>
      <c r="B200" t="s">
        <v>34</v>
      </c>
      <c r="C200">
        <v>305</v>
      </c>
      <c r="D200" t="s">
        <v>22</v>
      </c>
      <c r="E200">
        <v>209</v>
      </c>
      <c r="F200" t="str">
        <f t="shared" si="19"/>
        <v>Charleston Village Devereaux</v>
      </c>
      <c r="G200" t="str">
        <f t="shared" si="20"/>
        <v>Devereaux Charleston Village</v>
      </c>
      <c r="H200">
        <f t="shared" si="21"/>
        <v>96</v>
      </c>
    </row>
    <row r="201" spans="1:8">
      <c r="A201" s="139" t="s">
        <v>302</v>
      </c>
      <c r="B201" t="s">
        <v>58</v>
      </c>
      <c r="C201">
        <v>259</v>
      </c>
      <c r="D201" t="s">
        <v>1</v>
      </c>
      <c r="E201">
        <v>243</v>
      </c>
      <c r="F201" t="str">
        <f t="shared" si="19"/>
        <v>Durant Trails Oak Park</v>
      </c>
      <c r="G201" t="str">
        <f t="shared" si="20"/>
        <v>Oak Park Durant Trails</v>
      </c>
      <c r="H201">
        <f t="shared" si="21"/>
        <v>16</v>
      </c>
    </row>
    <row r="202" spans="1:8">
      <c r="A202" s="139" t="s">
        <v>302</v>
      </c>
      <c r="B202" t="s">
        <v>28</v>
      </c>
      <c r="C202">
        <v>280</v>
      </c>
      <c r="D202" t="s">
        <v>33</v>
      </c>
      <c r="E202">
        <v>216</v>
      </c>
      <c r="F202" t="str">
        <f t="shared" si="19"/>
        <v>Glenridge Garner</v>
      </c>
      <c r="G202" t="str">
        <f t="shared" si="20"/>
        <v>Garner Glenridge</v>
      </c>
      <c r="H202">
        <f t="shared" si="21"/>
        <v>64</v>
      </c>
    </row>
    <row r="203" spans="1:8">
      <c r="A203" s="139" t="s">
        <v>302</v>
      </c>
      <c r="B203" t="s">
        <v>63</v>
      </c>
      <c r="C203">
        <v>294</v>
      </c>
      <c r="D203" t="s">
        <v>54</v>
      </c>
      <c r="E203">
        <v>219</v>
      </c>
      <c r="F203" t="str">
        <f t="shared" si="19"/>
        <v>Granite Falls North Hills</v>
      </c>
      <c r="G203" t="str">
        <f t="shared" si="20"/>
        <v>North Hills Granite Falls</v>
      </c>
      <c r="H203">
        <f t="shared" si="21"/>
        <v>75</v>
      </c>
    </row>
    <row r="204" spans="1:8">
      <c r="A204" s="139" t="s">
        <v>302</v>
      </c>
      <c r="B204" t="s">
        <v>4</v>
      </c>
      <c r="C204">
        <v>343.5</v>
      </c>
      <c r="D204" t="s">
        <v>6</v>
      </c>
      <c r="E204">
        <v>170.5</v>
      </c>
      <c r="F204" t="str">
        <f t="shared" si="19"/>
        <v>Seven Oaks Greystone</v>
      </c>
      <c r="G204" t="str">
        <f t="shared" si="20"/>
        <v>Greystone Seven Oaks</v>
      </c>
      <c r="H204">
        <f t="shared" si="21"/>
        <v>173</v>
      </c>
    </row>
    <row r="205" spans="1:8">
      <c r="A205" s="139" t="s">
        <v>302</v>
      </c>
      <c r="B205" t="s">
        <v>84</v>
      </c>
      <c r="C205">
        <v>320</v>
      </c>
      <c r="D205" t="s">
        <v>49</v>
      </c>
      <c r="E205">
        <v>194</v>
      </c>
      <c r="F205" t="str">
        <f t="shared" si="19"/>
        <v>Greenway Club Harrington Grove</v>
      </c>
      <c r="G205" t="str">
        <f t="shared" si="20"/>
        <v>Harrington Grove Greenway Club</v>
      </c>
      <c r="H205">
        <f t="shared" si="21"/>
        <v>126</v>
      </c>
    </row>
    <row r="206" spans="1:8">
      <c r="A206" s="139" t="s">
        <v>302</v>
      </c>
      <c r="B206" t="s">
        <v>32</v>
      </c>
      <c r="C206">
        <v>230</v>
      </c>
      <c r="D206" t="s">
        <v>113</v>
      </c>
      <c r="E206">
        <v>210</v>
      </c>
      <c r="F206" t="str">
        <f t="shared" si="19"/>
        <v>Crooked Creek Harmony</v>
      </c>
      <c r="G206" t="str">
        <f t="shared" si="20"/>
        <v>Harmony Crooked Creek</v>
      </c>
      <c r="H206">
        <f t="shared" si="21"/>
        <v>20</v>
      </c>
    </row>
    <row r="207" spans="1:8">
      <c r="A207" s="139" t="s">
        <v>302</v>
      </c>
      <c r="B207" t="s">
        <v>166</v>
      </c>
      <c r="C207">
        <v>304</v>
      </c>
      <c r="D207" t="s">
        <v>24</v>
      </c>
      <c r="E207">
        <v>206</v>
      </c>
      <c r="F207" t="str">
        <f t="shared" si="19"/>
        <v>Holly Glen The Reserve</v>
      </c>
      <c r="G207" t="str">
        <f t="shared" si="20"/>
        <v>The Reserve Holly Glen</v>
      </c>
      <c r="H207">
        <f t="shared" si="21"/>
        <v>98</v>
      </c>
    </row>
    <row r="208" spans="1:8">
      <c r="A208" s="139" t="s">
        <v>302</v>
      </c>
      <c r="B208" t="s">
        <v>52</v>
      </c>
      <c r="C208">
        <v>269.5</v>
      </c>
      <c r="D208" t="s">
        <v>65</v>
      </c>
      <c r="E208">
        <v>244.5</v>
      </c>
      <c r="F208" t="str">
        <f t="shared" si="19"/>
        <v>Heritage of Wake Forest Hasentree</v>
      </c>
      <c r="G208" t="str">
        <f t="shared" si="20"/>
        <v>Hasentree Heritage of Wake Forest</v>
      </c>
      <c r="H208">
        <f t="shared" si="21"/>
        <v>25</v>
      </c>
    </row>
    <row r="209" spans="1:8">
      <c r="A209" s="139" t="s">
        <v>302</v>
      </c>
      <c r="B209" t="s">
        <v>0</v>
      </c>
      <c r="F209" t="str">
        <f t="shared" si="19"/>
        <v xml:space="preserve">Lakemont </v>
      </c>
      <c r="G209" t="str">
        <f t="shared" si="20"/>
        <v xml:space="preserve"> Lakemont</v>
      </c>
      <c r="H209">
        <f t="shared" si="21"/>
        <v>0</v>
      </c>
    </row>
    <row r="210" spans="1:8">
      <c r="A210" s="139" t="s">
        <v>302</v>
      </c>
      <c r="B210" t="s">
        <v>25</v>
      </c>
      <c r="C210">
        <v>267</v>
      </c>
      <c r="D210" t="s">
        <v>78</v>
      </c>
      <c r="E210">
        <v>247</v>
      </c>
      <c r="F210" t="str">
        <f t="shared" si="19"/>
        <v>Medfield Abbington</v>
      </c>
      <c r="G210" t="str">
        <f t="shared" si="20"/>
        <v>Abbington Medfield</v>
      </c>
      <c r="H210">
        <f t="shared" si="21"/>
        <v>20</v>
      </c>
    </row>
    <row r="211" spans="1:8">
      <c r="A211" s="139" t="s">
        <v>302</v>
      </c>
      <c r="B211" t="s">
        <v>57</v>
      </c>
      <c r="C211">
        <v>257</v>
      </c>
      <c r="D211" t="s">
        <v>181</v>
      </c>
      <c r="E211">
        <v>223</v>
      </c>
      <c r="F211" t="str">
        <f t="shared" si="19"/>
        <v>Manchester Lifetime Raleigh</v>
      </c>
      <c r="G211" t="str">
        <f t="shared" si="20"/>
        <v>Lifetime Raleigh Manchester</v>
      </c>
      <c r="H211">
        <f t="shared" si="21"/>
        <v>34</v>
      </c>
    </row>
    <row r="212" spans="1:8">
      <c r="A212" s="139" t="s">
        <v>302</v>
      </c>
      <c r="B212" t="s">
        <v>59</v>
      </c>
      <c r="C212">
        <v>344</v>
      </c>
      <c r="D212" t="s">
        <v>62</v>
      </c>
      <c r="E212">
        <v>140</v>
      </c>
      <c r="F212" t="str">
        <f t="shared" si="19"/>
        <v>Hedingham Meredith Townes</v>
      </c>
      <c r="G212" t="str">
        <f t="shared" si="20"/>
        <v>Meredith Townes Hedingham</v>
      </c>
      <c r="H212">
        <f t="shared" si="21"/>
        <v>204</v>
      </c>
    </row>
    <row r="213" spans="1:8">
      <c r="A213" s="139" t="s">
        <v>302</v>
      </c>
      <c r="B213" t="s">
        <v>48</v>
      </c>
      <c r="C213">
        <v>315</v>
      </c>
      <c r="D213" t="s">
        <v>55</v>
      </c>
      <c r="E213">
        <v>199</v>
      </c>
      <c r="F213" t="str">
        <f t="shared" si="19"/>
        <v>Northbrook Bedford at Falls River</v>
      </c>
      <c r="G213" t="str">
        <f t="shared" si="20"/>
        <v>Bedford at Falls River Northbrook</v>
      </c>
      <c r="H213">
        <f t="shared" si="21"/>
        <v>116</v>
      </c>
    </row>
    <row r="214" spans="1:8">
      <c r="A214" s="139" t="s">
        <v>302</v>
      </c>
      <c r="B214" t="s">
        <v>180</v>
      </c>
      <c r="C214">
        <v>301</v>
      </c>
      <c r="D214" t="s">
        <v>56</v>
      </c>
      <c r="E214">
        <v>204</v>
      </c>
      <c r="F214" t="str">
        <f t="shared" si="19"/>
        <v>Brier Creek North Raleigh</v>
      </c>
      <c r="G214" t="str">
        <f t="shared" si="20"/>
        <v>North Raleigh Brier Creek</v>
      </c>
      <c r="H214">
        <f t="shared" si="21"/>
        <v>97</v>
      </c>
    </row>
    <row r="215" spans="1:8">
      <c r="A215" s="139" t="s">
        <v>302</v>
      </c>
      <c r="B215" t="s">
        <v>11</v>
      </c>
      <c r="C215">
        <v>266.5</v>
      </c>
      <c r="D215" t="s">
        <v>20</v>
      </c>
      <c r="E215">
        <v>242.5</v>
      </c>
      <c r="F215" t="str">
        <f t="shared" si="19"/>
        <v>Lochmere Olive Chapel</v>
      </c>
      <c r="G215" t="str">
        <f t="shared" si="20"/>
        <v>Olive Chapel Lochmere</v>
      </c>
      <c r="H215">
        <f t="shared" si="21"/>
        <v>24</v>
      </c>
    </row>
    <row r="216" spans="1:8">
      <c r="A216" s="139" t="s">
        <v>302</v>
      </c>
      <c r="B216" t="s">
        <v>29</v>
      </c>
      <c r="C216">
        <v>274.5</v>
      </c>
      <c r="D216" t="s">
        <v>13</v>
      </c>
      <c r="E216">
        <v>207.5</v>
      </c>
      <c r="F216" t="str">
        <f t="shared" si="19"/>
        <v>Oxxford Hunt Scotts Mill</v>
      </c>
      <c r="G216" t="str">
        <f t="shared" si="20"/>
        <v>Scotts Mill Oxxford Hunt</v>
      </c>
      <c r="H216">
        <f t="shared" si="21"/>
        <v>67</v>
      </c>
    </row>
    <row r="217" spans="1:8">
      <c r="A217" s="139" t="s">
        <v>302</v>
      </c>
      <c r="B217" t="s">
        <v>23</v>
      </c>
      <c r="C217">
        <v>327</v>
      </c>
      <c r="D217" t="s">
        <v>31</v>
      </c>
      <c r="E217">
        <v>187</v>
      </c>
      <c r="F217" t="str">
        <f t="shared" si="19"/>
        <v>Park Village Eagle Ridge</v>
      </c>
      <c r="G217" t="str">
        <f t="shared" si="20"/>
        <v>Eagle Ridge Park Village</v>
      </c>
      <c r="H217">
        <f t="shared" si="21"/>
        <v>140</v>
      </c>
    </row>
    <row r="218" spans="1:8">
      <c r="A218" s="139" t="s">
        <v>302</v>
      </c>
      <c r="B218" t="s">
        <v>3</v>
      </c>
      <c r="C218">
        <v>269.5</v>
      </c>
      <c r="D218" t="s">
        <v>36</v>
      </c>
      <c r="E218">
        <v>236.5</v>
      </c>
      <c r="F218" t="str">
        <f t="shared" si="19"/>
        <v>Park at West Lake Haddon Hall</v>
      </c>
      <c r="G218" t="str">
        <f t="shared" si="20"/>
        <v>Haddon Hall Park at West Lake</v>
      </c>
      <c r="H218">
        <f t="shared" si="21"/>
        <v>33</v>
      </c>
    </row>
    <row r="219" spans="1:8">
      <c r="A219" s="139" t="s">
        <v>302</v>
      </c>
      <c r="B219" t="s">
        <v>18</v>
      </c>
      <c r="C219">
        <v>286</v>
      </c>
      <c r="D219" t="s">
        <v>10</v>
      </c>
      <c r="E219">
        <v>228</v>
      </c>
      <c r="F219" t="str">
        <f t="shared" si="19"/>
        <v>Sunset Ridge Prestonwood</v>
      </c>
      <c r="G219" t="str">
        <f t="shared" si="20"/>
        <v>Prestonwood Sunset Ridge</v>
      </c>
      <c r="H219">
        <f t="shared" si="21"/>
        <v>58</v>
      </c>
    </row>
    <row r="220" spans="1:8">
      <c r="A220" s="139" t="s">
        <v>302</v>
      </c>
      <c r="B220" t="s">
        <v>5</v>
      </c>
      <c r="C220">
        <v>268.5</v>
      </c>
      <c r="D220" t="s">
        <v>50</v>
      </c>
      <c r="E220">
        <v>245.5</v>
      </c>
      <c r="F220" t="str">
        <f t="shared" si="19"/>
        <v>Lake Park Quail Hollow</v>
      </c>
      <c r="G220" t="str">
        <f t="shared" si="20"/>
        <v>Quail Hollow Lake Park</v>
      </c>
      <c r="H220">
        <f t="shared" si="21"/>
        <v>23</v>
      </c>
    </row>
    <row r="221" spans="1:8">
      <c r="A221" s="139" t="s">
        <v>302</v>
      </c>
      <c r="B221" t="s">
        <v>182</v>
      </c>
      <c r="C221">
        <v>276</v>
      </c>
      <c r="D221" t="s">
        <v>106</v>
      </c>
      <c r="E221">
        <v>200</v>
      </c>
      <c r="F221" t="str">
        <f t="shared" si="19"/>
        <v>Raleigh Racquet Planter's Walk</v>
      </c>
      <c r="G221" t="str">
        <f t="shared" si="20"/>
        <v>Planter's Walk Raleigh Racquet</v>
      </c>
      <c r="H221">
        <f t="shared" si="21"/>
        <v>76</v>
      </c>
    </row>
    <row r="222" spans="1:8">
      <c r="A222" s="139" t="s">
        <v>302</v>
      </c>
      <c r="B222" t="s">
        <v>73</v>
      </c>
      <c r="C222">
        <v>306</v>
      </c>
      <c r="D222" t="s">
        <v>97</v>
      </c>
      <c r="E222">
        <v>207</v>
      </c>
      <c r="F222" t="str">
        <f t="shared" si="19"/>
        <v>Clubworx Regency</v>
      </c>
      <c r="G222" t="str">
        <f t="shared" si="20"/>
        <v>Regency Clubworx</v>
      </c>
      <c r="H222">
        <f t="shared" si="21"/>
        <v>99</v>
      </c>
    </row>
    <row r="223" spans="1:8">
      <c r="A223" s="139" t="s">
        <v>302</v>
      </c>
      <c r="B223" t="s">
        <v>156</v>
      </c>
      <c r="C223">
        <v>288.5</v>
      </c>
      <c r="D223" t="s">
        <v>53</v>
      </c>
      <c r="E223">
        <v>222.5</v>
      </c>
      <c r="F223" t="str">
        <f t="shared" si="19"/>
        <v>Riverwood Stonebridge</v>
      </c>
      <c r="G223" t="str">
        <f t="shared" si="20"/>
        <v>Stonebridge Riverwood</v>
      </c>
      <c r="H223">
        <f t="shared" si="21"/>
        <v>66</v>
      </c>
    </row>
    <row r="224" spans="1:8">
      <c r="A224" s="139" t="s">
        <v>302</v>
      </c>
      <c r="B224" t="s">
        <v>96</v>
      </c>
      <c r="C224">
        <v>274</v>
      </c>
      <c r="D224" t="s">
        <v>16</v>
      </c>
      <c r="E224">
        <v>240</v>
      </c>
      <c r="F224" t="str">
        <f t="shared" si="19"/>
        <v>Shepherds Vineyard Dutchman Downs</v>
      </c>
      <c r="G224" t="str">
        <f t="shared" si="20"/>
        <v>Dutchman Downs Shepherds Vineyard</v>
      </c>
      <c r="H224">
        <f t="shared" si="21"/>
        <v>34</v>
      </c>
    </row>
    <row r="225" spans="1:8">
      <c r="A225" s="139" t="s">
        <v>302</v>
      </c>
      <c r="B225" t="s">
        <v>7</v>
      </c>
      <c r="C225">
        <v>348</v>
      </c>
      <c r="D225" t="s">
        <v>51</v>
      </c>
      <c r="E225">
        <v>166</v>
      </c>
      <c r="F225" t="str">
        <f t="shared" si="19"/>
        <v>Springdale Summerfield North</v>
      </c>
      <c r="G225" t="str">
        <f t="shared" si="20"/>
        <v>Summerfield North Springdale</v>
      </c>
      <c r="H225">
        <f t="shared" si="21"/>
        <v>182</v>
      </c>
    </row>
    <row r="226" spans="1:8">
      <c r="A226" s="139" t="s">
        <v>302</v>
      </c>
      <c r="B226" t="s">
        <v>60</v>
      </c>
      <c r="C226">
        <v>328</v>
      </c>
      <c r="D226" t="s">
        <v>86</v>
      </c>
      <c r="E226">
        <v>179</v>
      </c>
      <c r="F226" t="str">
        <f t="shared" si="19"/>
        <v>Southall Banbury Woods &amp; Hunters Landing</v>
      </c>
      <c r="G226" t="str">
        <f t="shared" si="20"/>
        <v>Banbury Woods &amp; Hunters Landing Southall</v>
      </c>
      <c r="H226">
        <f t="shared" si="21"/>
        <v>149</v>
      </c>
    </row>
    <row r="227" spans="1:8">
      <c r="A227" s="139" t="s">
        <v>302</v>
      </c>
      <c r="B227" t="s">
        <v>8</v>
      </c>
      <c r="C227">
        <v>317</v>
      </c>
      <c r="D227" t="s">
        <v>9</v>
      </c>
      <c r="E227">
        <v>194</v>
      </c>
      <c r="F227" t="str">
        <f t="shared" si="19"/>
        <v>University Club Wood Valley</v>
      </c>
      <c r="G227" t="str">
        <f t="shared" si="20"/>
        <v>Wood Valley University Club</v>
      </c>
      <c r="H227">
        <f t="shared" si="21"/>
        <v>123</v>
      </c>
    </row>
    <row r="228" spans="1:8">
      <c r="A228" s="139" t="s">
        <v>302</v>
      </c>
      <c r="B228" t="s">
        <v>66</v>
      </c>
      <c r="C228">
        <v>360</v>
      </c>
      <c r="D228" t="s">
        <v>118</v>
      </c>
      <c r="E228">
        <v>150</v>
      </c>
      <c r="F228" t="str">
        <f t="shared" si="19"/>
        <v>Wendell Zebulon</v>
      </c>
      <c r="G228" t="str">
        <f t="shared" si="20"/>
        <v>Zebulon Wendell</v>
      </c>
      <c r="H228">
        <f t="shared" si="21"/>
        <v>210</v>
      </c>
    </row>
    <row r="229" spans="1:8">
      <c r="A229" s="139" t="s">
        <v>302</v>
      </c>
      <c r="B229" t="s">
        <v>105</v>
      </c>
      <c r="C229">
        <v>298</v>
      </c>
      <c r="D229" t="s">
        <v>81</v>
      </c>
      <c r="E229">
        <v>214</v>
      </c>
      <c r="F229" t="str">
        <f t="shared" si="19"/>
        <v>WoodCreek Preston Village</v>
      </c>
      <c r="G229" t="str">
        <f t="shared" si="20"/>
        <v>Preston Village WoodCreek</v>
      </c>
      <c r="H229">
        <f t="shared" si="21"/>
        <v>84</v>
      </c>
    </row>
    <row r="230" spans="1:8">
      <c r="A230" s="139" t="s">
        <v>302</v>
      </c>
      <c r="B230" t="s">
        <v>14</v>
      </c>
      <c r="C230">
        <v>295</v>
      </c>
      <c r="D230" t="s">
        <v>19</v>
      </c>
      <c r="E230">
        <v>219</v>
      </c>
      <c r="F230" t="str">
        <f t="shared" si="19"/>
        <v>Silverton Walden Creek</v>
      </c>
      <c r="G230" t="str">
        <f t="shared" si="20"/>
        <v>Walden Creek Silverton</v>
      </c>
      <c r="H230">
        <f t="shared" si="21"/>
        <v>76</v>
      </c>
    </row>
    <row r="231" spans="1:8">
      <c r="A231" s="139" t="s">
        <v>302</v>
      </c>
      <c r="B231" t="s">
        <v>27</v>
      </c>
      <c r="C231">
        <v>271</v>
      </c>
      <c r="D231" t="s">
        <v>35</v>
      </c>
      <c r="E231">
        <v>240</v>
      </c>
      <c r="F231" t="str">
        <f t="shared" si="19"/>
        <v>Highcroft Weldon Ridge</v>
      </c>
      <c r="G231" t="str">
        <f t="shared" si="20"/>
        <v>Weldon Ridge Highcroft</v>
      </c>
      <c r="H231">
        <f t="shared" si="21"/>
        <v>31</v>
      </c>
    </row>
    <row r="234" spans="1:8">
      <c r="A234" s="139" t="s">
        <v>303</v>
      </c>
      <c r="B234" t="s">
        <v>4</v>
      </c>
      <c r="C234">
        <v>290</v>
      </c>
      <c r="D234" t="s">
        <v>8</v>
      </c>
      <c r="E234">
        <v>224</v>
      </c>
      <c r="F234" t="str">
        <f t="shared" ref="F234:F277" si="22">_xlfn.CONCAT(B234," ",D234)</f>
        <v>Seven Oaks University Club</v>
      </c>
      <c r="G234" t="str">
        <f t="shared" ref="G234:G277" si="23">_xlfn.CONCAT(D234," ",B234)</f>
        <v>University Club Seven Oaks</v>
      </c>
      <c r="H234">
        <f t="shared" ref="H234:H277" si="24">C234-E234</f>
        <v>66</v>
      </c>
    </row>
    <row r="235" spans="1:8">
      <c r="A235" s="139" t="s">
        <v>303</v>
      </c>
      <c r="B235" t="s">
        <v>78</v>
      </c>
      <c r="C235">
        <v>304</v>
      </c>
      <c r="D235" t="s">
        <v>10</v>
      </c>
      <c r="E235">
        <v>209</v>
      </c>
      <c r="F235" t="str">
        <f t="shared" si="22"/>
        <v>Abbington Prestonwood</v>
      </c>
      <c r="G235" t="str">
        <f t="shared" si="23"/>
        <v>Prestonwood Abbington</v>
      </c>
      <c r="H235">
        <f t="shared" si="24"/>
        <v>95</v>
      </c>
    </row>
    <row r="236" spans="1:8">
      <c r="A236" s="139" t="s">
        <v>303</v>
      </c>
      <c r="B236" t="s">
        <v>179</v>
      </c>
      <c r="C236">
        <v>279</v>
      </c>
      <c r="D236" t="s">
        <v>34</v>
      </c>
      <c r="E236">
        <v>234</v>
      </c>
      <c r="F236" t="str">
        <f t="shared" si="22"/>
        <v>Arbor Creek Charleston Village</v>
      </c>
      <c r="G236" t="str">
        <f t="shared" si="23"/>
        <v>Charleston Village Arbor Creek</v>
      </c>
      <c r="H236">
        <f t="shared" si="24"/>
        <v>45</v>
      </c>
    </row>
    <row r="237" spans="1:8">
      <c r="A237" s="139" t="s">
        <v>303</v>
      </c>
      <c r="B237" t="s">
        <v>84</v>
      </c>
      <c r="C237">
        <v>303</v>
      </c>
      <c r="D237" t="s">
        <v>55</v>
      </c>
      <c r="E237">
        <v>211</v>
      </c>
      <c r="F237" t="str">
        <f t="shared" si="22"/>
        <v>Greenway Club Bedford at Falls River</v>
      </c>
      <c r="G237" t="str">
        <f t="shared" si="23"/>
        <v>Bedford at Falls River Greenway Club</v>
      </c>
      <c r="H237">
        <f t="shared" si="24"/>
        <v>92</v>
      </c>
    </row>
    <row r="238" spans="1:8">
      <c r="A238" s="139" t="s">
        <v>303</v>
      </c>
      <c r="B238" t="s">
        <v>180</v>
      </c>
      <c r="C238">
        <v>279</v>
      </c>
      <c r="D238" t="s">
        <v>63</v>
      </c>
      <c r="E238">
        <v>235</v>
      </c>
      <c r="F238" t="str">
        <f t="shared" si="22"/>
        <v>Brier Creek Granite Falls</v>
      </c>
      <c r="G238" t="str">
        <f t="shared" si="23"/>
        <v>Granite Falls Brier Creek</v>
      </c>
      <c r="H238">
        <f t="shared" si="24"/>
        <v>44</v>
      </c>
    </row>
    <row r="239" spans="1:8">
      <c r="A239" s="139" t="s">
        <v>303</v>
      </c>
      <c r="B239" t="s">
        <v>61</v>
      </c>
      <c r="C239">
        <v>245</v>
      </c>
      <c r="D239" t="s">
        <v>86</v>
      </c>
      <c r="E239">
        <v>242</v>
      </c>
      <c r="F239" t="str">
        <f t="shared" si="22"/>
        <v>Black Horse Run Banbury Woods &amp; Hunters Landing</v>
      </c>
      <c r="G239" t="str">
        <f t="shared" si="23"/>
        <v>Banbury Woods &amp; Hunters Landing Black Horse Run</v>
      </c>
      <c r="H239">
        <f t="shared" si="24"/>
        <v>3</v>
      </c>
    </row>
    <row r="240" spans="1:8">
      <c r="A240" s="139" t="s">
        <v>303</v>
      </c>
      <c r="B240" t="s">
        <v>38</v>
      </c>
      <c r="C240">
        <v>271</v>
      </c>
      <c r="D240" t="s">
        <v>37</v>
      </c>
      <c r="E240">
        <v>243</v>
      </c>
      <c r="F240" t="str">
        <f t="shared" si="22"/>
        <v>Bentwinds Carpenter Village</v>
      </c>
      <c r="G240" t="str">
        <f t="shared" si="23"/>
        <v>Carpenter Village Bentwinds</v>
      </c>
      <c r="H240">
        <f t="shared" si="24"/>
        <v>28</v>
      </c>
    </row>
    <row r="241" spans="1:8">
      <c r="A241" s="139" t="s">
        <v>303</v>
      </c>
      <c r="B241" t="s">
        <v>17</v>
      </c>
      <c r="C241">
        <v>271</v>
      </c>
      <c r="D241" t="s">
        <v>12</v>
      </c>
      <c r="E241">
        <v>242</v>
      </c>
      <c r="F241" t="str">
        <f t="shared" si="22"/>
        <v>Cary Scottish Hills</v>
      </c>
      <c r="G241" t="str">
        <f t="shared" si="23"/>
        <v>Scottish Hills Cary</v>
      </c>
      <c r="H241">
        <f t="shared" si="24"/>
        <v>29</v>
      </c>
    </row>
    <row r="242" spans="1:8">
      <c r="A242" s="139" t="s">
        <v>303</v>
      </c>
      <c r="B242" t="s">
        <v>32</v>
      </c>
      <c r="C242">
        <v>254</v>
      </c>
      <c r="D242" t="s">
        <v>33</v>
      </c>
      <c r="E242">
        <v>250</v>
      </c>
      <c r="F242" t="str">
        <f t="shared" si="22"/>
        <v>Crooked Creek Garner</v>
      </c>
      <c r="G242" t="str">
        <f t="shared" si="23"/>
        <v>Garner Crooked Creek</v>
      </c>
      <c r="H242">
        <f t="shared" si="24"/>
        <v>4</v>
      </c>
    </row>
    <row r="243" spans="1:8">
      <c r="A243" s="139" t="s">
        <v>303</v>
      </c>
      <c r="B243" t="s">
        <v>15</v>
      </c>
      <c r="C243">
        <v>280</v>
      </c>
      <c r="D243" t="s">
        <v>21</v>
      </c>
      <c r="E243">
        <v>230</v>
      </c>
      <c r="F243" t="str">
        <f t="shared" si="22"/>
        <v>Cary Park Apex</v>
      </c>
      <c r="G243" t="str">
        <f t="shared" si="23"/>
        <v>Apex Cary Park</v>
      </c>
      <c r="H243">
        <f t="shared" si="24"/>
        <v>50</v>
      </c>
    </row>
    <row r="244" spans="1:8">
      <c r="A244" s="139" t="s">
        <v>303</v>
      </c>
      <c r="B244" t="s">
        <v>60</v>
      </c>
      <c r="C244">
        <v>266</v>
      </c>
      <c r="D244" t="s">
        <v>67</v>
      </c>
      <c r="E244">
        <v>247</v>
      </c>
      <c r="F244" t="str">
        <f t="shared" si="22"/>
        <v>Southall Crabtree</v>
      </c>
      <c r="G244" t="str">
        <f t="shared" si="23"/>
        <v>Crabtree Southall</v>
      </c>
      <c r="H244">
        <f t="shared" si="24"/>
        <v>19</v>
      </c>
    </row>
    <row r="245" spans="1:8">
      <c r="A245" s="139" t="s">
        <v>303</v>
      </c>
      <c r="B245" t="s">
        <v>70</v>
      </c>
      <c r="C245">
        <v>325</v>
      </c>
      <c r="D245" t="s">
        <v>182</v>
      </c>
      <c r="E245">
        <v>157</v>
      </c>
      <c r="F245" t="str">
        <f t="shared" si="22"/>
        <v>Coachman's Trail Raleigh Racquet</v>
      </c>
      <c r="G245" t="str">
        <f t="shared" si="23"/>
        <v>Raleigh Racquet Coachman's Trail</v>
      </c>
      <c r="H245">
        <f t="shared" si="24"/>
        <v>168</v>
      </c>
    </row>
    <row r="246" spans="1:8">
      <c r="A246" s="139" t="s">
        <v>303</v>
      </c>
      <c r="B246" t="s">
        <v>73</v>
      </c>
      <c r="C246">
        <v>318</v>
      </c>
      <c r="D246" t="s">
        <v>30</v>
      </c>
      <c r="E246">
        <v>185</v>
      </c>
      <c r="F246" t="str">
        <f t="shared" si="22"/>
        <v>Clubworx Brookstone</v>
      </c>
      <c r="G246" t="str">
        <f t="shared" si="23"/>
        <v>Brookstone Clubworx</v>
      </c>
      <c r="H246">
        <f t="shared" si="24"/>
        <v>133</v>
      </c>
    </row>
    <row r="247" spans="1:8">
      <c r="A247" s="139" t="s">
        <v>303</v>
      </c>
      <c r="B247" t="s">
        <v>22</v>
      </c>
      <c r="C247">
        <v>283</v>
      </c>
      <c r="D247" t="s">
        <v>40</v>
      </c>
      <c r="E247">
        <v>229</v>
      </c>
      <c r="F247" t="str">
        <f t="shared" si="22"/>
        <v>Devereaux Wellington Park</v>
      </c>
      <c r="G247" t="str">
        <f t="shared" si="23"/>
        <v>Wellington Park Devereaux</v>
      </c>
      <c r="H247">
        <f t="shared" si="24"/>
        <v>54</v>
      </c>
    </row>
    <row r="248" spans="1:8">
      <c r="A248" s="139" t="s">
        <v>303</v>
      </c>
      <c r="B248" t="s">
        <v>31</v>
      </c>
      <c r="C248">
        <v>281</v>
      </c>
      <c r="D248" t="s">
        <v>95</v>
      </c>
      <c r="E248">
        <v>232</v>
      </c>
      <c r="F248" t="str">
        <f t="shared" si="22"/>
        <v>Eagle Ridge Brighton Forest</v>
      </c>
      <c r="G248" t="str">
        <f t="shared" si="23"/>
        <v>Brighton Forest Eagle Ridge</v>
      </c>
      <c r="H248">
        <f t="shared" si="24"/>
        <v>49</v>
      </c>
    </row>
    <row r="249" spans="1:8">
      <c r="A249" s="139" t="s">
        <v>303</v>
      </c>
      <c r="B249" t="s">
        <v>28</v>
      </c>
      <c r="C249">
        <v>338</v>
      </c>
      <c r="D249" t="s">
        <v>113</v>
      </c>
      <c r="E249">
        <v>147</v>
      </c>
      <c r="F249" t="str">
        <f t="shared" si="22"/>
        <v>Glenridge Harmony</v>
      </c>
      <c r="G249" t="str">
        <f t="shared" si="23"/>
        <v>Harmony Glenridge</v>
      </c>
      <c r="H249">
        <f t="shared" si="24"/>
        <v>191</v>
      </c>
    </row>
    <row r="250" spans="1:8">
      <c r="A250" s="139" t="s">
        <v>303</v>
      </c>
      <c r="B250" t="s">
        <v>66</v>
      </c>
      <c r="C250">
        <v>298</v>
      </c>
      <c r="D250" t="s">
        <v>64</v>
      </c>
      <c r="E250">
        <v>164</v>
      </c>
      <c r="F250" t="str">
        <f t="shared" si="22"/>
        <v>Wendell Hawthorne</v>
      </c>
      <c r="G250" t="str">
        <f t="shared" si="23"/>
        <v>Hawthorne Wendell</v>
      </c>
      <c r="H250">
        <f t="shared" si="24"/>
        <v>134</v>
      </c>
    </row>
    <row r="251" spans="1:8">
      <c r="A251" s="139" t="s">
        <v>303</v>
      </c>
      <c r="B251" t="s">
        <v>59</v>
      </c>
      <c r="F251" t="str">
        <f t="shared" si="22"/>
        <v xml:space="preserve">Hedingham </v>
      </c>
      <c r="G251" t="str">
        <f t="shared" si="23"/>
        <v xml:space="preserve"> Hedingham</v>
      </c>
      <c r="H251">
        <f t="shared" si="24"/>
        <v>0</v>
      </c>
    </row>
    <row r="252" spans="1:8">
      <c r="A252" s="139" t="s">
        <v>303</v>
      </c>
      <c r="B252" t="s">
        <v>48</v>
      </c>
      <c r="C252">
        <v>288</v>
      </c>
      <c r="D252" t="s">
        <v>49</v>
      </c>
      <c r="E252">
        <v>226</v>
      </c>
      <c r="F252" t="str">
        <f t="shared" si="22"/>
        <v>Northbrook Harrington Grove</v>
      </c>
      <c r="G252" t="str">
        <f t="shared" si="23"/>
        <v>Harrington Grove Northbrook</v>
      </c>
      <c r="H252">
        <f t="shared" si="24"/>
        <v>62</v>
      </c>
    </row>
    <row r="253" spans="1:8">
      <c r="A253" s="139" t="s">
        <v>303</v>
      </c>
      <c r="B253" t="s">
        <v>29</v>
      </c>
      <c r="C253">
        <v>276</v>
      </c>
      <c r="D253" t="s">
        <v>36</v>
      </c>
      <c r="E253">
        <v>234</v>
      </c>
      <c r="F253" t="str">
        <f t="shared" si="22"/>
        <v>Oxxford Hunt Haddon Hall</v>
      </c>
      <c r="G253" t="str">
        <f t="shared" si="23"/>
        <v>Haddon Hall Oxxford Hunt</v>
      </c>
      <c r="H253">
        <f t="shared" si="24"/>
        <v>42</v>
      </c>
    </row>
    <row r="254" spans="1:8">
      <c r="A254" s="139" t="s">
        <v>303</v>
      </c>
      <c r="B254" t="s">
        <v>82</v>
      </c>
      <c r="C254">
        <v>303</v>
      </c>
      <c r="D254" t="s">
        <v>27</v>
      </c>
      <c r="E254">
        <v>210</v>
      </c>
      <c r="F254" t="str">
        <f t="shared" si="22"/>
        <v>Amberly Highcroft</v>
      </c>
      <c r="G254" t="str">
        <f t="shared" si="23"/>
        <v>Highcroft Amberly</v>
      </c>
      <c r="H254">
        <f t="shared" si="24"/>
        <v>93</v>
      </c>
    </row>
    <row r="255" spans="1:8">
      <c r="A255" s="139" t="s">
        <v>303</v>
      </c>
      <c r="B255" t="s">
        <v>7</v>
      </c>
      <c r="C255">
        <v>215</v>
      </c>
      <c r="D255" t="s">
        <v>52</v>
      </c>
      <c r="E255">
        <v>159</v>
      </c>
      <c r="F255" t="str">
        <f t="shared" si="22"/>
        <v>Springdale Heritage of Wake Forest</v>
      </c>
      <c r="G255" t="str">
        <f t="shared" si="23"/>
        <v>Heritage of Wake Forest Springdale</v>
      </c>
      <c r="H255">
        <f t="shared" si="24"/>
        <v>56</v>
      </c>
    </row>
    <row r="256" spans="1:8">
      <c r="A256" s="139" t="s">
        <v>303</v>
      </c>
      <c r="B256" t="s">
        <v>83</v>
      </c>
      <c r="C256">
        <v>293</v>
      </c>
      <c r="D256" t="s">
        <v>23</v>
      </c>
      <c r="E256">
        <v>218</v>
      </c>
      <c r="F256" t="str">
        <f t="shared" si="22"/>
        <v>Kitts Creek Park Village</v>
      </c>
      <c r="G256" t="str">
        <f t="shared" si="23"/>
        <v>Park Village Kitts Creek</v>
      </c>
      <c r="H256">
        <f t="shared" si="24"/>
        <v>75</v>
      </c>
    </row>
    <row r="257" spans="1:8">
      <c r="A257" s="139" t="s">
        <v>303</v>
      </c>
      <c r="B257" t="s">
        <v>0</v>
      </c>
      <c r="C257">
        <v>285</v>
      </c>
      <c r="D257" t="s">
        <v>62</v>
      </c>
      <c r="E257">
        <v>158</v>
      </c>
      <c r="F257" t="str">
        <f t="shared" si="22"/>
        <v>Lakemont Meredith Townes</v>
      </c>
      <c r="G257" t="str">
        <f t="shared" si="23"/>
        <v>Meredith Townes Lakemont</v>
      </c>
      <c r="H257">
        <f t="shared" si="24"/>
        <v>127</v>
      </c>
    </row>
    <row r="258" spans="1:8">
      <c r="A258" s="139" t="s">
        <v>303</v>
      </c>
      <c r="B258" t="s">
        <v>16</v>
      </c>
      <c r="C258">
        <v>270.5</v>
      </c>
      <c r="D258" t="s">
        <v>11</v>
      </c>
      <c r="E258">
        <v>239.5</v>
      </c>
      <c r="F258" t="str">
        <f t="shared" si="22"/>
        <v>Dutchman Downs Lochmere</v>
      </c>
      <c r="G258" t="str">
        <f t="shared" si="23"/>
        <v>Lochmere Dutchman Downs</v>
      </c>
      <c r="H258">
        <f t="shared" si="24"/>
        <v>31</v>
      </c>
    </row>
    <row r="259" spans="1:8">
      <c r="A259" s="139" t="s">
        <v>303</v>
      </c>
      <c r="B259" t="s">
        <v>5</v>
      </c>
      <c r="C259">
        <v>304</v>
      </c>
      <c r="D259" t="s">
        <v>156</v>
      </c>
      <c r="E259">
        <v>209</v>
      </c>
      <c r="F259" t="str">
        <f t="shared" si="22"/>
        <v>Lake Park Riverwood</v>
      </c>
      <c r="G259" t="str">
        <f t="shared" si="23"/>
        <v>Riverwood Lake Park</v>
      </c>
      <c r="H259">
        <f t="shared" si="24"/>
        <v>95</v>
      </c>
    </row>
    <row r="260" spans="1:8">
      <c r="A260" s="139" t="s">
        <v>303</v>
      </c>
      <c r="B260" t="s">
        <v>104</v>
      </c>
      <c r="C260">
        <v>304</v>
      </c>
      <c r="D260" t="s">
        <v>166</v>
      </c>
      <c r="E260">
        <v>210</v>
      </c>
      <c r="F260" t="str">
        <f t="shared" si="22"/>
        <v>Life Time Fitness Cary Holly Glen</v>
      </c>
      <c r="G260" t="str">
        <f t="shared" si="23"/>
        <v>Holly Glen Life Time Fitness Cary</v>
      </c>
      <c r="H260">
        <f t="shared" si="24"/>
        <v>94</v>
      </c>
    </row>
    <row r="261" spans="1:8">
      <c r="A261" s="139" t="s">
        <v>303</v>
      </c>
      <c r="B261" t="s">
        <v>58</v>
      </c>
      <c r="C261">
        <v>315</v>
      </c>
      <c r="D261" t="s">
        <v>181</v>
      </c>
      <c r="E261">
        <v>197</v>
      </c>
      <c r="F261" t="str">
        <f t="shared" si="22"/>
        <v>Durant Trails Lifetime Raleigh</v>
      </c>
      <c r="G261" t="str">
        <f t="shared" si="23"/>
        <v>Lifetime Raleigh Durant Trails</v>
      </c>
      <c r="H261">
        <f t="shared" si="24"/>
        <v>118</v>
      </c>
    </row>
    <row r="262" spans="1:8">
      <c r="A262" s="139" t="s">
        <v>303</v>
      </c>
      <c r="B262" t="s">
        <v>54</v>
      </c>
      <c r="C262">
        <v>259</v>
      </c>
      <c r="D262" t="s">
        <v>56</v>
      </c>
      <c r="E262">
        <v>251</v>
      </c>
      <c r="F262" t="str">
        <f t="shared" si="22"/>
        <v>North Hills North Raleigh</v>
      </c>
      <c r="G262" t="str">
        <f t="shared" si="23"/>
        <v>North Raleigh North Hills</v>
      </c>
      <c r="H262">
        <f t="shared" si="24"/>
        <v>8</v>
      </c>
    </row>
    <row r="263" spans="1:8">
      <c r="A263" s="139" t="s">
        <v>303</v>
      </c>
      <c r="B263" t="s">
        <v>96</v>
      </c>
      <c r="C263">
        <v>291</v>
      </c>
      <c r="D263" t="s">
        <v>20</v>
      </c>
      <c r="E263">
        <v>219</v>
      </c>
      <c r="F263" t="str">
        <f t="shared" si="22"/>
        <v>Shepherds Vineyard Olive Chapel</v>
      </c>
      <c r="G263" t="str">
        <f t="shared" si="23"/>
        <v>Olive Chapel Shepherds Vineyard</v>
      </c>
      <c r="H263">
        <f t="shared" si="24"/>
        <v>72</v>
      </c>
    </row>
    <row r="264" spans="1:8">
      <c r="A264" s="139" t="s">
        <v>303</v>
      </c>
      <c r="B264" t="s">
        <v>1</v>
      </c>
      <c r="C264">
        <v>256</v>
      </c>
      <c r="D264" t="s">
        <v>57</v>
      </c>
      <c r="E264">
        <v>250</v>
      </c>
      <c r="F264" t="str">
        <f t="shared" si="22"/>
        <v>Oak Park Manchester</v>
      </c>
      <c r="G264" t="str">
        <f t="shared" si="23"/>
        <v>Manchester Oak Park</v>
      </c>
      <c r="H264">
        <f t="shared" si="24"/>
        <v>6</v>
      </c>
    </row>
    <row r="265" spans="1:8">
      <c r="A265" s="139" t="s">
        <v>303</v>
      </c>
      <c r="B265" t="s">
        <v>81</v>
      </c>
      <c r="C265">
        <v>260</v>
      </c>
      <c r="D265" t="s">
        <v>19</v>
      </c>
      <c r="E265">
        <v>253</v>
      </c>
      <c r="F265" t="str">
        <f t="shared" si="22"/>
        <v>Preston Village Walden Creek</v>
      </c>
      <c r="G265" t="str">
        <f t="shared" si="23"/>
        <v>Walden Creek Preston Village</v>
      </c>
      <c r="H265">
        <f t="shared" si="24"/>
        <v>7</v>
      </c>
    </row>
    <row r="266" spans="1:8">
      <c r="A266" s="139" t="s">
        <v>303</v>
      </c>
      <c r="B266" t="s">
        <v>118</v>
      </c>
      <c r="C266">
        <v>276</v>
      </c>
      <c r="D266" t="s">
        <v>106</v>
      </c>
      <c r="E266">
        <v>214</v>
      </c>
      <c r="F266" t="str">
        <f t="shared" si="22"/>
        <v>Zebulon Planter's Walk</v>
      </c>
      <c r="G266" t="str">
        <f t="shared" si="23"/>
        <v>Planter's Walk Zebulon</v>
      </c>
      <c r="H266">
        <f t="shared" si="24"/>
        <v>62</v>
      </c>
    </row>
    <row r="267" spans="1:8">
      <c r="A267" s="139" t="s">
        <v>303</v>
      </c>
      <c r="B267" t="s">
        <v>98</v>
      </c>
      <c r="C267">
        <v>322</v>
      </c>
      <c r="D267" t="s">
        <v>24</v>
      </c>
      <c r="E267">
        <v>164</v>
      </c>
      <c r="F267" t="str">
        <f t="shared" si="22"/>
        <v>Bella Casa The Reserve</v>
      </c>
      <c r="G267" t="str">
        <f t="shared" si="23"/>
        <v>The Reserve Bella Casa</v>
      </c>
      <c r="H267">
        <f t="shared" si="24"/>
        <v>158</v>
      </c>
    </row>
    <row r="268" spans="1:8">
      <c r="A268" s="139" t="s">
        <v>303</v>
      </c>
      <c r="B268" t="s">
        <v>100</v>
      </c>
      <c r="F268" t="str">
        <f t="shared" si="22"/>
        <v xml:space="preserve">Renaissance Park </v>
      </c>
      <c r="G268" t="str">
        <f t="shared" si="23"/>
        <v xml:space="preserve"> Renaissance Park</v>
      </c>
      <c r="H268">
        <f t="shared" si="24"/>
        <v>0</v>
      </c>
    </row>
    <row r="269" spans="1:8">
      <c r="A269" s="139" t="s">
        <v>303</v>
      </c>
      <c r="B269" t="s">
        <v>105</v>
      </c>
      <c r="C269">
        <v>299</v>
      </c>
      <c r="D269" t="s">
        <v>14</v>
      </c>
      <c r="E269">
        <v>215</v>
      </c>
      <c r="F269" t="str">
        <f t="shared" si="22"/>
        <v>WoodCreek Silverton</v>
      </c>
      <c r="G269" t="str">
        <f t="shared" si="23"/>
        <v>Silverton WoodCreek</v>
      </c>
      <c r="H269">
        <f t="shared" si="24"/>
        <v>84</v>
      </c>
    </row>
    <row r="270" spans="1:8">
      <c r="A270" s="139" t="s">
        <v>303</v>
      </c>
      <c r="B270" t="s">
        <v>51</v>
      </c>
      <c r="C270">
        <v>317</v>
      </c>
      <c r="D270" t="s">
        <v>65</v>
      </c>
      <c r="E270">
        <v>185</v>
      </c>
      <c r="F270" t="str">
        <f t="shared" si="22"/>
        <v>Summerfield North Hasentree</v>
      </c>
      <c r="G270" t="str">
        <f t="shared" si="23"/>
        <v>Hasentree Summerfield North</v>
      </c>
      <c r="H270">
        <f t="shared" si="24"/>
        <v>132</v>
      </c>
    </row>
    <row r="271" spans="1:8">
      <c r="A271" s="139" t="s">
        <v>303</v>
      </c>
      <c r="B271" t="s">
        <v>13</v>
      </c>
      <c r="C271">
        <v>310</v>
      </c>
      <c r="D271" t="s">
        <v>3</v>
      </c>
      <c r="E271">
        <v>200</v>
      </c>
      <c r="F271" t="str">
        <f t="shared" si="22"/>
        <v>Scotts Mill Park at West Lake</v>
      </c>
      <c r="G271" t="str">
        <f t="shared" si="23"/>
        <v>Park at West Lake Scotts Mill</v>
      </c>
      <c r="H271">
        <f t="shared" si="24"/>
        <v>110</v>
      </c>
    </row>
    <row r="272" spans="1:8">
      <c r="A272" s="139" t="s">
        <v>303</v>
      </c>
      <c r="B272" t="s">
        <v>18</v>
      </c>
      <c r="C272">
        <v>260</v>
      </c>
      <c r="D272" t="s">
        <v>25</v>
      </c>
      <c r="E272">
        <v>253</v>
      </c>
      <c r="F272" t="str">
        <f t="shared" si="22"/>
        <v>Sunset Ridge Medfield</v>
      </c>
      <c r="G272" t="str">
        <f t="shared" si="23"/>
        <v>Medfield Sunset Ridge</v>
      </c>
      <c r="H272">
        <f t="shared" si="24"/>
        <v>7</v>
      </c>
    </row>
    <row r="273" spans="1:8">
      <c r="A273" s="139" t="s">
        <v>303</v>
      </c>
      <c r="B273" t="s">
        <v>53</v>
      </c>
      <c r="C273">
        <v>258</v>
      </c>
      <c r="D273" t="s">
        <v>50</v>
      </c>
      <c r="E273">
        <v>198</v>
      </c>
      <c r="F273" t="str">
        <f t="shared" si="22"/>
        <v>Stonebridge Quail Hollow</v>
      </c>
      <c r="G273" t="str">
        <f t="shared" si="23"/>
        <v>Quail Hollow Stonebridge</v>
      </c>
      <c r="H273">
        <f t="shared" si="24"/>
        <v>60</v>
      </c>
    </row>
    <row r="274" spans="1:8">
      <c r="A274" s="139" t="s">
        <v>303</v>
      </c>
      <c r="B274" t="s">
        <v>71</v>
      </c>
      <c r="C274">
        <v>230</v>
      </c>
      <c r="D274" t="s">
        <v>72</v>
      </c>
      <c r="E274">
        <v>198</v>
      </c>
      <c r="F274" t="str">
        <f t="shared" si="22"/>
        <v>Kildaire Farms TCC</v>
      </c>
      <c r="G274" t="str">
        <f t="shared" si="23"/>
        <v>TCC Kildaire Farms</v>
      </c>
      <c r="H274">
        <f t="shared" si="24"/>
        <v>32</v>
      </c>
    </row>
    <row r="275" spans="1:8">
      <c r="A275" s="139" t="s">
        <v>303</v>
      </c>
      <c r="B275" t="s">
        <v>6</v>
      </c>
      <c r="C275">
        <v>265.5</v>
      </c>
      <c r="D275" t="s">
        <v>9</v>
      </c>
      <c r="E275">
        <v>248.5</v>
      </c>
      <c r="F275" t="str">
        <f t="shared" si="22"/>
        <v>Greystone Wood Valley</v>
      </c>
      <c r="G275" t="str">
        <f t="shared" si="23"/>
        <v>Wood Valley Greystone</v>
      </c>
      <c r="H275">
        <f t="shared" si="24"/>
        <v>17</v>
      </c>
    </row>
    <row r="276" spans="1:8">
      <c r="A276" s="139" t="s">
        <v>303</v>
      </c>
      <c r="B276" t="s">
        <v>2</v>
      </c>
      <c r="C276">
        <v>266</v>
      </c>
      <c r="D276" t="s">
        <v>97</v>
      </c>
      <c r="E276">
        <v>247</v>
      </c>
      <c r="F276" t="str">
        <f t="shared" si="22"/>
        <v>Wellsley Regency</v>
      </c>
      <c r="G276" t="str">
        <f t="shared" si="23"/>
        <v>Regency Wellsley</v>
      </c>
      <c r="H276">
        <f t="shared" si="24"/>
        <v>19</v>
      </c>
    </row>
    <row r="277" spans="1:8">
      <c r="A277" s="139" t="s">
        <v>303</v>
      </c>
      <c r="B277" t="s">
        <v>26</v>
      </c>
      <c r="C277">
        <v>255.5</v>
      </c>
      <c r="D277" t="s">
        <v>35</v>
      </c>
      <c r="E277">
        <v>242.5</v>
      </c>
      <c r="F277" t="str">
        <f t="shared" si="22"/>
        <v>Weatherstone Weldon Ridge</v>
      </c>
      <c r="G277" t="str">
        <f t="shared" si="23"/>
        <v>Weldon Ridge Weatherstone</v>
      </c>
      <c r="H277">
        <f t="shared" si="24"/>
        <v>13</v>
      </c>
    </row>
    <row r="278" spans="1:8">
      <c r="A278" s="139" t="s">
        <v>303</v>
      </c>
      <c r="B278" t="s">
        <v>276</v>
      </c>
      <c r="C278">
        <v>241</v>
      </c>
      <c r="D278" t="s">
        <v>277</v>
      </c>
      <c r="E278">
        <v>117</v>
      </c>
      <c r="F278" t="str">
        <f t="shared" ref="F278" si="25">_xlfn.CONCAT(B278," ",D278)</f>
        <v>Breckenridge Sweetwater</v>
      </c>
      <c r="G278" t="str">
        <f t="shared" ref="G278" si="26">_xlfn.CONCAT(D278," ",B278)</f>
        <v>Sweetwater Breckenridge</v>
      </c>
      <c r="H278">
        <f t="shared" ref="H278" si="27">C278-E278</f>
        <v>124</v>
      </c>
    </row>
  </sheetData>
  <autoFilter ref="G1:G276" xr:uid="{4F44F5B1-D88D-4CF7-B95E-A44F704CB96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6:T68"/>
  <sheetViews>
    <sheetView workbookViewId="0"/>
  </sheetViews>
  <sheetFormatPr defaultRowHeight="21" customHeight="1"/>
  <cols>
    <col min="1" max="2" width="9.140625" style="70"/>
    <col min="13" max="13" width="12.85546875" customWidth="1"/>
    <col min="14" max="14" width="12.7109375" customWidth="1"/>
  </cols>
  <sheetData>
    <row r="16" spans="3:3" ht="21" customHeight="1">
      <c r="C16" t="s">
        <v>158</v>
      </c>
    </row>
    <row r="17" spans="3:14" ht="21" customHeight="1">
      <c r="G17">
        <f>188+33</f>
        <v>221</v>
      </c>
      <c r="I17">
        <f>221-18</f>
        <v>203</v>
      </c>
    </row>
    <row r="18" spans="3:14" ht="21" customHeight="1">
      <c r="C18" t="s">
        <v>159</v>
      </c>
      <c r="M18" t="s">
        <v>26</v>
      </c>
    </row>
    <row r="19" spans="3:14" ht="21" customHeight="1">
      <c r="C19" t="s">
        <v>160</v>
      </c>
      <c r="M19" t="s">
        <v>2</v>
      </c>
    </row>
    <row r="20" spans="3:14" ht="21" customHeight="1">
      <c r="C20" t="s">
        <v>161</v>
      </c>
      <c r="M20" t="s">
        <v>36</v>
      </c>
    </row>
    <row r="21" spans="3:14" ht="21" customHeight="1">
      <c r="C21" t="s">
        <v>164</v>
      </c>
      <c r="M21" t="s">
        <v>162</v>
      </c>
      <c r="N21" t="s">
        <v>163</v>
      </c>
    </row>
    <row r="22" spans="3:14" ht="21" customHeight="1">
      <c r="M22" t="s">
        <v>163</v>
      </c>
      <c r="N22" t="s">
        <v>162</v>
      </c>
    </row>
    <row r="23" spans="3:14" ht="21" customHeight="1">
      <c r="M23" t="s">
        <v>14</v>
      </c>
    </row>
    <row r="55" spans="1:20" ht="10.5" customHeight="1">
      <c r="A55" s="133"/>
      <c r="B55" s="133"/>
      <c r="C55" s="132"/>
      <c r="D55" s="132"/>
      <c r="E55" s="132"/>
      <c r="F55" s="132"/>
      <c r="G55" s="132"/>
      <c r="H55" s="132"/>
      <c r="I55" s="132"/>
    </row>
    <row r="59" spans="1:20" ht="21" customHeight="1">
      <c r="A59" s="131" t="s">
        <v>140</v>
      </c>
      <c r="G59" s="131" t="s">
        <v>141</v>
      </c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</row>
    <row r="65" spans="1:6" ht="21" customHeight="1">
      <c r="A65" s="131" t="s">
        <v>136</v>
      </c>
      <c r="C65" s="70"/>
    </row>
    <row r="66" spans="1:6" ht="21" customHeight="1">
      <c r="A66" s="131" t="s">
        <v>137</v>
      </c>
      <c r="C66" s="70"/>
    </row>
    <row r="67" spans="1:6" ht="21" customHeight="1">
      <c r="A67" s="131" t="s">
        <v>137</v>
      </c>
      <c r="C67" s="70"/>
      <c r="F67" s="131" t="s">
        <v>135</v>
      </c>
    </row>
    <row r="68" spans="1:6" ht="21" customHeight="1">
      <c r="A68" s="131" t="s">
        <v>138</v>
      </c>
      <c r="F68" s="131" t="s">
        <v>139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B2:V37"/>
  <sheetViews>
    <sheetView workbookViewId="0"/>
  </sheetViews>
  <sheetFormatPr defaultColWidth="9.140625" defaultRowHeight="12.75"/>
  <cols>
    <col min="1" max="1" width="5.42578125" style="84" customWidth="1"/>
    <col min="2" max="2" width="9.140625" style="84"/>
    <col min="3" max="3" width="18.85546875" style="85" customWidth="1"/>
    <col min="4" max="4" width="4.5703125" style="85" customWidth="1"/>
    <col min="5" max="5" width="9.140625" style="84"/>
    <col min="6" max="6" width="18.85546875" style="85" customWidth="1"/>
    <col min="7" max="7" width="4.5703125" style="85" customWidth="1"/>
    <col min="8" max="8" width="9.140625" style="84"/>
    <col min="9" max="9" width="18.85546875" style="85" customWidth="1"/>
    <col min="10" max="10" width="4.5703125" style="85" customWidth="1"/>
    <col min="11" max="11" width="9.140625" style="84"/>
    <col min="12" max="12" width="19.42578125" style="84" customWidth="1"/>
    <col min="13" max="13" width="4.5703125" style="84" customWidth="1"/>
    <col min="14" max="14" width="9.140625" style="84"/>
    <col min="15" max="15" width="17.42578125" style="84" customWidth="1"/>
    <col min="16" max="16" width="4.5703125" style="84" customWidth="1"/>
    <col min="17" max="17" width="9.140625" style="84"/>
    <col min="18" max="18" width="19.42578125" style="84" customWidth="1"/>
    <col min="19" max="19" width="4.5703125" style="84" customWidth="1"/>
    <col min="20" max="16384" width="9.140625" style="84"/>
  </cols>
  <sheetData>
    <row r="2" spans="2:22" ht="21">
      <c r="C2" s="128" t="s">
        <v>126</v>
      </c>
    </row>
    <row r="4" spans="2:22">
      <c r="B4" s="116" t="s">
        <v>123</v>
      </c>
      <c r="C4" s="115" t="s">
        <v>107</v>
      </c>
      <c r="D4" s="115"/>
      <c r="E4" s="114" t="s">
        <v>123</v>
      </c>
      <c r="F4" s="113" t="s">
        <v>107</v>
      </c>
      <c r="G4" s="113"/>
      <c r="H4" s="112" t="s">
        <v>123</v>
      </c>
      <c r="I4" s="111" t="s">
        <v>107</v>
      </c>
      <c r="J4" s="111"/>
      <c r="K4" s="110" t="s">
        <v>123</v>
      </c>
      <c r="L4" s="109" t="s">
        <v>107</v>
      </c>
      <c r="M4" s="109"/>
      <c r="N4" s="108" t="s">
        <v>123</v>
      </c>
      <c r="O4" s="107" t="s">
        <v>107</v>
      </c>
      <c r="P4" s="107"/>
      <c r="Q4" s="106" t="s">
        <v>123</v>
      </c>
      <c r="R4" s="105" t="s">
        <v>107</v>
      </c>
      <c r="S4" s="95"/>
      <c r="T4" s="98"/>
      <c r="U4" s="98"/>
      <c r="V4" s="98"/>
    </row>
    <row r="5" spans="2:22" ht="8.25" customHeight="1">
      <c r="B5" s="104"/>
      <c r="C5" s="93"/>
      <c r="D5" s="93"/>
      <c r="E5" s="103"/>
      <c r="F5" s="91"/>
      <c r="G5" s="91"/>
      <c r="H5" s="102"/>
      <c r="I5" s="89"/>
      <c r="J5" s="89"/>
      <c r="K5" s="101"/>
      <c r="L5" s="97"/>
      <c r="M5" s="97"/>
      <c r="N5" s="100"/>
      <c r="O5" s="96"/>
      <c r="P5" s="96"/>
      <c r="Q5" s="99"/>
      <c r="R5" s="95"/>
      <c r="S5" s="95"/>
      <c r="T5" s="98"/>
      <c r="U5" s="98"/>
      <c r="V5" s="98"/>
    </row>
    <row r="6" spans="2:22">
      <c r="B6" s="94"/>
      <c r="C6" s="93" t="s">
        <v>78</v>
      </c>
      <c r="D6" s="93"/>
      <c r="E6" s="92"/>
      <c r="F6" s="91" t="s">
        <v>19</v>
      </c>
      <c r="G6" s="91"/>
      <c r="H6" s="90"/>
      <c r="I6" s="89" t="s">
        <v>25</v>
      </c>
      <c r="J6" s="89"/>
      <c r="K6" s="88"/>
      <c r="L6" s="97" t="s">
        <v>19</v>
      </c>
      <c r="M6" s="97"/>
      <c r="N6" s="87"/>
      <c r="O6" s="96" t="s">
        <v>78</v>
      </c>
      <c r="P6" s="96"/>
      <c r="Q6" s="86"/>
      <c r="R6" s="95" t="s">
        <v>25</v>
      </c>
      <c r="S6" s="95"/>
    </row>
    <row r="7" spans="2:22">
      <c r="B7" s="94">
        <v>-53</v>
      </c>
      <c r="C7" s="93">
        <v>59</v>
      </c>
      <c r="D7" s="93"/>
      <c r="E7" s="92">
        <v>-85</v>
      </c>
      <c r="F7" s="91">
        <v>41</v>
      </c>
      <c r="G7" s="91"/>
      <c r="H7" s="90">
        <f>-233+167</f>
        <v>-66</v>
      </c>
      <c r="I7" s="89">
        <v>24</v>
      </c>
      <c r="J7" s="89"/>
      <c r="K7" s="88">
        <f>182-129</f>
        <v>53</v>
      </c>
      <c r="L7" s="97">
        <v>-59</v>
      </c>
      <c r="M7" s="97"/>
      <c r="N7" s="87">
        <f>233-167</f>
        <v>66</v>
      </c>
      <c r="O7" s="96">
        <v>-24</v>
      </c>
      <c r="P7" s="96"/>
      <c r="Q7" s="86">
        <v>85</v>
      </c>
      <c r="R7" s="95">
        <v>-41</v>
      </c>
      <c r="S7" s="95"/>
    </row>
    <row r="8" spans="2:22">
      <c r="B8" s="117">
        <v>66</v>
      </c>
      <c r="C8" s="93" t="s">
        <v>19</v>
      </c>
      <c r="D8" s="93">
        <v>-24</v>
      </c>
      <c r="E8" s="118">
        <v>53</v>
      </c>
      <c r="F8" s="91" t="s">
        <v>25</v>
      </c>
      <c r="G8" s="91">
        <v>-59</v>
      </c>
      <c r="H8" s="119">
        <v>85</v>
      </c>
      <c r="I8" s="89" t="s">
        <v>78</v>
      </c>
      <c r="J8" s="89">
        <v>-41</v>
      </c>
      <c r="K8" s="120">
        <v>-85</v>
      </c>
      <c r="L8" s="97" t="s">
        <v>78</v>
      </c>
      <c r="M8" s="97">
        <v>41</v>
      </c>
      <c r="N8" s="121">
        <v>-53</v>
      </c>
      <c r="O8" s="96" t="s">
        <v>25</v>
      </c>
      <c r="P8" s="96">
        <v>59</v>
      </c>
      <c r="Q8" s="122">
        <v>-66</v>
      </c>
      <c r="R8" s="95" t="s">
        <v>19</v>
      </c>
      <c r="S8" s="95">
        <v>24</v>
      </c>
    </row>
    <row r="9" spans="2:22">
      <c r="B9" s="94">
        <f>-238+153</f>
        <v>-85</v>
      </c>
      <c r="C9" s="93">
        <v>41</v>
      </c>
      <c r="D9" s="93"/>
      <c r="E9" s="92">
        <f>-233+167</f>
        <v>-66</v>
      </c>
      <c r="F9" s="91">
        <v>24</v>
      </c>
      <c r="G9" s="91"/>
      <c r="H9" s="90">
        <v>-53</v>
      </c>
      <c r="I9" s="89">
        <v>59</v>
      </c>
      <c r="J9" s="89"/>
      <c r="K9" s="88">
        <f>233-167</f>
        <v>66</v>
      </c>
      <c r="L9" s="97">
        <v>-24</v>
      </c>
      <c r="M9" s="97"/>
      <c r="N9" s="87">
        <f>238-153</f>
        <v>85</v>
      </c>
      <c r="O9" s="96">
        <v>-41</v>
      </c>
      <c r="P9" s="96"/>
      <c r="Q9" s="86">
        <v>53</v>
      </c>
      <c r="R9" s="95">
        <v>-59</v>
      </c>
      <c r="S9" s="95"/>
    </row>
    <row r="10" spans="2:22">
      <c r="B10" s="94"/>
      <c r="C10" s="93" t="s">
        <v>25</v>
      </c>
      <c r="D10" s="93"/>
      <c r="E10" s="92"/>
      <c r="F10" s="91" t="s">
        <v>78</v>
      </c>
      <c r="G10" s="91"/>
      <c r="H10" s="90"/>
      <c r="I10" s="89" t="s">
        <v>19</v>
      </c>
      <c r="J10" s="89"/>
      <c r="K10" s="88"/>
      <c r="L10" s="97" t="s">
        <v>25</v>
      </c>
      <c r="M10" s="97"/>
      <c r="N10" s="87"/>
      <c r="O10" s="96" t="s">
        <v>19</v>
      </c>
      <c r="P10" s="96"/>
      <c r="Q10" s="86"/>
      <c r="R10" s="95" t="s">
        <v>78</v>
      </c>
      <c r="S10" s="95"/>
    </row>
    <row r="11" spans="2:22">
      <c r="B11" s="94"/>
      <c r="C11" s="93"/>
      <c r="D11" s="93"/>
      <c r="E11" s="92"/>
      <c r="F11" s="91"/>
      <c r="G11" s="91"/>
      <c r="H11" s="90"/>
      <c r="I11" s="89"/>
      <c r="J11" s="89"/>
      <c r="K11" s="88"/>
      <c r="L11" s="88"/>
      <c r="M11" s="88"/>
      <c r="N11" s="87"/>
      <c r="O11" s="87"/>
      <c r="P11" s="87"/>
      <c r="Q11" s="86"/>
      <c r="R11" s="86"/>
      <c r="S11" s="86"/>
    </row>
    <row r="13" spans="2:22">
      <c r="C13" s="85">
        <f>C7+C9+B7+B9+B8+D8</f>
        <v>4</v>
      </c>
      <c r="F13" s="85">
        <f>F7+F9+E7+E9+E8+G8</f>
        <v>-92</v>
      </c>
      <c r="I13" s="85">
        <f>I7+I9+H7+H9+H8+J8</f>
        <v>8</v>
      </c>
      <c r="L13" s="85">
        <f>L7+L9+K7+K9+K8+M8</f>
        <v>-8</v>
      </c>
      <c r="M13" s="85"/>
      <c r="O13" s="123">
        <f>O7+O9+N7+N9+N8+P8</f>
        <v>92</v>
      </c>
      <c r="P13" s="85"/>
      <c r="R13" s="85">
        <f>R7+R9+Q7+Q9+Q8+S8</f>
        <v>-4</v>
      </c>
      <c r="S13" s="85"/>
    </row>
    <row r="28" spans="2:19">
      <c r="B28" s="116" t="s">
        <v>123</v>
      </c>
      <c r="C28" s="115" t="s">
        <v>107</v>
      </c>
      <c r="D28" s="115"/>
      <c r="E28" s="114" t="s">
        <v>123</v>
      </c>
      <c r="F28" s="113" t="s">
        <v>107</v>
      </c>
      <c r="G28" s="113"/>
      <c r="H28" s="112" t="s">
        <v>123</v>
      </c>
      <c r="I28" s="111" t="s">
        <v>107</v>
      </c>
      <c r="J28" s="111"/>
      <c r="K28" s="110" t="s">
        <v>123</v>
      </c>
      <c r="L28" s="109" t="s">
        <v>107</v>
      </c>
      <c r="M28" s="109"/>
      <c r="N28" s="108" t="s">
        <v>123</v>
      </c>
      <c r="O28" s="107" t="s">
        <v>107</v>
      </c>
      <c r="P28" s="107"/>
      <c r="Q28" s="106" t="s">
        <v>123</v>
      </c>
      <c r="R28" s="105" t="s">
        <v>107</v>
      </c>
      <c r="S28" s="95"/>
    </row>
    <row r="29" spans="2:19">
      <c r="B29" s="104"/>
      <c r="C29" s="93"/>
      <c r="D29" s="93"/>
      <c r="E29" s="103"/>
      <c r="F29" s="91"/>
      <c r="G29" s="91"/>
      <c r="H29" s="102"/>
      <c r="I29" s="89"/>
      <c r="J29" s="89"/>
      <c r="K29" s="101"/>
      <c r="L29" s="97"/>
      <c r="M29" s="97"/>
      <c r="N29" s="100"/>
      <c r="O29" s="96"/>
      <c r="P29" s="96"/>
      <c r="Q29" s="99"/>
      <c r="R29" s="95"/>
      <c r="S29" s="95"/>
    </row>
    <row r="30" spans="2:19">
      <c r="B30" s="94"/>
      <c r="C30" s="93" t="s">
        <v>30</v>
      </c>
      <c r="D30" s="93"/>
      <c r="E30" s="92"/>
      <c r="F30" s="91" t="s">
        <v>30</v>
      </c>
      <c r="G30" s="91"/>
      <c r="H30" s="90"/>
      <c r="I30" s="89" t="s">
        <v>27</v>
      </c>
      <c r="J30" s="89"/>
      <c r="K30" s="88"/>
      <c r="L30" s="97" t="s">
        <v>27</v>
      </c>
      <c r="M30" s="97"/>
      <c r="N30" s="87"/>
      <c r="O30" s="96" t="s">
        <v>28</v>
      </c>
      <c r="P30" s="96"/>
      <c r="Q30" s="86"/>
      <c r="R30" s="95" t="s">
        <v>28</v>
      </c>
      <c r="S30" s="95"/>
    </row>
    <row r="31" spans="2:19">
      <c r="B31" s="94">
        <f>-47-115</f>
        <v>-162</v>
      </c>
      <c r="C31" s="93">
        <v>23</v>
      </c>
      <c r="D31" s="93"/>
      <c r="E31" s="92">
        <v>313</v>
      </c>
      <c r="F31" s="91">
        <v>-3</v>
      </c>
      <c r="G31" s="91"/>
      <c r="H31" s="90">
        <v>4</v>
      </c>
      <c r="I31" s="89">
        <v>72</v>
      </c>
      <c r="J31" s="89"/>
      <c r="K31" s="88">
        <v>162</v>
      </c>
      <c r="L31" s="97">
        <v>-23</v>
      </c>
      <c r="M31" s="97"/>
      <c r="N31" s="87">
        <v>-4</v>
      </c>
      <c r="O31" s="96">
        <v>-72</v>
      </c>
      <c r="P31" s="96"/>
      <c r="Q31" s="86">
        <v>-313</v>
      </c>
      <c r="R31" s="95">
        <v>3</v>
      </c>
      <c r="S31" s="95"/>
    </row>
    <row r="32" spans="2:19">
      <c r="B32" s="117">
        <f>262+51</f>
        <v>313</v>
      </c>
      <c r="C32" s="93" t="s">
        <v>27</v>
      </c>
      <c r="D32" s="93">
        <v>-3</v>
      </c>
      <c r="E32" s="118">
        <v>-162</v>
      </c>
      <c r="F32" s="91" t="s">
        <v>28</v>
      </c>
      <c r="G32" s="91">
        <v>23</v>
      </c>
      <c r="H32" s="119">
        <v>162</v>
      </c>
      <c r="I32" s="89" t="s">
        <v>28</v>
      </c>
      <c r="J32" s="89">
        <v>-23</v>
      </c>
      <c r="K32" s="120">
        <v>4</v>
      </c>
      <c r="L32" s="97" t="s">
        <v>30</v>
      </c>
      <c r="M32" s="97">
        <v>72</v>
      </c>
      <c r="N32" s="121">
        <v>-313</v>
      </c>
      <c r="O32" s="96" t="s">
        <v>27</v>
      </c>
      <c r="P32" s="96">
        <v>3</v>
      </c>
      <c r="Q32" s="122">
        <v>-4</v>
      </c>
      <c r="R32" s="95" t="s">
        <v>30</v>
      </c>
      <c r="S32" s="95">
        <v>-72</v>
      </c>
    </row>
    <row r="33" spans="2:19">
      <c r="B33" s="94">
        <f>87-83</f>
        <v>4</v>
      </c>
      <c r="C33" s="93">
        <v>72</v>
      </c>
      <c r="D33" s="93"/>
      <c r="E33" s="92">
        <v>-4</v>
      </c>
      <c r="F33" s="91">
        <v>-72</v>
      </c>
      <c r="G33" s="91"/>
      <c r="H33" s="90">
        <v>-313</v>
      </c>
      <c r="I33" s="89">
        <v>3</v>
      </c>
      <c r="J33" s="89"/>
      <c r="K33" s="88">
        <v>313</v>
      </c>
      <c r="L33" s="97">
        <v>-3</v>
      </c>
      <c r="M33" s="97"/>
      <c r="N33" s="87">
        <v>162</v>
      </c>
      <c r="O33" s="96">
        <v>-23</v>
      </c>
      <c r="P33" s="96"/>
      <c r="Q33" s="86">
        <v>-162</v>
      </c>
      <c r="R33" s="95">
        <v>23</v>
      </c>
      <c r="S33" s="95"/>
    </row>
    <row r="34" spans="2:19">
      <c r="B34" s="94"/>
      <c r="C34" s="93" t="s">
        <v>28</v>
      </c>
      <c r="D34" s="93"/>
      <c r="E34" s="92"/>
      <c r="F34" s="91" t="s">
        <v>27</v>
      </c>
      <c r="G34" s="91"/>
      <c r="H34" s="90"/>
      <c r="I34" s="89" t="s">
        <v>30</v>
      </c>
      <c r="J34" s="89"/>
      <c r="K34" s="88"/>
      <c r="L34" s="97" t="s">
        <v>28</v>
      </c>
      <c r="M34" s="97"/>
      <c r="N34" s="87"/>
      <c r="O34" s="96" t="s">
        <v>30</v>
      </c>
      <c r="P34" s="96"/>
      <c r="Q34" s="86"/>
      <c r="R34" s="95" t="s">
        <v>27</v>
      </c>
      <c r="S34" s="95"/>
    </row>
    <row r="35" spans="2:19">
      <c r="B35" s="94"/>
      <c r="C35" s="93"/>
      <c r="D35" s="93"/>
      <c r="E35" s="92"/>
      <c r="F35" s="91"/>
      <c r="G35" s="91"/>
      <c r="H35" s="90"/>
      <c r="I35" s="89"/>
      <c r="J35" s="89"/>
      <c r="K35" s="88"/>
      <c r="L35" s="88"/>
      <c r="M35" s="88"/>
      <c r="N35" s="87"/>
      <c r="O35" s="87"/>
      <c r="P35" s="87"/>
      <c r="Q35" s="86"/>
      <c r="R35" s="86"/>
      <c r="S35" s="86"/>
    </row>
    <row r="37" spans="2:19">
      <c r="C37" s="85">
        <f>C31+C33+B31+B33+B32+D32</f>
        <v>247</v>
      </c>
      <c r="F37" s="85">
        <f>F31+F33+E31+E33+E32+G32</f>
        <v>95</v>
      </c>
      <c r="I37" s="85">
        <f>I31+I33+H31+H33+H32+J32</f>
        <v>-95</v>
      </c>
      <c r="L37" s="123">
        <f>L31+L33+K31+K33+K32+M32</f>
        <v>525</v>
      </c>
      <c r="O37" s="85">
        <f>O31+O33+N31+N33+N32+P32</f>
        <v>-247</v>
      </c>
      <c r="P37" s="85"/>
      <c r="R37" s="85">
        <f>R31+R33+Q31+Q33+Q32+S32</f>
        <v>-525</v>
      </c>
      <c r="S37" s="8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tabColor theme="6" tint="0.39997558519241921"/>
    <pageSetUpPr autoPageBreaks="0" fitToPage="1"/>
  </sheetPr>
  <dimension ref="A1:S57"/>
  <sheetViews>
    <sheetView topLeftCell="A36" workbookViewId="0">
      <selection activeCell="J54" sqref="A1:J54"/>
    </sheetView>
  </sheetViews>
  <sheetFormatPr defaultRowHeight="15"/>
  <cols>
    <col min="1" max="1" width="4.7109375" customWidth="1"/>
    <col min="2" max="2" width="27.7109375" customWidth="1"/>
    <col min="3" max="3" width="9.42578125" bestFit="1" customWidth="1"/>
    <col min="4" max="4" width="5.28515625" bestFit="1" customWidth="1"/>
    <col min="5" max="5" width="8.28515625" customWidth="1"/>
    <col min="6" max="6" width="9.42578125" bestFit="1" customWidth="1"/>
    <col min="7" max="7" width="7.28515625" customWidth="1"/>
    <col min="8" max="8" width="7.5703125" bestFit="1" customWidth="1"/>
    <col min="9" max="10" width="10.85546875" customWidth="1"/>
    <col min="18" max="18" width="10.140625" bestFit="1" customWidth="1"/>
  </cols>
  <sheetData>
    <row r="1" spans="1:19" ht="21">
      <c r="B1" s="21" t="s">
        <v>80</v>
      </c>
      <c r="C1" s="24" t="s">
        <v>76</v>
      </c>
      <c r="D1" s="24"/>
      <c r="E1" s="24"/>
      <c r="F1" s="24" t="s">
        <v>76</v>
      </c>
      <c r="G1" s="24"/>
      <c r="H1" s="24"/>
      <c r="I1" s="24">
        <f>South!B2</f>
        <v>2025</v>
      </c>
      <c r="J1" s="24">
        <f>South!B2</f>
        <v>2025</v>
      </c>
      <c r="L1" s="134"/>
      <c r="M1" s="39"/>
    </row>
    <row r="2" spans="1:19">
      <c r="C2" s="24">
        <v>2026</v>
      </c>
      <c r="D2" s="24">
        <v>2025</v>
      </c>
      <c r="E2" s="24" t="s">
        <v>43</v>
      </c>
      <c r="F2" s="24">
        <f>South!A2</f>
        <v>2026</v>
      </c>
      <c r="G2" s="24">
        <f>South!B2</f>
        <v>2025</v>
      </c>
      <c r="H2" s="24" t="s">
        <v>69</v>
      </c>
      <c r="I2" s="24" t="s">
        <v>69</v>
      </c>
      <c r="J2" s="24" t="s">
        <v>75</v>
      </c>
    </row>
    <row r="3" spans="1:19" ht="15.75" thickBot="1">
      <c r="C3" s="24" t="s">
        <v>43</v>
      </c>
      <c r="D3" s="24" t="s">
        <v>43</v>
      </c>
      <c r="E3" s="24" t="s">
        <v>77</v>
      </c>
      <c r="F3" s="24" t="s">
        <v>69</v>
      </c>
      <c r="G3" s="24" t="s">
        <v>69</v>
      </c>
      <c r="H3" s="24" t="s">
        <v>77</v>
      </c>
      <c r="I3" s="24" t="s">
        <v>74</v>
      </c>
      <c r="J3" s="24" t="s">
        <v>74</v>
      </c>
      <c r="L3" s="24" t="s">
        <v>178</v>
      </c>
      <c r="R3" t="s">
        <v>274</v>
      </c>
    </row>
    <row r="4" spans="1:19">
      <c r="A4">
        <f>C4</f>
        <v>1</v>
      </c>
      <c r="B4" t="str">
        <f>VLOOKUP(A4,South!A:M,3,FALSE)</f>
        <v>Cary</v>
      </c>
      <c r="C4" s="26">
        <v>1</v>
      </c>
      <c r="D4" s="27">
        <f>VLOOKUP(A4,South!A:B,2,FALSE)</f>
        <v>1</v>
      </c>
      <c r="E4" s="27" t="str">
        <f t="shared" ref="E4:E35" si="0">IF(D4=C4,"Same",IF(D4&gt;C4,CONCATENATE("Up ",D4-C4),CONCATENATE("Down ",C4-D4)))</f>
        <v>Same</v>
      </c>
      <c r="F4" s="27">
        <f t="shared" ref="F4:G35" si="1">ROUND(C4/4+0.49,0)</f>
        <v>1</v>
      </c>
      <c r="G4" s="27">
        <f t="shared" si="1"/>
        <v>1</v>
      </c>
      <c r="H4" s="27" t="str">
        <f t="shared" ref="H4:H35" si="2">IF(G4=F4,"Same",IF(G4&gt;F4,CONCATENATE("Up ",G4-F4),CONCATENATE("Down ",F4-G4)))</f>
        <v>Same</v>
      </c>
      <c r="I4" s="27" t="str">
        <f>VLOOKUP(B4,'South Standings'!$A$2:$C$51,2,FALSE)</f>
        <v>3 / 0 / 0 / 0</v>
      </c>
      <c r="J4" s="29" t="str">
        <f>VLOOKUP(B4,'South Standings'!$A$2:$C$51,3,FALSE)</f>
        <v>5 / 1 / 0 / 0</v>
      </c>
      <c r="L4">
        <f>+D4-C4</f>
        <v>0</v>
      </c>
      <c r="R4" t="str">
        <f>J4</f>
        <v>5 / 1 / 0 / 0</v>
      </c>
      <c r="S4">
        <f>AVERAGE(3,5,6,6)</f>
        <v>5</v>
      </c>
    </row>
    <row r="5" spans="1:19">
      <c r="A5">
        <f t="shared" ref="A5:A53" si="3">C5</f>
        <v>2</v>
      </c>
      <c r="B5" t="str">
        <f>VLOOKUP(A5,South!A:M,3,FALSE)</f>
        <v>Cary Park</v>
      </c>
      <c r="C5" s="25">
        <v>2</v>
      </c>
      <c r="D5" s="22">
        <f>VLOOKUP(A5,South!A:B,2,FALSE)</f>
        <v>3</v>
      </c>
      <c r="E5" s="22" t="str">
        <f t="shared" si="0"/>
        <v>Up 1</v>
      </c>
      <c r="F5" s="22">
        <f t="shared" si="1"/>
        <v>1</v>
      </c>
      <c r="G5" s="22">
        <f t="shared" si="1"/>
        <v>1</v>
      </c>
      <c r="H5" s="22" t="str">
        <f t="shared" si="2"/>
        <v>Same</v>
      </c>
      <c r="I5" s="22" t="str">
        <f>VLOOKUP(B5,'South Standings'!$A$2:$C$51,2,FALSE)</f>
        <v>2 / 1 / 0 / 0</v>
      </c>
      <c r="J5" s="30" t="str">
        <f>VLOOKUP(B5,'South Standings'!$A$2:$C$51,3,FALSE)</f>
        <v>4 / 2 / 0 / 0</v>
      </c>
      <c r="L5">
        <f t="shared" ref="L5:L53" si="4">+D5-C5</f>
        <v>1</v>
      </c>
      <c r="R5" t="str">
        <f>J8</f>
        <v>2 / 4 / 0 / 0</v>
      </c>
      <c r="S5">
        <f>AVERAGE(4,3,4,5,4,5,4)</f>
        <v>4.1428571428571432</v>
      </c>
    </row>
    <row r="6" spans="1:19">
      <c r="A6">
        <f t="shared" si="3"/>
        <v>3</v>
      </c>
      <c r="B6" t="str">
        <f>VLOOKUP(A6,South!A:M,3,FALSE)</f>
        <v>Scottish Hills</v>
      </c>
      <c r="C6" s="25">
        <v>3</v>
      </c>
      <c r="D6" s="22">
        <f>VLOOKUP(A6,South!A:B,2,FALSE)</f>
        <v>2</v>
      </c>
      <c r="E6" s="22" t="str">
        <f t="shared" si="0"/>
        <v>Down 1</v>
      </c>
      <c r="F6" s="22">
        <f t="shared" si="1"/>
        <v>1</v>
      </c>
      <c r="G6" s="22">
        <f t="shared" si="1"/>
        <v>1</v>
      </c>
      <c r="H6" s="22" t="str">
        <f t="shared" si="2"/>
        <v>Same</v>
      </c>
      <c r="I6" s="22" t="str">
        <f>VLOOKUP(B6,'South Standings'!$A$2:$C$51,2,FALSE)</f>
        <v>1 / 2 / 0 / 0</v>
      </c>
      <c r="J6" s="30" t="str">
        <f>VLOOKUP(B6,'South Standings'!$A$2:$C$51,3,FALSE)</f>
        <v>2 / 4 / 0 / 0</v>
      </c>
      <c r="L6">
        <f t="shared" si="4"/>
        <v>-1</v>
      </c>
      <c r="R6" t="str">
        <f>J5</f>
        <v>4 / 2 / 0 / 0</v>
      </c>
      <c r="S6">
        <f>AVERAGE(1,3,3,2,4)</f>
        <v>2.6</v>
      </c>
    </row>
    <row r="7" spans="1:19" ht="15.75" thickBot="1">
      <c r="A7">
        <f t="shared" si="3"/>
        <v>4</v>
      </c>
      <c r="B7" t="str">
        <f>VLOOKUP(A7,South!A:M,3,FALSE)</f>
        <v>Sunset Ridge</v>
      </c>
      <c r="C7" s="25">
        <v>4</v>
      </c>
      <c r="D7" s="22">
        <f>VLOOKUP(A7,South!A:B,2,FALSE)</f>
        <v>6</v>
      </c>
      <c r="E7" s="22" t="str">
        <f t="shared" si="0"/>
        <v>Up 2</v>
      </c>
      <c r="F7" s="22">
        <f t="shared" si="1"/>
        <v>1</v>
      </c>
      <c r="G7" s="22">
        <f t="shared" si="1"/>
        <v>2</v>
      </c>
      <c r="H7" s="22" t="str">
        <f t="shared" si="2"/>
        <v>Up 1</v>
      </c>
      <c r="I7" s="22" t="str">
        <f>VLOOKUP(B7,'South Standings'!$A$2:$C$51,2,FALSE)</f>
        <v>2 / 0 / 0 / 1</v>
      </c>
      <c r="J7" s="30" t="str">
        <f>VLOOKUP(B7,'South Standings'!$A$2:$C$51,3,FALSE)</f>
        <v>2 / 2 / 2 / 0</v>
      </c>
      <c r="L7">
        <f t="shared" si="4"/>
        <v>2</v>
      </c>
      <c r="R7" t="str">
        <f>J9</f>
        <v>5 / 1 / 0 / 0</v>
      </c>
      <c r="S7">
        <f>AVERAGE(1,0,0,2,1,5)</f>
        <v>1.5</v>
      </c>
    </row>
    <row r="8" spans="1:19">
      <c r="A8">
        <f t="shared" si="3"/>
        <v>5</v>
      </c>
      <c r="B8" t="str">
        <f>VLOOKUP(A8,South!A:M,3,FALSE)</f>
        <v>Apex</v>
      </c>
      <c r="C8" s="26">
        <v>5</v>
      </c>
      <c r="D8" s="27">
        <f>VLOOKUP(A8,South!A:B,2,FALSE)</f>
        <v>4</v>
      </c>
      <c r="E8" s="27" t="str">
        <f t="shared" si="0"/>
        <v>Down 1</v>
      </c>
      <c r="F8" s="27">
        <f t="shared" si="1"/>
        <v>2</v>
      </c>
      <c r="G8" s="27">
        <f t="shared" si="1"/>
        <v>1</v>
      </c>
      <c r="H8" s="27" t="str">
        <f t="shared" si="2"/>
        <v>Down 1</v>
      </c>
      <c r="I8" s="27" t="str">
        <f>VLOOKUP(B8,'South Standings'!$A$2:$C$51,2,FALSE)</f>
        <v>0 / 3 / 0 / 0</v>
      </c>
      <c r="J8" s="29" t="str">
        <f>VLOOKUP(B8,'South Standings'!$A$2:$C$51,3,FALSE)</f>
        <v>2 / 4 / 0 / 0</v>
      </c>
      <c r="L8">
        <f t="shared" si="4"/>
        <v>-1</v>
      </c>
      <c r="R8" t="str">
        <f>J6</f>
        <v>2 / 4 / 0 / 0</v>
      </c>
      <c r="S8">
        <f>AVERAGE(-1,-1,0,0,-1)</f>
        <v>-0.6</v>
      </c>
    </row>
    <row r="9" spans="1:19">
      <c r="A9">
        <f t="shared" si="3"/>
        <v>6</v>
      </c>
      <c r="B9" t="str">
        <f>VLOOKUP(A9,South!A:M,3,FALSE)</f>
        <v>Shepherds Vineyard</v>
      </c>
      <c r="C9" s="25">
        <v>6</v>
      </c>
      <c r="D9" s="22">
        <f>VLOOKUP(A9,South!A:B,2,FALSE)</f>
        <v>11</v>
      </c>
      <c r="E9" s="22" t="str">
        <f t="shared" si="0"/>
        <v>Up 5</v>
      </c>
      <c r="F9" s="22">
        <f t="shared" si="1"/>
        <v>2</v>
      </c>
      <c r="G9" s="22">
        <f t="shared" si="1"/>
        <v>3</v>
      </c>
      <c r="H9" s="22" t="str">
        <f t="shared" si="2"/>
        <v>Up 1</v>
      </c>
      <c r="I9" s="22" t="str">
        <f>VLOOKUP(B9,'South Standings'!$A$2:$C$51,2,FALSE)</f>
        <v>2 / 1 / 0 / 0</v>
      </c>
      <c r="J9" s="30" t="str">
        <f>VLOOKUP(B9,'South Standings'!$A$2:$C$51,3,FALSE)</f>
        <v>5 / 1 / 0 / 0</v>
      </c>
      <c r="L9">
        <f t="shared" si="4"/>
        <v>5</v>
      </c>
      <c r="R9" t="str">
        <f>J11</f>
        <v>4 / 1 / 1 / 0</v>
      </c>
      <c r="S9">
        <f>AVERAGE(-7,-4,-3,-4,-2,-3,-3,-1,-4,-4,1)</f>
        <v>-3.0909090909090908</v>
      </c>
    </row>
    <row r="10" spans="1:19">
      <c r="A10">
        <f t="shared" si="3"/>
        <v>7</v>
      </c>
      <c r="B10" t="str">
        <f>VLOOKUP(A10,South!A:M,3,FALSE)</f>
        <v>Medfield</v>
      </c>
      <c r="C10" s="25">
        <v>7</v>
      </c>
      <c r="D10" s="22">
        <f>VLOOKUP(A10,South!A:B,2,FALSE)</f>
        <v>5</v>
      </c>
      <c r="E10" s="22" t="str">
        <f t="shared" si="0"/>
        <v>Down 2</v>
      </c>
      <c r="F10" s="22">
        <f t="shared" si="1"/>
        <v>2</v>
      </c>
      <c r="G10" s="22">
        <f t="shared" si="1"/>
        <v>2</v>
      </c>
      <c r="H10" s="22" t="str">
        <f t="shared" si="2"/>
        <v>Same</v>
      </c>
      <c r="I10" s="22" t="str">
        <f>VLOOKUP(B10,'South Standings'!$A$2:$C$51,2,FALSE)</f>
        <v>2 / 1 / 0 / 0</v>
      </c>
      <c r="J10" s="30" t="str">
        <f>VLOOKUP(B10,'South Standings'!$A$2:$C$51,3,FALSE)</f>
        <v>2 / 4 / 0 / 0</v>
      </c>
      <c r="L10">
        <f t="shared" si="4"/>
        <v>-2</v>
      </c>
      <c r="R10" t="str">
        <f>J26</f>
        <v>2 / 4 / 0 / 0</v>
      </c>
      <c r="S10">
        <f>AVERAGE(-6,-4,)</f>
        <v>-3.3333333333333335</v>
      </c>
    </row>
    <row r="11" spans="1:19" ht="15.75" thickBot="1">
      <c r="A11">
        <f t="shared" si="3"/>
        <v>8</v>
      </c>
      <c r="B11" t="str">
        <f>VLOOKUP(A11,South!A:M,3,FALSE)</f>
        <v>Dutchman Downs</v>
      </c>
      <c r="C11" s="31">
        <v>8</v>
      </c>
      <c r="D11" s="22">
        <f>VLOOKUP(A11,South!A:B,2,FALSE)</f>
        <v>9</v>
      </c>
      <c r="E11" s="32" t="str">
        <f t="shared" si="0"/>
        <v>Up 1</v>
      </c>
      <c r="F11" s="32">
        <f t="shared" si="1"/>
        <v>2</v>
      </c>
      <c r="G11" s="32">
        <f t="shared" si="1"/>
        <v>3</v>
      </c>
      <c r="H11" s="32" t="str">
        <f t="shared" si="2"/>
        <v>Up 1</v>
      </c>
      <c r="I11" s="22" t="str">
        <f>VLOOKUP(B11,'South Standings'!$A$2:$C$51,2,FALSE)</f>
        <v>2 / 1 / 0 / 0</v>
      </c>
      <c r="J11" s="30" t="str">
        <f>VLOOKUP(B11,'South Standings'!$A$2:$C$51,3,FALSE)</f>
        <v>4 / 1 / 1 / 0</v>
      </c>
      <c r="L11">
        <f t="shared" si="4"/>
        <v>1</v>
      </c>
    </row>
    <row r="12" spans="1:19">
      <c r="A12">
        <f t="shared" si="3"/>
        <v>9</v>
      </c>
      <c r="B12" t="str">
        <f>VLOOKUP(A12,South!A:M,3,FALSE)</f>
        <v>Abbington</v>
      </c>
      <c r="C12" s="25">
        <v>9</v>
      </c>
      <c r="D12" s="27">
        <f>VLOOKUP(A12,South!A:B,2,FALSE)</f>
        <v>7</v>
      </c>
      <c r="E12" s="22" t="str">
        <f t="shared" si="0"/>
        <v>Down 2</v>
      </c>
      <c r="F12" s="22">
        <f t="shared" si="1"/>
        <v>3</v>
      </c>
      <c r="G12" s="22">
        <f t="shared" si="1"/>
        <v>2</v>
      </c>
      <c r="H12" s="22" t="str">
        <f t="shared" si="2"/>
        <v>Down 1</v>
      </c>
      <c r="I12" s="27" t="str">
        <f>VLOOKUP(B12,'South Standings'!$A$2:$C$51,2,FALSE)</f>
        <v>1 / 1 / 0 / 1</v>
      </c>
      <c r="J12" s="29" t="str">
        <f>VLOOKUP(B12,'South Standings'!$A$2:$C$51,3,FALSE)</f>
        <v>3 / 2 / 1 / 0</v>
      </c>
      <c r="L12">
        <f t="shared" si="4"/>
        <v>-2</v>
      </c>
    </row>
    <row r="13" spans="1:19">
      <c r="A13">
        <f t="shared" si="3"/>
        <v>10</v>
      </c>
      <c r="B13" t="str">
        <f>VLOOKUP(A13,South!A:M,3,FALSE)</f>
        <v>WoodCreek</v>
      </c>
      <c r="C13" s="25">
        <v>10</v>
      </c>
      <c r="D13" s="22">
        <f>VLOOKUP(A13,South!A:B,2,FALSE)</f>
        <v>15</v>
      </c>
      <c r="E13" s="22" t="str">
        <f t="shared" si="0"/>
        <v>Up 5</v>
      </c>
      <c r="F13" s="22">
        <f t="shared" si="1"/>
        <v>3</v>
      </c>
      <c r="G13" s="22">
        <f t="shared" si="1"/>
        <v>4</v>
      </c>
      <c r="H13" s="22" t="str">
        <f t="shared" si="2"/>
        <v>Up 1</v>
      </c>
      <c r="I13" s="22" t="str">
        <f>VLOOKUP(B13,'South Standings'!$A$2:$C$51,2,FALSE)</f>
        <v>3 / 0 / 0 / 0</v>
      </c>
      <c r="J13" s="30" t="str">
        <f>VLOOKUP(B13,'South Standings'!$A$2:$C$51,3,FALSE)</f>
        <v>6 / 0 / 0 / 0</v>
      </c>
      <c r="L13">
        <f t="shared" si="4"/>
        <v>5</v>
      </c>
    </row>
    <row r="14" spans="1:19">
      <c r="A14">
        <f t="shared" si="3"/>
        <v>11</v>
      </c>
      <c r="B14" t="str">
        <f>VLOOKUP(A14,South!A:M,3,FALSE)</f>
        <v>Preston Village</v>
      </c>
      <c r="C14" s="25">
        <v>11</v>
      </c>
      <c r="D14" s="22">
        <f>VLOOKUP(A14,South!A:B,2,FALSE)</f>
        <v>13</v>
      </c>
      <c r="E14" s="22" t="str">
        <f t="shared" si="0"/>
        <v>Up 2</v>
      </c>
      <c r="F14" s="22">
        <f t="shared" si="1"/>
        <v>3</v>
      </c>
      <c r="G14" s="22">
        <f t="shared" si="1"/>
        <v>4</v>
      </c>
      <c r="H14" s="22" t="str">
        <f t="shared" si="2"/>
        <v>Up 1</v>
      </c>
      <c r="I14" s="22" t="str">
        <f>VLOOKUP(B14,'South Standings'!$A$2:$C$51,2,FALSE)</f>
        <v>2 / 1 / 0 / 0</v>
      </c>
      <c r="J14" s="30" t="str">
        <f>VLOOKUP(B14,'South Standings'!$A$2:$C$51,3,FALSE)</f>
        <v>4 / 2 / 0 / 0</v>
      </c>
      <c r="L14">
        <f t="shared" si="4"/>
        <v>2</v>
      </c>
    </row>
    <row r="15" spans="1:19" ht="15.75" thickBot="1">
      <c r="A15">
        <f t="shared" si="3"/>
        <v>12</v>
      </c>
      <c r="B15" t="str">
        <f>VLOOKUP(A15,South!A:M,3,FALSE)</f>
        <v>Lochmere</v>
      </c>
      <c r="C15" s="25">
        <v>12</v>
      </c>
      <c r="D15" s="22">
        <f>VLOOKUP(A15,South!A:B,2,FALSE)</f>
        <v>10</v>
      </c>
      <c r="E15" s="22" t="str">
        <f t="shared" si="0"/>
        <v>Down 2</v>
      </c>
      <c r="F15" s="22">
        <f t="shared" si="1"/>
        <v>3</v>
      </c>
      <c r="G15" s="22">
        <f t="shared" si="1"/>
        <v>3</v>
      </c>
      <c r="H15" s="22" t="str">
        <f t="shared" si="2"/>
        <v>Same</v>
      </c>
      <c r="I15" s="22" t="str">
        <f>VLOOKUP(B15,'South Standings'!$A$2:$C$51,2,FALSE)</f>
        <v>2 / 1 / 0 / 0</v>
      </c>
      <c r="J15" s="30" t="str">
        <f>VLOOKUP(B15,'South Standings'!$A$2:$C$51,3,FALSE)</f>
        <v>3 / 3 / 0 / 0</v>
      </c>
      <c r="L15">
        <f t="shared" si="4"/>
        <v>-2</v>
      </c>
    </row>
    <row r="16" spans="1:19">
      <c r="A16">
        <f t="shared" si="3"/>
        <v>13</v>
      </c>
      <c r="B16" t="str">
        <f>VLOOKUP(A16,South!A:M,3,FALSE)</f>
        <v>Prestonwood</v>
      </c>
      <c r="C16" s="26">
        <v>13</v>
      </c>
      <c r="D16" s="27">
        <f>VLOOKUP(A16,South!A:B,2,FALSE)</f>
        <v>8</v>
      </c>
      <c r="E16" s="27" t="str">
        <f t="shared" si="0"/>
        <v>Down 5</v>
      </c>
      <c r="F16" s="27">
        <f t="shared" si="1"/>
        <v>4</v>
      </c>
      <c r="G16" s="27">
        <f t="shared" si="1"/>
        <v>2</v>
      </c>
      <c r="H16" s="27" t="str">
        <f t="shared" si="2"/>
        <v>Down 2</v>
      </c>
      <c r="I16" s="27" t="str">
        <f>VLOOKUP(B16,'South Standings'!$A$2:$C$51,2,FALSE)</f>
        <v>0 / 3 / 0 / 0</v>
      </c>
      <c r="J16" s="29" t="str">
        <f>VLOOKUP(B16,'South Standings'!$A$2:$C$51,3,FALSE)</f>
        <v>0 / 6 / 0 / 0</v>
      </c>
      <c r="L16">
        <f t="shared" si="4"/>
        <v>-5</v>
      </c>
    </row>
    <row r="17" spans="1:12">
      <c r="A17">
        <f t="shared" si="3"/>
        <v>14</v>
      </c>
      <c r="B17" t="str">
        <f>VLOOKUP(A17,South!A:M,3,FALSE)</f>
        <v>Clubworx</v>
      </c>
      <c r="C17" s="25">
        <v>14</v>
      </c>
      <c r="D17" s="22">
        <f>VLOOKUP(A17,South!A:B,2,FALSE)</f>
        <v>17</v>
      </c>
      <c r="E17" s="22" t="str">
        <f t="shared" si="0"/>
        <v>Up 3</v>
      </c>
      <c r="F17" s="22">
        <f t="shared" si="1"/>
        <v>4</v>
      </c>
      <c r="G17" s="22">
        <f t="shared" si="1"/>
        <v>5</v>
      </c>
      <c r="H17" s="22" t="str">
        <f t="shared" si="2"/>
        <v>Up 1</v>
      </c>
      <c r="I17" s="22" t="str">
        <f>VLOOKUP(B17,'South Standings'!$A$2:$C$51,2,FALSE)</f>
        <v>3 / 0 / 0 / 0</v>
      </c>
      <c r="J17" s="30" t="str">
        <f>VLOOKUP(B17,'South Standings'!$A$2:$C$51,3,FALSE)</f>
        <v>5 / 1 / 0 / 0</v>
      </c>
      <c r="L17">
        <f t="shared" si="4"/>
        <v>3</v>
      </c>
    </row>
    <row r="18" spans="1:12">
      <c r="A18">
        <f t="shared" si="3"/>
        <v>15</v>
      </c>
      <c r="B18" t="str">
        <f>VLOOKUP(A18,South!A:M,3,FALSE)</f>
        <v>Olive Chapel</v>
      </c>
      <c r="C18" s="25">
        <v>15</v>
      </c>
      <c r="D18" s="22">
        <f>VLOOKUP(A18,South!A:B,2,FALSE)</f>
        <v>12</v>
      </c>
      <c r="E18" s="22" t="str">
        <f t="shared" si="0"/>
        <v>Down 3</v>
      </c>
      <c r="F18" s="22">
        <f t="shared" si="1"/>
        <v>4</v>
      </c>
      <c r="G18" s="22">
        <f t="shared" si="1"/>
        <v>3</v>
      </c>
      <c r="H18" s="22" t="str">
        <f t="shared" si="2"/>
        <v>Down 1</v>
      </c>
      <c r="I18" s="22" t="str">
        <f>VLOOKUP(B18,'South Standings'!$A$2:$C$51,2,FALSE)</f>
        <v>0 / 3 / 0 / 0</v>
      </c>
      <c r="J18" s="30" t="str">
        <f>VLOOKUP(B18,'South Standings'!$A$2:$C$51,3,FALSE)</f>
        <v>1 / 5 / 0 / 0</v>
      </c>
      <c r="L18">
        <f t="shared" si="4"/>
        <v>-3</v>
      </c>
    </row>
    <row r="19" spans="1:12" ht="15.75" thickBot="1">
      <c r="A19">
        <f t="shared" si="3"/>
        <v>16</v>
      </c>
      <c r="B19" t="str">
        <f>VLOOKUP(A19,South!A:M,3,FALSE)</f>
        <v>Wellsley</v>
      </c>
      <c r="C19" s="31">
        <v>16</v>
      </c>
      <c r="D19" s="22">
        <f>VLOOKUP(A19,South!A:B,2,FALSE)</f>
        <v>20</v>
      </c>
      <c r="E19" s="32" t="str">
        <f t="shared" si="0"/>
        <v>Up 4</v>
      </c>
      <c r="F19" s="32">
        <f t="shared" si="1"/>
        <v>4</v>
      </c>
      <c r="G19" s="32">
        <f t="shared" si="1"/>
        <v>5</v>
      </c>
      <c r="H19" s="32" t="str">
        <f t="shared" si="2"/>
        <v>Up 1</v>
      </c>
      <c r="I19" s="22" t="str">
        <f>VLOOKUP(B19,'South Standings'!$A$2:$C$51,2,FALSE)</f>
        <v>2 / 1 / 0 / 0</v>
      </c>
      <c r="J19" s="30" t="str">
        <f>VLOOKUP(B19,'South Standings'!$A$2:$C$51,3,FALSE)</f>
        <v>5 / 1 / 0 / 0</v>
      </c>
      <c r="L19">
        <f t="shared" si="4"/>
        <v>4</v>
      </c>
    </row>
    <row r="20" spans="1:12">
      <c r="A20">
        <f t="shared" si="3"/>
        <v>17</v>
      </c>
      <c r="B20" t="str">
        <f>VLOOKUP(A20,South!A:M,3,FALSE)</f>
        <v>Amberly</v>
      </c>
      <c r="C20" s="25">
        <v>17</v>
      </c>
      <c r="D20" s="27">
        <f>VLOOKUP(A20,South!A:B,2,FALSE)</f>
        <v>21</v>
      </c>
      <c r="E20" s="22" t="str">
        <f t="shared" si="0"/>
        <v>Up 4</v>
      </c>
      <c r="F20" s="22">
        <f t="shared" si="1"/>
        <v>5</v>
      </c>
      <c r="G20" s="22">
        <f t="shared" si="1"/>
        <v>6</v>
      </c>
      <c r="H20" s="22" t="str">
        <f t="shared" si="2"/>
        <v>Up 1</v>
      </c>
      <c r="I20" s="27" t="str">
        <f>VLOOKUP(B20,'South Standings'!$A$2:$C$51,2,FALSE)</f>
        <v>3 / 0 / 0 / 0</v>
      </c>
      <c r="J20" s="29" t="str">
        <f>VLOOKUP(B20,'South Standings'!$A$2:$C$51,3,FALSE)</f>
        <v>5 / 1 / 0 / 0</v>
      </c>
      <c r="L20">
        <f t="shared" si="4"/>
        <v>4</v>
      </c>
    </row>
    <row r="21" spans="1:12">
      <c r="A21">
        <f t="shared" si="3"/>
        <v>18</v>
      </c>
      <c r="B21" t="str">
        <f>VLOOKUP(A21,South!A:M,3,FALSE)</f>
        <v>Silverton</v>
      </c>
      <c r="C21" s="25">
        <v>18</v>
      </c>
      <c r="D21" s="22">
        <f>VLOOKUP(A21,South!A:B,2,FALSE)</f>
        <v>16</v>
      </c>
      <c r="E21" s="22" t="str">
        <f t="shared" si="0"/>
        <v>Down 2</v>
      </c>
      <c r="F21" s="22">
        <f t="shared" si="1"/>
        <v>5</v>
      </c>
      <c r="G21" s="22">
        <f t="shared" si="1"/>
        <v>4</v>
      </c>
      <c r="H21" s="22" t="str">
        <f t="shared" si="2"/>
        <v>Down 1</v>
      </c>
      <c r="I21" s="22" t="str">
        <f>VLOOKUP(B21,'South Standings'!$A$2:$C$51,2,FALSE)</f>
        <v>1 / 2 / 0 / 0</v>
      </c>
      <c r="J21" s="30" t="str">
        <f>VLOOKUP(B21,'South Standings'!$A$2:$C$51,3,FALSE)</f>
        <v>3 / 3 / 0 / 0</v>
      </c>
      <c r="L21">
        <f t="shared" si="4"/>
        <v>-2</v>
      </c>
    </row>
    <row r="22" spans="1:12">
      <c r="A22">
        <f t="shared" si="3"/>
        <v>19</v>
      </c>
      <c r="B22" t="str">
        <f>VLOOKUP(A22,South!A:M,3,FALSE)</f>
        <v>Brookstone</v>
      </c>
      <c r="C22" s="25">
        <v>19</v>
      </c>
      <c r="D22" s="22">
        <f>VLOOKUP(A22,South!A:B,2,FALSE)</f>
        <v>18</v>
      </c>
      <c r="E22" s="22" t="str">
        <f t="shared" si="0"/>
        <v>Down 1</v>
      </c>
      <c r="F22" s="22">
        <f t="shared" si="1"/>
        <v>5</v>
      </c>
      <c r="G22" s="22">
        <f t="shared" si="1"/>
        <v>5</v>
      </c>
      <c r="H22" s="22" t="str">
        <f t="shared" si="2"/>
        <v>Same</v>
      </c>
      <c r="I22" s="22" t="str">
        <f>VLOOKUP(B22,'South Standings'!$A$2:$C$51,2,FALSE)</f>
        <v>1 / 2 / 0 / 0</v>
      </c>
      <c r="J22" s="30" t="str">
        <f>VLOOKUP(B22,'South Standings'!$A$2:$C$51,3,FALSE)</f>
        <v>1 / 5 / 0 / 0</v>
      </c>
      <c r="L22">
        <f t="shared" si="4"/>
        <v>-1</v>
      </c>
    </row>
    <row r="23" spans="1:12" ht="15.75" thickBot="1">
      <c r="A23">
        <f t="shared" si="3"/>
        <v>20</v>
      </c>
      <c r="B23" t="str">
        <f>VLOOKUP(A23,South!A:M,3,FALSE)</f>
        <v>Walden Creek</v>
      </c>
      <c r="C23" s="31">
        <v>20</v>
      </c>
      <c r="D23" s="22">
        <f>VLOOKUP(A23,South!A:B,2,FALSE)</f>
        <v>14</v>
      </c>
      <c r="E23" s="22" t="str">
        <f t="shared" si="0"/>
        <v>Down 6</v>
      </c>
      <c r="F23" s="22">
        <f t="shared" si="1"/>
        <v>5</v>
      </c>
      <c r="G23" s="22">
        <f t="shared" si="1"/>
        <v>4</v>
      </c>
      <c r="H23" s="22" t="str">
        <f t="shared" si="2"/>
        <v>Down 1</v>
      </c>
      <c r="I23" s="22" t="str">
        <f>VLOOKUP(B23,'South Standings'!$A$2:$C$51,2,FALSE)</f>
        <v>0 / 3 / 0 / 0</v>
      </c>
      <c r="J23" s="30" t="str">
        <f>VLOOKUP(B23,'South Standings'!$A$2:$C$51,3,FALSE)</f>
        <v>0 / 6 / 0 / 0</v>
      </c>
      <c r="L23">
        <f t="shared" si="4"/>
        <v>-6</v>
      </c>
    </row>
    <row r="24" spans="1:12">
      <c r="A24">
        <f t="shared" si="3"/>
        <v>21</v>
      </c>
      <c r="B24" t="str">
        <f>VLOOKUP(A24,South!A:M,3,FALSE)</f>
        <v>Regency</v>
      </c>
      <c r="C24" s="26">
        <v>21</v>
      </c>
      <c r="D24" s="27">
        <f>VLOOKUP(A24,South!A:B,2,FALSE)</f>
        <v>19</v>
      </c>
      <c r="E24" s="27" t="str">
        <f t="shared" si="0"/>
        <v>Down 2</v>
      </c>
      <c r="F24" s="27">
        <f t="shared" si="1"/>
        <v>6</v>
      </c>
      <c r="G24" s="27">
        <f t="shared" si="1"/>
        <v>5</v>
      </c>
      <c r="H24" s="27" t="str">
        <f t="shared" si="2"/>
        <v>Down 1</v>
      </c>
      <c r="I24" s="27" t="str">
        <f>VLOOKUP(B24,'South Standings'!$A$2:$C$51,2,FALSE)</f>
        <v>0 / 3 / 0 / 0</v>
      </c>
      <c r="J24" s="29" t="str">
        <f>VLOOKUP(B24,'South Standings'!$A$2:$C$51,3,FALSE)</f>
        <v>1 / 5 / 0 / 0</v>
      </c>
      <c r="L24">
        <f t="shared" si="4"/>
        <v>-2</v>
      </c>
    </row>
    <row r="25" spans="1:12">
      <c r="A25">
        <f t="shared" si="3"/>
        <v>22</v>
      </c>
      <c r="B25" t="str">
        <f>VLOOKUP(A25,South!A:M,3,FALSE)</f>
        <v>Oxxford Hunt</v>
      </c>
      <c r="C25" s="25">
        <v>22</v>
      </c>
      <c r="D25" s="22">
        <f>VLOOKUP(A25,South!A:B,2,FALSE)</f>
        <v>25</v>
      </c>
      <c r="E25" s="22" t="str">
        <f t="shared" si="0"/>
        <v>Up 3</v>
      </c>
      <c r="F25" s="22">
        <f t="shared" si="1"/>
        <v>6</v>
      </c>
      <c r="G25" s="22">
        <f t="shared" si="1"/>
        <v>7</v>
      </c>
      <c r="H25" s="22" t="str">
        <f t="shared" si="2"/>
        <v>Up 1</v>
      </c>
      <c r="I25" s="22" t="str">
        <f>VLOOKUP(B25,'South Standings'!$A$2:$C$51,2,FALSE)</f>
        <v>3 / 0 / 0 / 0</v>
      </c>
      <c r="J25" s="30" t="str">
        <f>VLOOKUP(B25,'South Standings'!$A$2:$C$51,3,FALSE)</f>
        <v>5 / 1 / 0 / 0</v>
      </c>
      <c r="L25">
        <f t="shared" si="4"/>
        <v>3</v>
      </c>
    </row>
    <row r="26" spans="1:12">
      <c r="A26">
        <f t="shared" si="3"/>
        <v>23</v>
      </c>
      <c r="B26" t="str">
        <f>VLOOKUP(A26,South!A:M,3,FALSE)</f>
        <v>Highcroft</v>
      </c>
      <c r="C26" s="25">
        <v>23</v>
      </c>
      <c r="D26" s="22">
        <f>VLOOKUP(A26,South!A:B,2,FALSE)</f>
        <v>22</v>
      </c>
      <c r="E26" s="22" t="str">
        <f t="shared" si="0"/>
        <v>Down 1</v>
      </c>
      <c r="F26" s="22">
        <f t="shared" si="1"/>
        <v>6</v>
      </c>
      <c r="G26" s="22">
        <f t="shared" si="1"/>
        <v>6</v>
      </c>
      <c r="H26" s="22" t="str">
        <f t="shared" si="2"/>
        <v>Same</v>
      </c>
      <c r="I26" s="22" t="str">
        <f>VLOOKUP(B26,'South Standings'!$A$2:$C$51,2,FALSE)</f>
        <v>2 / 1 / 0 / 0</v>
      </c>
      <c r="J26" s="30" t="str">
        <f>VLOOKUP(B26,'South Standings'!$A$2:$C$51,3,FALSE)</f>
        <v>2 / 4 / 0 / 0</v>
      </c>
      <c r="L26">
        <f t="shared" si="4"/>
        <v>-1</v>
      </c>
    </row>
    <row r="27" spans="1:12" ht="15.75" thickBot="1">
      <c r="A27">
        <f t="shared" si="3"/>
        <v>24</v>
      </c>
      <c r="B27" t="str">
        <f>VLOOKUP(A27,South!A:M,3,FALSE)</f>
        <v>Life Time Fitness Cary</v>
      </c>
      <c r="C27" s="31">
        <v>24</v>
      </c>
      <c r="D27" s="22">
        <f>VLOOKUP(A27,South!A:B,2,FALSE)</f>
        <v>29</v>
      </c>
      <c r="E27" s="32" t="str">
        <f t="shared" si="0"/>
        <v>Up 5</v>
      </c>
      <c r="F27" s="32">
        <f t="shared" si="1"/>
        <v>6</v>
      </c>
      <c r="G27" s="32">
        <f t="shared" si="1"/>
        <v>8</v>
      </c>
      <c r="H27" s="32" t="str">
        <f t="shared" si="2"/>
        <v>Up 2</v>
      </c>
      <c r="I27" s="22" t="str">
        <f>VLOOKUP(B27,'South Standings'!$A$2:$C$51,2,FALSE)</f>
        <v>3 / 0 / 0 / 0</v>
      </c>
      <c r="J27" s="30" t="str">
        <f>VLOOKUP(B27,'South Standings'!$A$2:$C$51,3,FALSE)</f>
        <v>6 / 0 / 0 / 0</v>
      </c>
      <c r="L27">
        <f t="shared" si="4"/>
        <v>5</v>
      </c>
    </row>
    <row r="28" spans="1:12">
      <c r="A28">
        <f t="shared" si="3"/>
        <v>25</v>
      </c>
      <c r="B28" t="str">
        <f>VLOOKUP(A28,South!A:M,3,FALSE)</f>
        <v>Weldon Ridge</v>
      </c>
      <c r="C28" s="25">
        <v>25</v>
      </c>
      <c r="D28" s="27">
        <f>VLOOKUP(A28,South!A:B,2,FALSE)</f>
        <v>24</v>
      </c>
      <c r="E28" s="22" t="str">
        <f t="shared" si="0"/>
        <v>Down 1</v>
      </c>
      <c r="F28" s="22">
        <f t="shared" si="1"/>
        <v>7</v>
      </c>
      <c r="G28" s="22">
        <f t="shared" si="1"/>
        <v>6</v>
      </c>
      <c r="H28" s="22" t="str">
        <f t="shared" si="2"/>
        <v>Down 1</v>
      </c>
      <c r="I28" s="27" t="str">
        <f>VLOOKUP(B28,'South Standings'!$A$2:$C$51,2,FALSE)</f>
        <v>0 / 3 / 0 / 0</v>
      </c>
      <c r="J28" s="29" t="str">
        <f>VLOOKUP(B28,'South Standings'!$A$2:$C$51,3,FALSE)</f>
        <v>2 / 4 / 0 / 0</v>
      </c>
      <c r="L28">
        <f t="shared" si="4"/>
        <v>-1</v>
      </c>
    </row>
    <row r="29" spans="1:12">
      <c r="A29">
        <f t="shared" si="3"/>
        <v>26</v>
      </c>
      <c r="B29" t="str">
        <f>VLOOKUP(A29,South!A:M,3,FALSE)</f>
        <v>Haddon Hall</v>
      </c>
      <c r="C29" s="25">
        <v>26</v>
      </c>
      <c r="D29" s="22">
        <f>VLOOKUP(A29,South!A:B,2,FALSE)</f>
        <v>26</v>
      </c>
      <c r="E29" s="22" t="str">
        <f t="shared" si="0"/>
        <v>Same</v>
      </c>
      <c r="F29" s="22">
        <f t="shared" si="1"/>
        <v>7</v>
      </c>
      <c r="G29" s="22">
        <f t="shared" si="1"/>
        <v>7</v>
      </c>
      <c r="H29" s="22" t="str">
        <f t="shared" si="2"/>
        <v>Same</v>
      </c>
      <c r="I29" s="22" t="str">
        <f>VLOOKUP(B29,'South Standings'!$A$2:$C$51,2,FALSE)</f>
        <v>1 / 2 / 0 / 0</v>
      </c>
      <c r="J29" s="30" t="str">
        <f>VLOOKUP(B29,'South Standings'!$A$2:$C$51,3,FALSE)</f>
        <v>2 / 4 / 0 / 0</v>
      </c>
      <c r="L29">
        <f t="shared" si="4"/>
        <v>0</v>
      </c>
    </row>
    <row r="30" spans="1:12">
      <c r="A30">
        <f t="shared" si="3"/>
        <v>27</v>
      </c>
      <c r="B30" t="str">
        <f>VLOOKUP(A30,South!A:M,3,FALSE)</f>
        <v>Weatherstone</v>
      </c>
      <c r="C30" s="25">
        <v>27</v>
      </c>
      <c r="D30" s="22">
        <f>VLOOKUP(A30,South!A:B,2,FALSE)</f>
        <v>23</v>
      </c>
      <c r="E30" s="22" t="str">
        <f t="shared" si="0"/>
        <v>Down 4</v>
      </c>
      <c r="F30" s="22">
        <f t="shared" si="1"/>
        <v>7</v>
      </c>
      <c r="G30" s="22">
        <f t="shared" si="1"/>
        <v>6</v>
      </c>
      <c r="H30" s="22" t="str">
        <f t="shared" si="2"/>
        <v>Down 1</v>
      </c>
      <c r="I30" s="22" t="str">
        <f>VLOOKUP(B30,'South Standings'!$A$2:$C$51,2,FALSE)</f>
        <v>1 / 2 / 0 / 0</v>
      </c>
      <c r="J30" s="30" t="str">
        <f>VLOOKUP(B30,'South Standings'!$A$2:$C$51,3,FALSE)</f>
        <v>1 / 5 / 0 / 0</v>
      </c>
      <c r="L30">
        <f t="shared" si="4"/>
        <v>-4</v>
      </c>
    </row>
    <row r="31" spans="1:12" ht="15.75" thickBot="1">
      <c r="A31">
        <f t="shared" si="3"/>
        <v>28</v>
      </c>
      <c r="B31" t="str">
        <f>VLOOKUP(A31,South!A:M,3,FALSE)</f>
        <v>Holly Glen</v>
      </c>
      <c r="C31" s="25">
        <v>28</v>
      </c>
      <c r="D31" s="22">
        <f>VLOOKUP(A31,South!A:B,2,FALSE)</f>
        <v>30</v>
      </c>
      <c r="E31" s="22" t="str">
        <f t="shared" si="0"/>
        <v>Up 2</v>
      </c>
      <c r="F31" s="22">
        <f t="shared" si="1"/>
        <v>7</v>
      </c>
      <c r="G31" s="22">
        <f t="shared" si="1"/>
        <v>8</v>
      </c>
      <c r="H31" s="22" t="str">
        <f t="shared" si="2"/>
        <v>Up 1</v>
      </c>
      <c r="I31" s="22" t="str">
        <f>VLOOKUP(B31,'South Standings'!$A$2:$C$51,2,FALSE)</f>
        <v>2 / 1 / 0 / 0</v>
      </c>
      <c r="J31" s="30" t="str">
        <f>VLOOKUP(B31,'South Standings'!$A$2:$C$51,3,FALSE)</f>
        <v>4 / 2 / 0 / 0</v>
      </c>
      <c r="L31">
        <f t="shared" si="4"/>
        <v>2</v>
      </c>
    </row>
    <row r="32" spans="1:12">
      <c r="A32">
        <f t="shared" si="3"/>
        <v>29</v>
      </c>
      <c r="B32" t="str">
        <f>VLOOKUP(A32,South!A:M,3,FALSE)</f>
        <v>Bella Casa</v>
      </c>
      <c r="C32" s="26">
        <v>29</v>
      </c>
      <c r="D32" s="27">
        <f>VLOOKUP(A32,South!A:B,2,FALSE)</f>
        <v>31</v>
      </c>
      <c r="E32" s="27" t="str">
        <f t="shared" si="0"/>
        <v>Up 2</v>
      </c>
      <c r="F32" s="27">
        <f t="shared" si="1"/>
        <v>8</v>
      </c>
      <c r="G32" s="27">
        <f t="shared" si="1"/>
        <v>8</v>
      </c>
      <c r="H32" s="27" t="str">
        <f t="shared" si="2"/>
        <v>Same</v>
      </c>
      <c r="I32" s="27" t="str">
        <f>VLOOKUP(B32,'South Standings'!$A$2:$C$51,2,FALSE)</f>
        <v>1 / 2 / 0 / 0</v>
      </c>
      <c r="J32" s="29" t="str">
        <f>VLOOKUP(B32,'South Standings'!$A$2:$C$51,3,FALSE)</f>
        <v>4 / 2 / 0 / 0</v>
      </c>
      <c r="L32">
        <f t="shared" si="4"/>
        <v>2</v>
      </c>
    </row>
    <row r="33" spans="1:12">
      <c r="A33">
        <f t="shared" si="3"/>
        <v>30</v>
      </c>
      <c r="B33" t="str">
        <f>VLOOKUP(A33,South!A:M,3,FALSE)</f>
        <v>Scotts Mill</v>
      </c>
      <c r="C33" s="25">
        <v>30</v>
      </c>
      <c r="D33" s="22">
        <f>VLOOKUP(A33,South!A:B,2,FALSE)</f>
        <v>27</v>
      </c>
      <c r="E33" s="22" t="str">
        <f t="shared" si="0"/>
        <v>Down 3</v>
      </c>
      <c r="F33" s="22">
        <f t="shared" si="1"/>
        <v>8</v>
      </c>
      <c r="G33" s="22">
        <f t="shared" si="1"/>
        <v>7</v>
      </c>
      <c r="H33" s="22" t="str">
        <f t="shared" si="2"/>
        <v>Down 1</v>
      </c>
      <c r="I33" s="22" t="str">
        <f>VLOOKUP(B33,'South Standings'!$A$2:$C$51,2,FALSE)</f>
        <v>1 / 2 / 0 / 0</v>
      </c>
      <c r="J33" s="30" t="str">
        <f>VLOOKUP(B33,'South Standings'!$A$2:$C$51,3,FALSE)</f>
        <v>2 / 4 / 0 / 0</v>
      </c>
      <c r="L33">
        <f t="shared" si="4"/>
        <v>-3</v>
      </c>
    </row>
    <row r="34" spans="1:12">
      <c r="A34">
        <f t="shared" si="3"/>
        <v>31</v>
      </c>
      <c r="B34" t="str">
        <f>VLOOKUP(A34,South!A:M,3,FALSE)</f>
        <v>Kitts Creek</v>
      </c>
      <c r="C34" s="25">
        <v>31</v>
      </c>
      <c r="D34" s="22">
        <f>VLOOKUP(A34,South!A:B,2,FALSE)</f>
        <v>37</v>
      </c>
      <c r="E34" s="22" t="str">
        <f t="shared" si="0"/>
        <v>Up 6</v>
      </c>
      <c r="F34" s="22">
        <f t="shared" si="1"/>
        <v>8</v>
      </c>
      <c r="G34" s="22">
        <f t="shared" si="1"/>
        <v>10</v>
      </c>
      <c r="H34" s="22" t="str">
        <f t="shared" si="2"/>
        <v>Up 2</v>
      </c>
      <c r="I34" s="22" t="str">
        <f>VLOOKUP(B34,'South Standings'!$A$2:$C$51,2,FALSE)</f>
        <v>3 / 0 / 0 / 0</v>
      </c>
      <c r="J34" s="30" t="str">
        <f>VLOOKUP(B34,'South Standings'!$A$2:$C$51,3,FALSE)</f>
        <v>6 / 0 / 0 / 0</v>
      </c>
      <c r="L34">
        <f t="shared" si="4"/>
        <v>6</v>
      </c>
    </row>
    <row r="35" spans="1:12" ht="15.75" thickBot="1">
      <c r="A35">
        <f t="shared" si="3"/>
        <v>32</v>
      </c>
      <c r="B35" t="str">
        <f>VLOOKUP(A35,South!A:M,3,FALSE)</f>
        <v>Bentwinds</v>
      </c>
      <c r="C35" s="31">
        <v>32</v>
      </c>
      <c r="D35" s="22">
        <f>VLOOKUP(A35,South!A:B,2,FALSE)</f>
        <v>36</v>
      </c>
      <c r="E35" s="32" t="str">
        <f t="shared" si="0"/>
        <v>Up 4</v>
      </c>
      <c r="F35" s="32">
        <f t="shared" si="1"/>
        <v>8</v>
      </c>
      <c r="G35" s="32">
        <f t="shared" si="1"/>
        <v>9</v>
      </c>
      <c r="H35" s="32" t="str">
        <f t="shared" si="2"/>
        <v>Up 1</v>
      </c>
      <c r="I35" s="22" t="str">
        <f>VLOOKUP(B35,'South Standings'!$A$2:$C$51,2,FALSE)</f>
        <v>3 / 0 / 0 / 0</v>
      </c>
      <c r="J35" s="30" t="str">
        <f>VLOOKUP(B35,'South Standings'!$A$2:$C$51,3,FALSE)</f>
        <v>2 / 4 / 0 / 0</v>
      </c>
      <c r="L35">
        <f t="shared" si="4"/>
        <v>4</v>
      </c>
    </row>
    <row r="36" spans="1:12">
      <c r="A36">
        <f t="shared" si="3"/>
        <v>33</v>
      </c>
      <c r="B36" t="str">
        <f>VLOOKUP(A36,South!A:M,3,FALSE)</f>
        <v>TCC</v>
      </c>
      <c r="C36" s="25">
        <v>33</v>
      </c>
      <c r="D36" s="27">
        <f>VLOOKUP(A36,South!A:B,2,FALSE)</f>
        <v>33</v>
      </c>
      <c r="E36" s="27" t="str">
        <f t="shared" ref="E36:E53" si="5">IF(D36=C36,"Same",IF(D36&gt;C36,CONCATENATE("Up ",D36-C36),CONCATENATE("Down ",C36-D36)))</f>
        <v>Same</v>
      </c>
      <c r="F36" s="27">
        <f t="shared" ref="F36:F50" si="6">ROUND(C36/4+0.49,0)</f>
        <v>9</v>
      </c>
      <c r="G36" s="27">
        <f t="shared" ref="G36:G51" si="7">ROUND(D36/4+0.49,0)</f>
        <v>9</v>
      </c>
      <c r="H36" s="27" t="str">
        <f t="shared" ref="H36:H51" si="8">IF(G36=F36,"Same",IF(G36&gt;F36,CONCATENATE("Up ",G36-F36),CONCATENATE("Down ",F36-G36)))</f>
        <v>Same</v>
      </c>
      <c r="I36" s="27" t="str">
        <f>VLOOKUP(B36,'South Standings'!$A$2:$C$51,2,FALSE)</f>
        <v>1 / 2 / 0 / 0</v>
      </c>
      <c r="J36" s="29" t="str">
        <f>VLOOKUP(B36,'South Standings'!$A$2:$C$51,3,FALSE)</f>
        <v>3 / 3 / 0 / 0</v>
      </c>
      <c r="L36">
        <f t="shared" si="4"/>
        <v>0</v>
      </c>
    </row>
    <row r="37" spans="1:12">
      <c r="A37">
        <f t="shared" si="3"/>
        <v>34</v>
      </c>
      <c r="B37" t="str">
        <f>VLOOKUP(A37,South!A:M,3,FALSE)</f>
        <v>Park at West Lake</v>
      </c>
      <c r="C37" s="25">
        <v>34</v>
      </c>
      <c r="D37" s="22">
        <f>VLOOKUP(A37,South!A:B,2,FALSE)</f>
        <v>28</v>
      </c>
      <c r="E37" s="22" t="str">
        <f t="shared" si="5"/>
        <v>Down 6</v>
      </c>
      <c r="F37" s="22">
        <f t="shared" si="6"/>
        <v>9</v>
      </c>
      <c r="G37" s="22">
        <f t="shared" si="7"/>
        <v>7</v>
      </c>
      <c r="H37" s="22" t="str">
        <f t="shared" si="8"/>
        <v>Down 2</v>
      </c>
      <c r="I37" s="22" t="str">
        <f>VLOOKUP(B37,'South Standings'!$A$2:$C$51,2,FALSE)</f>
        <v>1 / 2 / 0 / 0</v>
      </c>
      <c r="J37" s="30" t="str">
        <f>VLOOKUP(B37,'South Standings'!$A$2:$C$51,3,FALSE)</f>
        <v>1 / 5 / 0 / 0</v>
      </c>
      <c r="L37">
        <f t="shared" si="4"/>
        <v>-6</v>
      </c>
    </row>
    <row r="38" spans="1:12">
      <c r="A38">
        <f t="shared" si="3"/>
        <v>35</v>
      </c>
      <c r="B38" t="str">
        <f>VLOOKUP(A38,South!A:M,3,FALSE)</f>
        <v>Park Village</v>
      </c>
      <c r="C38" s="25">
        <v>35</v>
      </c>
      <c r="D38" s="22">
        <f>VLOOKUP(A38,South!A:B,2,FALSE)</f>
        <v>38</v>
      </c>
      <c r="E38" s="22" t="str">
        <f t="shared" si="5"/>
        <v>Up 3</v>
      </c>
      <c r="F38" s="22">
        <f t="shared" si="6"/>
        <v>9</v>
      </c>
      <c r="G38" s="22">
        <f t="shared" si="7"/>
        <v>10</v>
      </c>
      <c r="H38" s="22" t="str">
        <f t="shared" si="8"/>
        <v>Up 1</v>
      </c>
      <c r="I38" s="22" t="str">
        <f>VLOOKUP(B38,'South Standings'!$A$2:$C$51,2,FALSE)</f>
        <v>2 / 1 / 0 / 0</v>
      </c>
      <c r="J38" s="30" t="str">
        <f>VLOOKUP(B38,'South Standings'!$A$2:$C$51,3,FALSE)</f>
        <v>4 / 2 / 0 / 0</v>
      </c>
      <c r="L38">
        <f t="shared" si="4"/>
        <v>3</v>
      </c>
    </row>
    <row r="39" spans="1:12" ht="15.75" thickBot="1">
      <c r="A39">
        <f t="shared" si="3"/>
        <v>36</v>
      </c>
      <c r="B39" t="str">
        <f>VLOOKUP(A39,South!A:M,3,FALSE)</f>
        <v>Carpenter Village</v>
      </c>
      <c r="C39" s="25">
        <v>36</v>
      </c>
      <c r="D39" s="22">
        <f>VLOOKUP(A39,South!A:B,2,FALSE)</f>
        <v>35</v>
      </c>
      <c r="E39" s="32" t="str">
        <f t="shared" si="5"/>
        <v>Down 1</v>
      </c>
      <c r="F39" s="32">
        <f t="shared" si="6"/>
        <v>9</v>
      </c>
      <c r="G39" s="32">
        <f t="shared" si="7"/>
        <v>9</v>
      </c>
      <c r="H39" s="32" t="str">
        <f t="shared" si="8"/>
        <v>Same</v>
      </c>
      <c r="I39" s="22" t="str">
        <f>VLOOKUP(B39,'South Standings'!$A$2:$C$51,2,FALSE)</f>
        <v>1 / 2 / 0 / 0</v>
      </c>
      <c r="J39" s="30" t="str">
        <f>VLOOKUP(B39,'South Standings'!$A$2:$C$51,3,FALSE)</f>
        <v>2 / 4 / 0 / 0</v>
      </c>
      <c r="L39">
        <f t="shared" si="4"/>
        <v>-1</v>
      </c>
    </row>
    <row r="40" spans="1:12">
      <c r="A40">
        <f t="shared" si="3"/>
        <v>37</v>
      </c>
      <c r="B40" t="str">
        <f>VLOOKUP(A40,South!A:M,3,FALSE)</f>
        <v>Kildaire Farms</v>
      </c>
      <c r="C40" s="26">
        <v>37</v>
      </c>
      <c r="D40" s="27">
        <f>VLOOKUP(A40,South!A:B,2,FALSE)</f>
        <v>34</v>
      </c>
      <c r="E40" s="27" t="str">
        <f t="shared" si="5"/>
        <v>Down 3</v>
      </c>
      <c r="F40" s="27">
        <f t="shared" si="6"/>
        <v>10</v>
      </c>
      <c r="G40" s="27">
        <f t="shared" si="7"/>
        <v>9</v>
      </c>
      <c r="H40" s="27" t="str">
        <f t="shared" si="8"/>
        <v>Down 1</v>
      </c>
      <c r="I40" s="27" t="str">
        <f>VLOOKUP(B40,'South Standings'!$A$2:$C$51,2,FALSE)</f>
        <v>1 / 2 / 0 / 0</v>
      </c>
      <c r="J40" s="29" t="str">
        <f>VLOOKUP(B40,'South Standings'!$A$2:$C$51,3,FALSE)</f>
        <v>2 / 4 / 0 / 0</v>
      </c>
      <c r="L40">
        <f t="shared" si="4"/>
        <v>-3</v>
      </c>
    </row>
    <row r="41" spans="1:12">
      <c r="A41">
        <f t="shared" si="3"/>
        <v>38</v>
      </c>
      <c r="B41" t="str">
        <f>VLOOKUP(A41,South!A:M,3,FALSE)</f>
        <v>The Reserve</v>
      </c>
      <c r="C41" s="25">
        <v>38</v>
      </c>
      <c r="D41" s="22">
        <f>VLOOKUP(A41,South!A:B,2,FALSE)</f>
        <v>32</v>
      </c>
      <c r="E41" s="22" t="str">
        <f t="shared" si="5"/>
        <v>Down 6</v>
      </c>
      <c r="F41" s="22">
        <f t="shared" si="6"/>
        <v>10</v>
      </c>
      <c r="G41" s="22">
        <f t="shared" si="7"/>
        <v>8</v>
      </c>
      <c r="H41" s="22" t="str">
        <f t="shared" si="8"/>
        <v>Down 2</v>
      </c>
      <c r="I41" s="22" t="str">
        <f>VLOOKUP(B41,'South Standings'!$A$2:$C$51,2,FALSE)</f>
        <v>0 / 3 / 0 / 0</v>
      </c>
      <c r="J41" s="30" t="str">
        <f>VLOOKUP(B41,'South Standings'!$A$2:$C$51,3,FALSE)</f>
        <v>0 / 6 / 0 / 0</v>
      </c>
      <c r="L41">
        <f t="shared" si="4"/>
        <v>-6</v>
      </c>
    </row>
    <row r="42" spans="1:12">
      <c r="A42">
        <f t="shared" si="3"/>
        <v>39</v>
      </c>
      <c r="B42" t="str">
        <f>VLOOKUP(A42,South!A:M,3,FALSE)</f>
        <v>Eagle Ridge</v>
      </c>
      <c r="C42" s="25">
        <v>39</v>
      </c>
      <c r="D42" s="22">
        <f>VLOOKUP(A42,South!A:B,2,FALSE)</f>
        <v>40</v>
      </c>
      <c r="E42" s="22" t="str">
        <f t="shared" si="5"/>
        <v>Up 1</v>
      </c>
      <c r="F42" s="22">
        <f t="shared" si="6"/>
        <v>10</v>
      </c>
      <c r="G42" s="22">
        <f t="shared" si="7"/>
        <v>10</v>
      </c>
      <c r="H42" s="22" t="str">
        <f t="shared" si="8"/>
        <v>Same</v>
      </c>
      <c r="I42" s="22" t="str">
        <f>VLOOKUP(B42,'South Standings'!$A$2:$C$51,2,FALSE)</f>
        <v>1 / 2 / 0 / 0</v>
      </c>
      <c r="J42" s="30" t="str">
        <f>VLOOKUP(B42,'South Standings'!$A$2:$C$51,3,FALSE)</f>
        <v>4 / 2 / 0 / 0</v>
      </c>
      <c r="L42">
        <f t="shared" si="4"/>
        <v>1</v>
      </c>
    </row>
    <row r="43" spans="1:12" ht="15.75" thickBot="1">
      <c r="A43">
        <f t="shared" si="3"/>
        <v>40</v>
      </c>
      <c r="B43" t="str">
        <f>VLOOKUP(A43,South!A:M,3,FALSE)</f>
        <v>Glenridge</v>
      </c>
      <c r="C43" s="31">
        <v>40</v>
      </c>
      <c r="D43" s="22">
        <f>VLOOKUP(A43,South!A:B,2,FALSE)</f>
        <v>41</v>
      </c>
      <c r="E43" s="32" t="str">
        <f t="shared" si="5"/>
        <v>Up 1</v>
      </c>
      <c r="F43" s="32">
        <f t="shared" si="6"/>
        <v>10</v>
      </c>
      <c r="G43" s="32">
        <f t="shared" si="7"/>
        <v>11</v>
      </c>
      <c r="H43" s="32" t="str">
        <f t="shared" si="8"/>
        <v>Up 1</v>
      </c>
      <c r="I43" s="22" t="str">
        <f>VLOOKUP(B43,'South Standings'!$A$2:$C$51,2,FALSE)</f>
        <v>3 / 0 / 0 / 0</v>
      </c>
      <c r="J43" s="30" t="str">
        <f>VLOOKUP(B43,'South Standings'!$A$2:$C$51,3,FALSE)</f>
        <v>4 / 2 / 0 / 0</v>
      </c>
      <c r="L43">
        <f t="shared" si="4"/>
        <v>1</v>
      </c>
    </row>
    <row r="44" spans="1:12">
      <c r="A44">
        <f t="shared" si="3"/>
        <v>41</v>
      </c>
      <c r="B44" t="str">
        <f>VLOOKUP(A44,South!A:M,3,FALSE)</f>
        <v>Arbor Creek</v>
      </c>
      <c r="C44" s="26">
        <v>41</v>
      </c>
      <c r="D44" s="27">
        <f>VLOOKUP(A44,South!A:B,2,FALSE)</f>
        <v>46</v>
      </c>
      <c r="E44" s="27" t="str">
        <f t="shared" si="5"/>
        <v>Up 5</v>
      </c>
      <c r="F44" s="27">
        <f t="shared" si="6"/>
        <v>11</v>
      </c>
      <c r="G44" s="27">
        <f t="shared" si="7"/>
        <v>12</v>
      </c>
      <c r="H44" s="27" t="str">
        <f t="shared" si="8"/>
        <v>Up 1</v>
      </c>
      <c r="I44" s="27" t="str">
        <f>VLOOKUP(B44,'South Standings'!$A$2:$C$51,2,FALSE)</f>
        <v>2 / 0 / 0 / 0</v>
      </c>
      <c r="J44" s="29" t="str">
        <f>VLOOKUP(B44,'South Standings'!$A$2:$C$51,3,FALSE)</f>
        <v>5 / 1 / 0 / 0</v>
      </c>
      <c r="L44">
        <f t="shared" si="4"/>
        <v>5</v>
      </c>
    </row>
    <row r="45" spans="1:12">
      <c r="A45">
        <f t="shared" si="3"/>
        <v>42</v>
      </c>
      <c r="B45" t="str">
        <f>VLOOKUP(A45,South!A:M,3,FALSE)</f>
        <v>Brighton Forest</v>
      </c>
      <c r="C45" s="25">
        <v>42</v>
      </c>
      <c r="D45" s="22">
        <f>VLOOKUP(A45,South!A:B,2,FALSE)</f>
        <v>39</v>
      </c>
      <c r="E45" s="22" t="str">
        <f t="shared" si="5"/>
        <v>Down 3</v>
      </c>
      <c r="F45" s="22">
        <f t="shared" si="6"/>
        <v>11</v>
      </c>
      <c r="G45" s="22">
        <f t="shared" si="7"/>
        <v>10</v>
      </c>
      <c r="H45" s="22" t="str">
        <f t="shared" si="8"/>
        <v>Down 1</v>
      </c>
      <c r="I45" s="22" t="str">
        <f>VLOOKUP(B45,'South Standings'!$A$2:$C$51,2,FALSE)</f>
        <v>0 / 3 / 0 / 0</v>
      </c>
      <c r="J45" s="30" t="str">
        <f>VLOOKUP(B45,'South Standings'!$A$2:$C$51,3,FALSE)</f>
        <v>1 / 5 / 0 / 0</v>
      </c>
      <c r="L45">
        <f t="shared" si="4"/>
        <v>-3</v>
      </c>
    </row>
    <row r="46" spans="1:12">
      <c r="A46">
        <f t="shared" si="3"/>
        <v>43</v>
      </c>
      <c r="B46" t="str">
        <f>VLOOKUP(A46,South!A:M,3,FALSE)</f>
        <v>Charleston Village</v>
      </c>
      <c r="C46" s="25">
        <v>43</v>
      </c>
      <c r="D46" s="22">
        <f>VLOOKUP(A46,South!A:B,2,FALSE)</f>
        <v>45</v>
      </c>
      <c r="E46" s="22" t="str">
        <f t="shared" si="5"/>
        <v>Up 2</v>
      </c>
      <c r="F46" s="22">
        <f t="shared" si="6"/>
        <v>11</v>
      </c>
      <c r="G46" s="22">
        <f t="shared" si="7"/>
        <v>12</v>
      </c>
      <c r="H46" s="22" t="str">
        <f t="shared" si="8"/>
        <v>Up 1</v>
      </c>
      <c r="I46" s="22" t="str">
        <f>VLOOKUP(B46,'South Standings'!$A$2:$C$51,2,FALSE)</f>
        <v>1 / 1 / 0 / 0</v>
      </c>
      <c r="J46" s="30" t="str">
        <f>VLOOKUP(B46,'South Standings'!$A$2:$C$51,3,FALSE)</f>
        <v>5 / 1 / 0 / 0</v>
      </c>
      <c r="L46">
        <f t="shared" si="4"/>
        <v>2</v>
      </c>
    </row>
    <row r="47" spans="1:12" ht="15.75" thickBot="1">
      <c r="A47">
        <f t="shared" si="3"/>
        <v>44</v>
      </c>
      <c r="B47" t="str">
        <f>VLOOKUP(A47,South!A:M,3,FALSE)</f>
        <v>Crooked Creek</v>
      </c>
      <c r="C47" s="25">
        <v>44</v>
      </c>
      <c r="D47" s="22">
        <f>VLOOKUP(A47,South!A:B,2,FALSE)</f>
        <v>44</v>
      </c>
      <c r="E47" s="32" t="str">
        <f t="shared" si="5"/>
        <v>Same</v>
      </c>
      <c r="F47" s="32">
        <f t="shared" si="6"/>
        <v>11</v>
      </c>
      <c r="G47" s="32">
        <f t="shared" si="7"/>
        <v>11</v>
      </c>
      <c r="H47" s="32" t="str">
        <f t="shared" si="8"/>
        <v>Same</v>
      </c>
      <c r="I47" s="22" t="str">
        <f>VLOOKUP(B47,'South Standings'!$A$2:$C$51,2,FALSE)</f>
        <v>2 / 1 / 0 / 0</v>
      </c>
      <c r="J47" s="30" t="str">
        <f>VLOOKUP(B47,'South Standings'!$A$2:$C$51,3,FALSE)</f>
        <v>3 / 3 / 0 / 0</v>
      </c>
      <c r="L47">
        <f t="shared" si="4"/>
        <v>0</v>
      </c>
    </row>
    <row r="48" spans="1:12">
      <c r="A48">
        <f t="shared" si="3"/>
        <v>45</v>
      </c>
      <c r="B48" t="str">
        <f>VLOOKUP(A48,South!A:M,3,FALSE)</f>
        <v>Garner</v>
      </c>
      <c r="C48" s="26">
        <v>45</v>
      </c>
      <c r="D48" s="27">
        <f>VLOOKUP(A48,South!A:B,2,FALSE)</f>
        <v>43</v>
      </c>
      <c r="E48" s="27" t="str">
        <f t="shared" si="5"/>
        <v>Down 2</v>
      </c>
      <c r="F48" s="27">
        <f t="shared" si="6"/>
        <v>12</v>
      </c>
      <c r="G48" s="27">
        <f t="shared" si="7"/>
        <v>11</v>
      </c>
      <c r="H48" s="27" t="str">
        <f t="shared" si="8"/>
        <v>Down 1</v>
      </c>
      <c r="I48" s="27" t="str">
        <f>VLOOKUP(B48,'South Standings'!$A$2:$C$51,2,FALSE)</f>
        <v>1 / 2 / 0 / 0</v>
      </c>
      <c r="J48" s="29" t="str">
        <f>VLOOKUP(B48,'South Standings'!$A$2:$C$51,3,FALSE)</f>
        <v>2 / 4 / 0 / 0</v>
      </c>
      <c r="L48">
        <f t="shared" si="4"/>
        <v>-2</v>
      </c>
    </row>
    <row r="49" spans="1:12">
      <c r="A49">
        <f t="shared" si="3"/>
        <v>46</v>
      </c>
      <c r="B49" t="str">
        <f>VLOOKUP(A49,South!A:M,3,FALSE)</f>
        <v>Devereaux</v>
      </c>
      <c r="C49" s="25">
        <v>46</v>
      </c>
      <c r="D49" s="22">
        <f>VLOOKUP(A49,South!A:B,2,FALSE)</f>
        <v>47</v>
      </c>
      <c r="E49" s="22" t="str">
        <f t="shared" si="5"/>
        <v>Up 1</v>
      </c>
      <c r="F49" s="22">
        <f t="shared" si="6"/>
        <v>12</v>
      </c>
      <c r="G49" s="22">
        <f t="shared" si="7"/>
        <v>12</v>
      </c>
      <c r="H49" s="22" t="str">
        <f t="shared" si="8"/>
        <v>Same</v>
      </c>
      <c r="I49" s="22" t="str">
        <f>VLOOKUP(B49,'South Standings'!$A$2:$C$51,2,FALSE)</f>
        <v>0 / 2 / 0 / 0</v>
      </c>
      <c r="J49" s="30" t="str">
        <f>VLOOKUP(B49,'South Standings'!$A$2:$C$51,3,FALSE)</f>
        <v>4 / 2 / 0 / 0</v>
      </c>
      <c r="L49">
        <f t="shared" si="4"/>
        <v>1</v>
      </c>
    </row>
    <row r="50" spans="1:12" ht="15.75" thickBot="1">
      <c r="A50">
        <f t="shared" si="3"/>
        <v>47</v>
      </c>
      <c r="B50" t="str">
        <f>VLOOKUP(A50,South!A:M,3,FALSE)</f>
        <v>Wellington Park</v>
      </c>
      <c r="C50" s="25">
        <v>47</v>
      </c>
      <c r="D50" s="22">
        <f>VLOOKUP(A50,South!A:B,2,FALSE)</f>
        <v>48</v>
      </c>
      <c r="E50" s="32" t="str">
        <f t="shared" si="5"/>
        <v>Up 1</v>
      </c>
      <c r="F50" s="32">
        <f t="shared" si="6"/>
        <v>12</v>
      </c>
      <c r="G50" s="32">
        <f t="shared" si="7"/>
        <v>12</v>
      </c>
      <c r="H50" s="32" t="str">
        <f t="shared" si="8"/>
        <v>Same</v>
      </c>
      <c r="I50" s="22" t="str">
        <f>VLOOKUP(B50,'South Standings'!$A$2:$C$51,2,FALSE)</f>
        <v>1 / 0 / 0 / 0</v>
      </c>
      <c r="J50" s="30" t="str">
        <f>VLOOKUP(B50,'South Standings'!$A$2:$C$51,3,FALSE)</f>
        <v>3 / 3 / 0 / 0</v>
      </c>
      <c r="L50">
        <f t="shared" si="4"/>
        <v>1</v>
      </c>
    </row>
    <row r="51" spans="1:12">
      <c r="A51">
        <f t="shared" si="3"/>
        <v>48</v>
      </c>
      <c r="B51" t="str">
        <f>VLOOKUP(A51,South!A:M,3,FALSE)</f>
        <v>Harmony</v>
      </c>
      <c r="C51" s="26">
        <v>48</v>
      </c>
      <c r="D51" s="27">
        <f>VLOOKUP(A51,South!A:B,2,FALSE)</f>
        <v>42</v>
      </c>
      <c r="E51" s="27" t="str">
        <f t="shared" si="5"/>
        <v>Down 6</v>
      </c>
      <c r="F51" s="27">
        <v>13</v>
      </c>
      <c r="G51" s="27">
        <f t="shared" si="7"/>
        <v>11</v>
      </c>
      <c r="H51" s="27" t="str">
        <f t="shared" si="8"/>
        <v>Down 2</v>
      </c>
      <c r="I51" s="27" t="str">
        <f>VLOOKUP(B51,'South Standings'!$A$2:$C$51,2,FALSE)</f>
        <v>0 / 3 / 0 / 0</v>
      </c>
      <c r="J51" s="29" t="str">
        <f>VLOOKUP(B51,'South Standings'!$A$2:$C$51,3,FALSE)</f>
        <v>0 / 6 / 0 / 0</v>
      </c>
      <c r="L51">
        <f t="shared" si="4"/>
        <v>-6</v>
      </c>
    </row>
    <row r="52" spans="1:12">
      <c r="A52">
        <f t="shared" si="3"/>
        <v>49</v>
      </c>
      <c r="B52" t="str">
        <f>VLOOKUP(A52,South!A:M,3,FALSE)</f>
        <v>Renaissance Park</v>
      </c>
      <c r="C52" s="25">
        <v>49</v>
      </c>
      <c r="D52" s="22">
        <f>VLOOKUP(A52,South!A:B,2,FALSE)</f>
        <v>49</v>
      </c>
      <c r="E52" s="22" t="str">
        <f t="shared" ref="E52" si="9">IF(D52=C52,"Same",IF(D52&gt;C52,CONCATENATE("Up ",D52-C52),CONCATENATE("Down ",C52-D52)))</f>
        <v>Same</v>
      </c>
      <c r="F52" s="22">
        <f t="shared" ref="F52:F53" si="10">ROUND(C52/4+0.49,0)</f>
        <v>13</v>
      </c>
      <c r="G52" s="22">
        <v>13</v>
      </c>
      <c r="H52" s="22" t="str">
        <f t="shared" ref="H52:H53" si="11">IF(G52=F52,"Same",IF(G52&gt;F52,CONCATENATE("Up ",G52-F52),CONCATENATE("Down ",F52-G52)))</f>
        <v>Same</v>
      </c>
      <c r="I52" s="22" t="str">
        <f>VLOOKUP(B52,'South Standings'!$A$2:$C$51,2,FALSE)</f>
        <v>0 / 1 / 0 / 0</v>
      </c>
      <c r="J52" s="30" t="str">
        <f>VLOOKUP(B52,'South Standings'!$A$2:$C$51,3,FALSE)</f>
        <v>1 / 4 / 0 / 0</v>
      </c>
      <c r="L52">
        <f t="shared" si="4"/>
        <v>0</v>
      </c>
    </row>
    <row r="53" spans="1:12" ht="15.75" thickBot="1">
      <c r="A53">
        <f t="shared" si="3"/>
        <v>50</v>
      </c>
      <c r="B53" t="str">
        <f>VLOOKUP(A53,South!A:M,3,FALSE)</f>
        <v>Breckenridge</v>
      </c>
      <c r="C53" s="31">
        <v>50</v>
      </c>
      <c r="D53" s="32">
        <f>VLOOKUP(A53,South!A:B,2,FALSE)</f>
        <v>50</v>
      </c>
      <c r="E53" s="32" t="str">
        <f t="shared" si="5"/>
        <v>Same</v>
      </c>
      <c r="F53" s="32">
        <f t="shared" si="10"/>
        <v>13</v>
      </c>
      <c r="G53" s="32">
        <f t="shared" ref="G53" si="12">ROUND(D53/4+0.49,0)</f>
        <v>13</v>
      </c>
      <c r="H53" s="32" t="str">
        <f t="shared" si="11"/>
        <v>Same</v>
      </c>
      <c r="I53" s="32" t="str">
        <f>VLOOKUP(B53,'South Standings'!$A$2:$C$51,2,FALSE)</f>
        <v>0 / 0 / 0 / 0</v>
      </c>
      <c r="J53" s="34" t="str">
        <f>VLOOKUP(B53,'South Standings'!$A$2:$C$51,3,FALSE)</f>
        <v>0 / 0 / 0 / 0</v>
      </c>
      <c r="L53">
        <f t="shared" si="4"/>
        <v>0</v>
      </c>
    </row>
    <row r="54" spans="1:12" ht="15.75" thickBot="1">
      <c r="A54">
        <f t="shared" ref="A54" si="13">C54</f>
        <v>51</v>
      </c>
      <c r="B54" t="str">
        <f>VLOOKUP(A54,South!A:M,3,FALSE)</f>
        <v>Sweetwater</v>
      </c>
      <c r="C54" s="31">
        <v>51</v>
      </c>
      <c r="D54" s="32">
        <f>VLOOKUP(A54,South!A:B,2,FALSE)</f>
        <v>51</v>
      </c>
      <c r="E54" s="32" t="str">
        <f t="shared" ref="E54" si="14">IF(D54=C54,"Same",IF(D54&gt;C54,CONCATENATE("Up ",D54-C54),CONCATENATE("Down ",C54-D54)))</f>
        <v>Same</v>
      </c>
      <c r="F54" s="32">
        <f t="shared" ref="F54" si="15">ROUND(C54/4+0.49,0)</f>
        <v>13</v>
      </c>
      <c r="G54" s="32">
        <f t="shared" ref="G54" si="16">ROUND(D54/4+0.49,0)</f>
        <v>13</v>
      </c>
      <c r="H54" s="32" t="str">
        <f t="shared" ref="H54" si="17">IF(G54=F54,"Same",IF(G54&gt;F54,CONCATENATE("Up ",G54-F54),CONCATENATE("Down ",F54-G54)))</f>
        <v>Same</v>
      </c>
      <c r="I54" s="32" t="e">
        <f>VLOOKUP(B54,'South Standings'!$A$2:$C$51,2,FALSE)</f>
        <v>#N/A</v>
      </c>
      <c r="J54" s="34" t="e">
        <f>VLOOKUP(B54,'South Standings'!$A$2:$C$51,3,FALSE)</f>
        <v>#N/A</v>
      </c>
      <c r="L54">
        <f t="shared" ref="L54" si="18">+D54-C54</f>
        <v>0</v>
      </c>
    </row>
    <row r="57" spans="1:12">
      <c r="B57" s="72" t="s">
        <v>142</v>
      </c>
    </row>
  </sheetData>
  <sortState xmlns:xlrd2="http://schemas.microsoft.com/office/spreadsheetml/2017/richdata2" ref="B4:J52">
    <sortCondition ref="C4:C52"/>
  </sortState>
  <conditionalFormatting sqref="L4:L54">
    <cfRule type="cellIs" dxfId="10" priority="1" operator="lessThan">
      <formula>-3</formula>
    </cfRule>
    <cfRule type="cellIs" dxfId="9" priority="2" operator="greaterThan">
      <formula>3</formula>
    </cfRule>
  </conditionalFormatting>
  <pageMargins left="0.63" right="0.26" top="0.23" bottom="0.18" header="0.21" footer="0.22"/>
  <pageSetup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D12B-B724-4C64-BE4B-AE5AB60A0E97}">
  <sheetPr>
    <tabColor theme="6" tint="0.39997558519241921"/>
    <pageSetUpPr autoPageBreaks="0" fitToPage="1"/>
  </sheetPr>
  <dimension ref="A1:S57"/>
  <sheetViews>
    <sheetView topLeftCell="A30" workbookViewId="0">
      <selection activeCell="I56" sqref="I56"/>
    </sheetView>
  </sheetViews>
  <sheetFormatPr defaultRowHeight="15"/>
  <cols>
    <col min="1" max="1" width="4.7109375" customWidth="1"/>
    <col min="2" max="2" width="27.7109375" customWidth="1"/>
    <col min="3" max="3" width="9.42578125" bestFit="1" customWidth="1"/>
    <col min="4" max="4" width="5.28515625" bestFit="1" customWidth="1"/>
    <col min="5" max="5" width="8.28515625" customWidth="1"/>
    <col min="6" max="6" width="9.42578125" bestFit="1" customWidth="1"/>
    <col min="7" max="7" width="7.28515625" customWidth="1"/>
    <col min="8" max="8" width="7.5703125" bestFit="1" customWidth="1"/>
    <col min="9" max="10" width="10.85546875" customWidth="1"/>
    <col min="18" max="18" width="10.140625" bestFit="1" customWidth="1"/>
  </cols>
  <sheetData>
    <row r="1" spans="1:19" ht="21">
      <c r="B1" s="21" t="s">
        <v>80</v>
      </c>
      <c r="C1" s="24" t="s">
        <v>76</v>
      </c>
      <c r="D1" s="24"/>
      <c r="E1" s="24"/>
      <c r="F1" s="24" t="s">
        <v>76</v>
      </c>
      <c r="G1" s="24"/>
      <c r="H1" s="24"/>
      <c r="I1" s="24">
        <f>South!B2</f>
        <v>2025</v>
      </c>
      <c r="J1" s="24">
        <f>South!B2</f>
        <v>2025</v>
      </c>
      <c r="L1" s="134"/>
      <c r="M1" s="39"/>
    </row>
    <row r="2" spans="1:19">
      <c r="C2" s="24">
        <v>2026</v>
      </c>
      <c r="D2" s="24">
        <v>2025</v>
      </c>
      <c r="E2" s="24" t="s">
        <v>43</v>
      </c>
      <c r="F2" s="24">
        <f>South!A2</f>
        <v>2026</v>
      </c>
      <c r="G2" s="24">
        <f>South!B2</f>
        <v>2025</v>
      </c>
      <c r="H2" s="24" t="s">
        <v>69</v>
      </c>
      <c r="I2" s="24" t="s">
        <v>69</v>
      </c>
      <c r="J2" s="24" t="s">
        <v>75</v>
      </c>
    </row>
    <row r="3" spans="1:19" ht="15.75" thickBot="1">
      <c r="C3" s="24" t="s">
        <v>43</v>
      </c>
      <c r="D3" s="24" t="s">
        <v>43</v>
      </c>
      <c r="E3" s="24" t="s">
        <v>77</v>
      </c>
      <c r="F3" s="24" t="s">
        <v>69</v>
      </c>
      <c r="G3" s="24" t="s">
        <v>69</v>
      </c>
      <c r="H3" s="24" t="s">
        <v>77</v>
      </c>
      <c r="I3" s="24" t="s">
        <v>74</v>
      </c>
      <c r="J3" s="24" t="s">
        <v>74</v>
      </c>
      <c r="L3" s="24" t="s">
        <v>178</v>
      </c>
      <c r="R3" t="s">
        <v>274</v>
      </c>
    </row>
    <row r="4" spans="1:19">
      <c r="A4">
        <f>C4</f>
        <v>1</v>
      </c>
      <c r="B4" t="str">
        <f>VLOOKUP(A4,South!A:M,3,FALSE)</f>
        <v>Cary</v>
      </c>
      <c r="C4" s="26">
        <v>1</v>
      </c>
      <c r="D4" s="27">
        <f>VLOOKUP(A4,South!A:B,2,FALSE)</f>
        <v>1</v>
      </c>
      <c r="E4" s="27" t="str">
        <f t="shared" ref="E4:E54" si="0">IF(D4=C4,"Same",IF(D4&gt;C4,CONCATENATE("Up ",D4-C4),CONCATENATE("Down ",C4-D4)))</f>
        <v>Same</v>
      </c>
      <c r="F4" s="27">
        <f t="shared" ref="F4:G35" si="1">ROUND(C4/4+0.49,0)</f>
        <v>1</v>
      </c>
      <c r="G4" s="27">
        <f t="shared" si="1"/>
        <v>1</v>
      </c>
      <c r="H4" s="27" t="str">
        <f t="shared" ref="H4:H54" si="2">IF(G4=F4,"Same",IF(G4&gt;F4,CONCATENATE("Up ",G4-F4),CONCATENATE("Down ",F4-G4)))</f>
        <v>Same</v>
      </c>
      <c r="I4" s="27" t="str">
        <f>VLOOKUP(B4,'South Standings'!$A$2:$C$51,2,FALSE)</f>
        <v>3 / 0 / 0 / 0</v>
      </c>
      <c r="J4" s="29" t="str">
        <f>VLOOKUP(B4,'South Standings'!$A$2:$C$51,3,FALSE)</f>
        <v>5 / 1 / 0 / 0</v>
      </c>
      <c r="L4">
        <f>+D4-C4</f>
        <v>0</v>
      </c>
      <c r="R4" t="str">
        <f>J4</f>
        <v>5 / 1 / 0 / 0</v>
      </c>
      <c r="S4">
        <f>AVERAGE(3,5,6,6)</f>
        <v>5</v>
      </c>
    </row>
    <row r="5" spans="1:19">
      <c r="A5">
        <f t="shared" ref="A5:A54" si="3">C5</f>
        <v>2</v>
      </c>
      <c r="B5" t="str">
        <f>VLOOKUP(A5,South!A:M,3,FALSE)</f>
        <v>Cary Park</v>
      </c>
      <c r="C5" s="25">
        <v>2</v>
      </c>
      <c r="D5" s="22">
        <f>VLOOKUP(A5,South!A:B,2,FALSE)</f>
        <v>3</v>
      </c>
      <c r="E5" s="22" t="str">
        <f t="shared" si="0"/>
        <v>Up 1</v>
      </c>
      <c r="F5" s="22">
        <f t="shared" si="1"/>
        <v>1</v>
      </c>
      <c r="G5" s="22">
        <f t="shared" si="1"/>
        <v>1</v>
      </c>
      <c r="H5" s="22" t="str">
        <f t="shared" si="2"/>
        <v>Same</v>
      </c>
      <c r="I5" s="22" t="str">
        <f>VLOOKUP(B5,'South Standings'!$A$2:$C$51,2,FALSE)</f>
        <v>2 / 1 / 0 / 0</v>
      </c>
      <c r="J5" s="30" t="str">
        <f>VLOOKUP(B5,'South Standings'!$A$2:$C$51,3,FALSE)</f>
        <v>4 / 2 / 0 / 0</v>
      </c>
      <c r="L5">
        <f t="shared" ref="L5:L54" si="4">+D5-C5</f>
        <v>1</v>
      </c>
      <c r="R5" t="str">
        <f>J8</f>
        <v>2 / 4 / 0 / 0</v>
      </c>
      <c r="S5">
        <f>AVERAGE(4,3,4,5,4,5,4)</f>
        <v>4.1428571428571432</v>
      </c>
    </row>
    <row r="6" spans="1:19">
      <c r="A6">
        <f t="shared" si="3"/>
        <v>3</v>
      </c>
      <c r="B6" t="str">
        <f>VLOOKUP(A6,South!A:M,3,FALSE)</f>
        <v>Scottish Hills</v>
      </c>
      <c r="C6" s="25">
        <v>3</v>
      </c>
      <c r="D6" s="22">
        <f>VLOOKUP(A6,South!A:B,2,FALSE)</f>
        <v>2</v>
      </c>
      <c r="E6" s="22" t="str">
        <f t="shared" si="0"/>
        <v>Down 1</v>
      </c>
      <c r="F6" s="22">
        <f t="shared" si="1"/>
        <v>1</v>
      </c>
      <c r="G6" s="22">
        <f t="shared" si="1"/>
        <v>1</v>
      </c>
      <c r="H6" s="22" t="str">
        <f t="shared" si="2"/>
        <v>Same</v>
      </c>
      <c r="I6" s="22" t="str">
        <f>VLOOKUP(B6,'South Standings'!$A$2:$C$51,2,FALSE)</f>
        <v>1 / 2 / 0 / 0</v>
      </c>
      <c r="J6" s="30" t="str">
        <f>VLOOKUP(B6,'South Standings'!$A$2:$C$51,3,FALSE)</f>
        <v>2 / 4 / 0 / 0</v>
      </c>
      <c r="L6">
        <f t="shared" si="4"/>
        <v>-1</v>
      </c>
      <c r="R6" t="str">
        <f>J5</f>
        <v>4 / 2 / 0 / 0</v>
      </c>
      <c r="S6">
        <f>AVERAGE(1,3,3,2,4)</f>
        <v>2.6</v>
      </c>
    </row>
    <row r="7" spans="1:19" ht="15.75" thickBot="1">
      <c r="A7">
        <f t="shared" si="3"/>
        <v>4</v>
      </c>
      <c r="B7" t="str">
        <f>VLOOKUP(A7,South!A:M,3,FALSE)</f>
        <v>Sunset Ridge</v>
      </c>
      <c r="C7" s="25">
        <v>4</v>
      </c>
      <c r="D7" s="22">
        <f>VLOOKUP(A7,South!A:B,2,FALSE)</f>
        <v>6</v>
      </c>
      <c r="E7" s="22" t="str">
        <f t="shared" si="0"/>
        <v>Up 2</v>
      </c>
      <c r="F7" s="22">
        <f t="shared" si="1"/>
        <v>1</v>
      </c>
      <c r="G7" s="22">
        <f t="shared" si="1"/>
        <v>2</v>
      </c>
      <c r="H7" s="22" t="str">
        <f t="shared" si="2"/>
        <v>Up 1</v>
      </c>
      <c r="I7" s="22" t="str">
        <f>VLOOKUP(B7,'South Standings'!$A$2:$C$51,2,FALSE)</f>
        <v>2 / 0 / 0 / 1</v>
      </c>
      <c r="J7" s="30" t="str">
        <f>VLOOKUP(B7,'South Standings'!$A$2:$C$51,3,FALSE)</f>
        <v>2 / 2 / 2 / 0</v>
      </c>
      <c r="L7">
        <f t="shared" si="4"/>
        <v>2</v>
      </c>
      <c r="R7" t="str">
        <f>J9</f>
        <v>5 / 1 / 0 / 0</v>
      </c>
      <c r="S7">
        <f>AVERAGE(1,0,0,2,1,5)</f>
        <v>1.5</v>
      </c>
    </row>
    <row r="8" spans="1:19">
      <c r="A8">
        <f t="shared" si="3"/>
        <v>5</v>
      </c>
      <c r="B8" t="str">
        <f>VLOOKUP(A8,South!A:M,3,FALSE)</f>
        <v>Apex</v>
      </c>
      <c r="C8" s="26">
        <v>5</v>
      </c>
      <c r="D8" s="27">
        <f>VLOOKUP(A8,South!A:B,2,FALSE)</f>
        <v>4</v>
      </c>
      <c r="E8" s="27" t="str">
        <f t="shared" si="0"/>
        <v>Down 1</v>
      </c>
      <c r="F8" s="27">
        <f t="shared" si="1"/>
        <v>2</v>
      </c>
      <c r="G8" s="27">
        <f t="shared" si="1"/>
        <v>1</v>
      </c>
      <c r="H8" s="27" t="str">
        <f t="shared" si="2"/>
        <v>Down 1</v>
      </c>
      <c r="I8" s="27" t="str">
        <f>VLOOKUP(B8,'South Standings'!$A$2:$C$51,2,FALSE)</f>
        <v>0 / 3 / 0 / 0</v>
      </c>
      <c r="J8" s="29" t="str">
        <f>VLOOKUP(B8,'South Standings'!$A$2:$C$51,3,FALSE)</f>
        <v>2 / 4 / 0 / 0</v>
      </c>
      <c r="L8">
        <f t="shared" si="4"/>
        <v>-1</v>
      </c>
      <c r="R8" t="str">
        <f>J6</f>
        <v>2 / 4 / 0 / 0</v>
      </c>
      <c r="S8">
        <f>AVERAGE(-1,-1,0,0,-1)</f>
        <v>-0.6</v>
      </c>
    </row>
    <row r="9" spans="1:19">
      <c r="A9">
        <f t="shared" si="3"/>
        <v>6</v>
      </c>
      <c r="B9" t="str">
        <f>VLOOKUP(A9,South!A:M,3,FALSE)</f>
        <v>Shepherds Vineyard</v>
      </c>
      <c r="C9" s="25">
        <v>6</v>
      </c>
      <c r="D9" s="22">
        <f>VLOOKUP(A9,South!A:B,2,FALSE)</f>
        <v>11</v>
      </c>
      <c r="E9" s="22" t="str">
        <f t="shared" si="0"/>
        <v>Up 5</v>
      </c>
      <c r="F9" s="22">
        <f t="shared" si="1"/>
        <v>2</v>
      </c>
      <c r="G9" s="22">
        <f t="shared" si="1"/>
        <v>3</v>
      </c>
      <c r="H9" s="22" t="str">
        <f t="shared" si="2"/>
        <v>Up 1</v>
      </c>
      <c r="I9" s="22" t="str">
        <f>VLOOKUP(B9,'South Standings'!$A$2:$C$51,2,FALSE)</f>
        <v>2 / 1 / 0 / 0</v>
      </c>
      <c r="J9" s="30" t="str">
        <f>VLOOKUP(B9,'South Standings'!$A$2:$C$51,3,FALSE)</f>
        <v>5 / 1 / 0 / 0</v>
      </c>
      <c r="L9">
        <f t="shared" si="4"/>
        <v>5</v>
      </c>
      <c r="R9" t="str">
        <f>J11</f>
        <v>4 / 1 / 1 / 0</v>
      </c>
      <c r="S9">
        <f>AVERAGE(-7,-4,-3,-4,-2,-3,-3,-1,-4,-4,1)</f>
        <v>-3.0909090909090908</v>
      </c>
    </row>
    <row r="10" spans="1:19">
      <c r="A10">
        <f t="shared" si="3"/>
        <v>7</v>
      </c>
      <c r="B10" t="str">
        <f>VLOOKUP(A10,South!A:M,3,FALSE)</f>
        <v>Medfield</v>
      </c>
      <c r="C10" s="25">
        <v>7</v>
      </c>
      <c r="D10" s="22">
        <f>VLOOKUP(A10,South!A:B,2,FALSE)</f>
        <v>5</v>
      </c>
      <c r="E10" s="22" t="str">
        <f t="shared" si="0"/>
        <v>Down 2</v>
      </c>
      <c r="F10" s="22">
        <f t="shared" si="1"/>
        <v>2</v>
      </c>
      <c r="G10" s="22">
        <f t="shared" si="1"/>
        <v>2</v>
      </c>
      <c r="H10" s="22" t="str">
        <f t="shared" si="2"/>
        <v>Same</v>
      </c>
      <c r="I10" s="22" t="str">
        <f>VLOOKUP(B10,'South Standings'!$A$2:$C$51,2,FALSE)</f>
        <v>2 / 1 / 0 / 0</v>
      </c>
      <c r="J10" s="30" t="str">
        <f>VLOOKUP(B10,'South Standings'!$A$2:$C$51,3,FALSE)</f>
        <v>2 / 4 / 0 / 0</v>
      </c>
      <c r="L10">
        <f t="shared" si="4"/>
        <v>-2</v>
      </c>
      <c r="R10" t="str">
        <f>J26</f>
        <v>2 / 4 / 0 / 0</v>
      </c>
      <c r="S10">
        <f>AVERAGE(-6,-4,)</f>
        <v>-3.3333333333333335</v>
      </c>
    </row>
    <row r="11" spans="1:19" ht="15.75" thickBot="1">
      <c r="A11">
        <f t="shared" si="3"/>
        <v>8</v>
      </c>
      <c r="B11" t="str">
        <f>VLOOKUP(A11,South!A:M,3,FALSE)</f>
        <v>Dutchman Downs</v>
      </c>
      <c r="C11" s="31">
        <v>8</v>
      </c>
      <c r="D11" s="22">
        <f>VLOOKUP(A11,South!A:B,2,FALSE)</f>
        <v>9</v>
      </c>
      <c r="E11" s="32" t="str">
        <f t="shared" si="0"/>
        <v>Up 1</v>
      </c>
      <c r="F11" s="32">
        <f t="shared" si="1"/>
        <v>2</v>
      </c>
      <c r="G11" s="32">
        <f t="shared" si="1"/>
        <v>3</v>
      </c>
      <c r="H11" s="32" t="str">
        <f t="shared" si="2"/>
        <v>Up 1</v>
      </c>
      <c r="I11" s="22" t="str">
        <f>VLOOKUP(B11,'South Standings'!$A$2:$C$51,2,FALSE)</f>
        <v>2 / 1 / 0 / 0</v>
      </c>
      <c r="J11" s="30" t="str">
        <f>VLOOKUP(B11,'South Standings'!$A$2:$C$51,3,FALSE)</f>
        <v>4 / 1 / 1 / 0</v>
      </c>
      <c r="L11">
        <f t="shared" si="4"/>
        <v>1</v>
      </c>
    </row>
    <row r="12" spans="1:19">
      <c r="A12">
        <f t="shared" si="3"/>
        <v>9</v>
      </c>
      <c r="B12" t="str">
        <f>VLOOKUP(A12,South!A:M,3,FALSE)</f>
        <v>Abbington</v>
      </c>
      <c r="C12" s="25">
        <v>9</v>
      </c>
      <c r="D12" s="27">
        <f>VLOOKUP(A12,South!A:B,2,FALSE)</f>
        <v>7</v>
      </c>
      <c r="E12" s="22" t="str">
        <f t="shared" si="0"/>
        <v>Down 2</v>
      </c>
      <c r="F12" s="22">
        <f t="shared" si="1"/>
        <v>3</v>
      </c>
      <c r="G12" s="22">
        <f t="shared" si="1"/>
        <v>2</v>
      </c>
      <c r="H12" s="22" t="str">
        <f t="shared" si="2"/>
        <v>Down 1</v>
      </c>
      <c r="I12" s="27" t="str">
        <f>VLOOKUP(B12,'South Standings'!$A$2:$C$51,2,FALSE)</f>
        <v>1 / 1 / 0 / 1</v>
      </c>
      <c r="J12" s="29" t="str">
        <f>VLOOKUP(B12,'South Standings'!$A$2:$C$51,3,FALSE)</f>
        <v>3 / 2 / 1 / 0</v>
      </c>
      <c r="L12">
        <f t="shared" si="4"/>
        <v>-2</v>
      </c>
    </row>
    <row r="13" spans="1:19">
      <c r="A13">
        <f t="shared" si="3"/>
        <v>10</v>
      </c>
      <c r="B13" t="str">
        <f>VLOOKUP(A13,South!A:M,3,FALSE)</f>
        <v>WoodCreek</v>
      </c>
      <c r="C13" s="25">
        <v>10</v>
      </c>
      <c r="D13" s="22">
        <f>VLOOKUP(A13,South!A:B,2,FALSE)</f>
        <v>15</v>
      </c>
      <c r="E13" s="22" t="str">
        <f t="shared" si="0"/>
        <v>Up 5</v>
      </c>
      <c r="F13" s="22">
        <f t="shared" si="1"/>
        <v>3</v>
      </c>
      <c r="G13" s="22">
        <f t="shared" si="1"/>
        <v>4</v>
      </c>
      <c r="H13" s="22" t="str">
        <f t="shared" si="2"/>
        <v>Up 1</v>
      </c>
      <c r="I13" s="22" t="str">
        <f>VLOOKUP(B13,'South Standings'!$A$2:$C$51,2,FALSE)</f>
        <v>3 / 0 / 0 / 0</v>
      </c>
      <c r="J13" s="30" t="str">
        <f>VLOOKUP(B13,'South Standings'!$A$2:$C$51,3,FALSE)</f>
        <v>6 / 0 / 0 / 0</v>
      </c>
      <c r="L13">
        <f t="shared" si="4"/>
        <v>5</v>
      </c>
    </row>
    <row r="14" spans="1:19">
      <c r="A14">
        <f t="shared" si="3"/>
        <v>11</v>
      </c>
      <c r="B14" t="str">
        <f>VLOOKUP(A14,South!A:M,3,FALSE)</f>
        <v>Preston Village</v>
      </c>
      <c r="C14" s="25">
        <v>11</v>
      </c>
      <c r="D14" s="22">
        <f>VLOOKUP(A14,South!A:B,2,FALSE)</f>
        <v>13</v>
      </c>
      <c r="E14" s="22" t="str">
        <f t="shared" si="0"/>
        <v>Up 2</v>
      </c>
      <c r="F14" s="22">
        <f t="shared" si="1"/>
        <v>3</v>
      </c>
      <c r="G14" s="22">
        <f t="shared" si="1"/>
        <v>4</v>
      </c>
      <c r="H14" s="22" t="str">
        <f t="shared" si="2"/>
        <v>Up 1</v>
      </c>
      <c r="I14" s="22" t="str">
        <f>VLOOKUP(B14,'South Standings'!$A$2:$C$51,2,FALSE)</f>
        <v>2 / 1 / 0 / 0</v>
      </c>
      <c r="J14" s="30" t="str">
        <f>VLOOKUP(B14,'South Standings'!$A$2:$C$51,3,FALSE)</f>
        <v>4 / 2 / 0 / 0</v>
      </c>
      <c r="L14">
        <f t="shared" si="4"/>
        <v>2</v>
      </c>
    </row>
    <row r="15" spans="1:19" ht="15.75" thickBot="1">
      <c r="A15">
        <f t="shared" si="3"/>
        <v>12</v>
      </c>
      <c r="B15" t="str">
        <f>VLOOKUP(A15,South!A:M,3,FALSE)</f>
        <v>Lochmere</v>
      </c>
      <c r="C15" s="25">
        <v>12</v>
      </c>
      <c r="D15" s="22">
        <f>VLOOKUP(A15,South!A:B,2,FALSE)</f>
        <v>10</v>
      </c>
      <c r="E15" s="22" t="str">
        <f t="shared" si="0"/>
        <v>Down 2</v>
      </c>
      <c r="F15" s="22">
        <f t="shared" si="1"/>
        <v>3</v>
      </c>
      <c r="G15" s="22">
        <f t="shared" si="1"/>
        <v>3</v>
      </c>
      <c r="H15" s="22" t="str">
        <f t="shared" si="2"/>
        <v>Same</v>
      </c>
      <c r="I15" s="22" t="str">
        <f>VLOOKUP(B15,'South Standings'!$A$2:$C$51,2,FALSE)</f>
        <v>2 / 1 / 0 / 0</v>
      </c>
      <c r="J15" s="30" t="str">
        <f>VLOOKUP(B15,'South Standings'!$A$2:$C$51,3,FALSE)</f>
        <v>3 / 3 / 0 / 0</v>
      </c>
      <c r="L15">
        <f t="shared" si="4"/>
        <v>-2</v>
      </c>
    </row>
    <row r="16" spans="1:19">
      <c r="A16">
        <f t="shared" si="3"/>
        <v>13</v>
      </c>
      <c r="B16" t="str">
        <f>VLOOKUP(A16,South!A:M,3,FALSE)</f>
        <v>Prestonwood</v>
      </c>
      <c r="C16" s="26">
        <v>13</v>
      </c>
      <c r="D16" s="27">
        <f>VLOOKUP(A16,South!A:B,2,FALSE)</f>
        <v>8</v>
      </c>
      <c r="E16" s="27" t="str">
        <f t="shared" si="0"/>
        <v>Down 5</v>
      </c>
      <c r="F16" s="27">
        <f t="shared" si="1"/>
        <v>4</v>
      </c>
      <c r="G16" s="27">
        <f t="shared" si="1"/>
        <v>2</v>
      </c>
      <c r="H16" s="27" t="str">
        <f t="shared" si="2"/>
        <v>Down 2</v>
      </c>
      <c r="I16" s="27" t="str">
        <f>VLOOKUP(B16,'South Standings'!$A$2:$C$51,2,FALSE)</f>
        <v>0 / 3 / 0 / 0</v>
      </c>
      <c r="J16" s="29" t="str">
        <f>VLOOKUP(B16,'South Standings'!$A$2:$C$51,3,FALSE)</f>
        <v>0 / 6 / 0 / 0</v>
      </c>
      <c r="L16">
        <f t="shared" si="4"/>
        <v>-5</v>
      </c>
    </row>
    <row r="17" spans="1:12">
      <c r="A17">
        <f t="shared" si="3"/>
        <v>14</v>
      </c>
      <c r="B17" t="str">
        <f>VLOOKUP(A17,South!A:M,3,FALSE)</f>
        <v>Clubworx</v>
      </c>
      <c r="C17" s="25">
        <v>14</v>
      </c>
      <c r="D17" s="22">
        <f>VLOOKUP(A17,South!A:B,2,FALSE)</f>
        <v>17</v>
      </c>
      <c r="E17" s="22" t="str">
        <f t="shared" si="0"/>
        <v>Up 3</v>
      </c>
      <c r="F17" s="22">
        <f t="shared" si="1"/>
        <v>4</v>
      </c>
      <c r="G17" s="22">
        <f t="shared" si="1"/>
        <v>5</v>
      </c>
      <c r="H17" s="22" t="str">
        <f t="shared" si="2"/>
        <v>Up 1</v>
      </c>
      <c r="I17" s="22" t="str">
        <f>VLOOKUP(B17,'South Standings'!$A$2:$C$51,2,FALSE)</f>
        <v>3 / 0 / 0 / 0</v>
      </c>
      <c r="J17" s="30" t="str">
        <f>VLOOKUP(B17,'South Standings'!$A$2:$C$51,3,FALSE)</f>
        <v>5 / 1 / 0 / 0</v>
      </c>
      <c r="L17">
        <f t="shared" si="4"/>
        <v>3</v>
      </c>
    </row>
    <row r="18" spans="1:12">
      <c r="A18">
        <f t="shared" si="3"/>
        <v>15</v>
      </c>
      <c r="B18" t="str">
        <f>VLOOKUP(A18,South!A:M,3,FALSE)</f>
        <v>Olive Chapel</v>
      </c>
      <c r="C18" s="25">
        <v>15</v>
      </c>
      <c r="D18" s="22">
        <f>VLOOKUP(A18,South!A:B,2,FALSE)</f>
        <v>12</v>
      </c>
      <c r="E18" s="22" t="str">
        <f t="shared" si="0"/>
        <v>Down 3</v>
      </c>
      <c r="F18" s="22">
        <f t="shared" si="1"/>
        <v>4</v>
      </c>
      <c r="G18" s="22">
        <f t="shared" si="1"/>
        <v>3</v>
      </c>
      <c r="H18" s="22" t="str">
        <f t="shared" si="2"/>
        <v>Down 1</v>
      </c>
      <c r="I18" s="22" t="str">
        <f>VLOOKUP(B18,'South Standings'!$A$2:$C$51,2,FALSE)</f>
        <v>0 / 3 / 0 / 0</v>
      </c>
      <c r="J18" s="30" t="str">
        <f>VLOOKUP(B18,'South Standings'!$A$2:$C$51,3,FALSE)</f>
        <v>1 / 5 / 0 / 0</v>
      </c>
      <c r="L18">
        <f t="shared" si="4"/>
        <v>-3</v>
      </c>
    </row>
    <row r="19" spans="1:12" ht="15.75" thickBot="1">
      <c r="A19">
        <f t="shared" si="3"/>
        <v>16</v>
      </c>
      <c r="B19" t="str">
        <f>VLOOKUP(A19,South!A:M,3,FALSE)</f>
        <v>Wellsley</v>
      </c>
      <c r="C19" s="31">
        <v>16</v>
      </c>
      <c r="D19" s="22">
        <f>VLOOKUP(A19,South!A:B,2,FALSE)</f>
        <v>20</v>
      </c>
      <c r="E19" s="32" t="str">
        <f t="shared" si="0"/>
        <v>Up 4</v>
      </c>
      <c r="F19" s="32">
        <f t="shared" si="1"/>
        <v>4</v>
      </c>
      <c r="G19" s="32">
        <f t="shared" si="1"/>
        <v>5</v>
      </c>
      <c r="H19" s="32" t="str">
        <f t="shared" si="2"/>
        <v>Up 1</v>
      </c>
      <c r="I19" s="22" t="str">
        <f>VLOOKUP(B19,'South Standings'!$A$2:$C$51,2,FALSE)</f>
        <v>2 / 1 / 0 / 0</v>
      </c>
      <c r="J19" s="30" t="str">
        <f>VLOOKUP(B19,'South Standings'!$A$2:$C$51,3,FALSE)</f>
        <v>5 / 1 / 0 / 0</v>
      </c>
      <c r="L19">
        <f t="shared" si="4"/>
        <v>4</v>
      </c>
    </row>
    <row r="20" spans="1:12">
      <c r="A20">
        <f t="shared" si="3"/>
        <v>17</v>
      </c>
      <c r="B20" t="str">
        <f>VLOOKUP(A20,South!A:M,3,FALSE)</f>
        <v>Amberly</v>
      </c>
      <c r="C20" s="25">
        <v>17</v>
      </c>
      <c r="D20" s="27">
        <f>VLOOKUP(A20,South!A:B,2,FALSE)</f>
        <v>21</v>
      </c>
      <c r="E20" s="22" t="str">
        <f t="shared" si="0"/>
        <v>Up 4</v>
      </c>
      <c r="F20" s="22">
        <f t="shared" si="1"/>
        <v>5</v>
      </c>
      <c r="G20" s="22">
        <f t="shared" si="1"/>
        <v>6</v>
      </c>
      <c r="H20" s="22" t="str">
        <f t="shared" si="2"/>
        <v>Up 1</v>
      </c>
      <c r="I20" s="27" t="str">
        <f>VLOOKUP(B20,'South Standings'!$A$2:$C$51,2,FALSE)</f>
        <v>3 / 0 / 0 / 0</v>
      </c>
      <c r="J20" s="29" t="str">
        <f>VLOOKUP(B20,'South Standings'!$A$2:$C$51,3,FALSE)</f>
        <v>5 / 1 / 0 / 0</v>
      </c>
      <c r="L20">
        <f t="shared" si="4"/>
        <v>4</v>
      </c>
    </row>
    <row r="21" spans="1:12">
      <c r="A21">
        <f t="shared" si="3"/>
        <v>18</v>
      </c>
      <c r="B21" t="str">
        <f>VLOOKUP(A21,South!A:M,3,FALSE)</f>
        <v>Silverton</v>
      </c>
      <c r="C21" s="25">
        <v>18</v>
      </c>
      <c r="D21" s="22">
        <f>VLOOKUP(A21,South!A:B,2,FALSE)</f>
        <v>16</v>
      </c>
      <c r="E21" s="22" t="str">
        <f t="shared" si="0"/>
        <v>Down 2</v>
      </c>
      <c r="F21" s="22">
        <f t="shared" si="1"/>
        <v>5</v>
      </c>
      <c r="G21" s="22">
        <f t="shared" si="1"/>
        <v>4</v>
      </c>
      <c r="H21" s="22" t="str">
        <f t="shared" si="2"/>
        <v>Down 1</v>
      </c>
      <c r="I21" s="22" t="str">
        <f>VLOOKUP(B21,'South Standings'!$A$2:$C$51,2,FALSE)</f>
        <v>1 / 2 / 0 / 0</v>
      </c>
      <c r="J21" s="30" t="str">
        <f>VLOOKUP(B21,'South Standings'!$A$2:$C$51,3,FALSE)</f>
        <v>3 / 3 / 0 / 0</v>
      </c>
      <c r="L21">
        <f t="shared" si="4"/>
        <v>-2</v>
      </c>
    </row>
    <row r="22" spans="1:12">
      <c r="A22">
        <f t="shared" si="3"/>
        <v>19</v>
      </c>
      <c r="B22" t="str">
        <f>VLOOKUP(A22,South!A:M,3,FALSE)</f>
        <v>Brookstone</v>
      </c>
      <c r="C22" s="25">
        <v>19</v>
      </c>
      <c r="D22" s="22">
        <f>VLOOKUP(A22,South!A:B,2,FALSE)</f>
        <v>18</v>
      </c>
      <c r="E22" s="22" t="str">
        <f t="shared" si="0"/>
        <v>Down 1</v>
      </c>
      <c r="F22" s="22">
        <f t="shared" si="1"/>
        <v>5</v>
      </c>
      <c r="G22" s="22">
        <f t="shared" si="1"/>
        <v>5</v>
      </c>
      <c r="H22" s="22" t="str">
        <f t="shared" si="2"/>
        <v>Same</v>
      </c>
      <c r="I22" s="22" t="str">
        <f>VLOOKUP(B22,'South Standings'!$A$2:$C$51,2,FALSE)</f>
        <v>1 / 2 / 0 / 0</v>
      </c>
      <c r="J22" s="30" t="str">
        <f>VLOOKUP(B22,'South Standings'!$A$2:$C$51,3,FALSE)</f>
        <v>1 / 5 / 0 / 0</v>
      </c>
      <c r="L22">
        <f t="shared" si="4"/>
        <v>-1</v>
      </c>
    </row>
    <row r="23" spans="1:12" ht="15.75" thickBot="1">
      <c r="A23">
        <f t="shared" si="3"/>
        <v>20</v>
      </c>
      <c r="B23" t="str">
        <f>VLOOKUP(A23,South!A:M,3,FALSE)</f>
        <v>Walden Creek</v>
      </c>
      <c r="C23" s="31">
        <v>20</v>
      </c>
      <c r="D23" s="22">
        <f>VLOOKUP(A23,South!A:B,2,FALSE)</f>
        <v>14</v>
      </c>
      <c r="E23" s="22" t="str">
        <f t="shared" si="0"/>
        <v>Down 6</v>
      </c>
      <c r="F23" s="22">
        <f t="shared" si="1"/>
        <v>5</v>
      </c>
      <c r="G23" s="22">
        <f t="shared" si="1"/>
        <v>4</v>
      </c>
      <c r="H23" s="22" t="str">
        <f t="shared" si="2"/>
        <v>Down 1</v>
      </c>
      <c r="I23" s="22" t="str">
        <f>VLOOKUP(B23,'South Standings'!$A$2:$C$51,2,FALSE)</f>
        <v>0 / 3 / 0 / 0</v>
      </c>
      <c r="J23" s="30" t="str">
        <f>VLOOKUP(B23,'South Standings'!$A$2:$C$51,3,FALSE)</f>
        <v>0 / 6 / 0 / 0</v>
      </c>
      <c r="L23">
        <f t="shared" si="4"/>
        <v>-6</v>
      </c>
    </row>
    <row r="24" spans="1:12">
      <c r="A24">
        <f t="shared" si="3"/>
        <v>21</v>
      </c>
      <c r="B24" t="str">
        <f>VLOOKUP(A24,South!A:M,3,FALSE)</f>
        <v>Regency</v>
      </c>
      <c r="C24" s="26">
        <v>21</v>
      </c>
      <c r="D24" s="27">
        <f>VLOOKUP(A24,South!A:B,2,FALSE)</f>
        <v>19</v>
      </c>
      <c r="E24" s="27" t="str">
        <f t="shared" si="0"/>
        <v>Down 2</v>
      </c>
      <c r="F24" s="27">
        <f t="shared" si="1"/>
        <v>6</v>
      </c>
      <c r="G24" s="27">
        <f t="shared" si="1"/>
        <v>5</v>
      </c>
      <c r="H24" s="27" t="str">
        <f t="shared" si="2"/>
        <v>Down 1</v>
      </c>
      <c r="I24" s="27" t="str">
        <f>VLOOKUP(B24,'South Standings'!$A$2:$C$51,2,FALSE)</f>
        <v>0 / 3 / 0 / 0</v>
      </c>
      <c r="J24" s="29" t="str">
        <f>VLOOKUP(B24,'South Standings'!$A$2:$C$51,3,FALSE)</f>
        <v>1 / 5 / 0 / 0</v>
      </c>
      <c r="L24">
        <f t="shared" si="4"/>
        <v>-2</v>
      </c>
    </row>
    <row r="25" spans="1:12">
      <c r="A25">
        <f t="shared" si="3"/>
        <v>22</v>
      </c>
      <c r="B25" t="str">
        <f>VLOOKUP(A25,South!A:M,3,FALSE)</f>
        <v>Oxxford Hunt</v>
      </c>
      <c r="C25" s="25">
        <v>22</v>
      </c>
      <c r="D25" s="22">
        <f>VLOOKUP(A25,South!A:B,2,FALSE)</f>
        <v>25</v>
      </c>
      <c r="E25" s="22" t="str">
        <f t="shared" si="0"/>
        <v>Up 3</v>
      </c>
      <c r="F25" s="22">
        <f t="shared" si="1"/>
        <v>6</v>
      </c>
      <c r="G25" s="22">
        <f t="shared" si="1"/>
        <v>7</v>
      </c>
      <c r="H25" s="22" t="str">
        <f t="shared" si="2"/>
        <v>Up 1</v>
      </c>
      <c r="I25" s="22" t="str">
        <f>VLOOKUP(B25,'South Standings'!$A$2:$C$51,2,FALSE)</f>
        <v>3 / 0 / 0 / 0</v>
      </c>
      <c r="J25" s="30" t="str">
        <f>VLOOKUP(B25,'South Standings'!$A$2:$C$51,3,FALSE)</f>
        <v>5 / 1 / 0 / 0</v>
      </c>
      <c r="L25">
        <f t="shared" si="4"/>
        <v>3</v>
      </c>
    </row>
    <row r="26" spans="1:12">
      <c r="A26">
        <f t="shared" si="3"/>
        <v>23</v>
      </c>
      <c r="B26" t="str">
        <f>VLOOKUP(A26,South!A:M,3,FALSE)</f>
        <v>Highcroft</v>
      </c>
      <c r="C26" s="25">
        <v>23</v>
      </c>
      <c r="D26" s="22">
        <f>VLOOKUP(A26,South!A:B,2,FALSE)</f>
        <v>22</v>
      </c>
      <c r="E26" s="22" t="str">
        <f t="shared" si="0"/>
        <v>Down 1</v>
      </c>
      <c r="F26" s="22">
        <f t="shared" si="1"/>
        <v>6</v>
      </c>
      <c r="G26" s="22">
        <f t="shared" si="1"/>
        <v>6</v>
      </c>
      <c r="H26" s="22" t="str">
        <f t="shared" si="2"/>
        <v>Same</v>
      </c>
      <c r="I26" s="22" t="str">
        <f>VLOOKUP(B26,'South Standings'!$A$2:$C$51,2,FALSE)</f>
        <v>2 / 1 / 0 / 0</v>
      </c>
      <c r="J26" s="30" t="str">
        <f>VLOOKUP(B26,'South Standings'!$A$2:$C$51,3,FALSE)</f>
        <v>2 / 4 / 0 / 0</v>
      </c>
      <c r="L26">
        <f t="shared" si="4"/>
        <v>-1</v>
      </c>
    </row>
    <row r="27" spans="1:12" ht="15.75" thickBot="1">
      <c r="A27">
        <f t="shared" si="3"/>
        <v>24</v>
      </c>
      <c r="B27" t="str">
        <f>VLOOKUP(A27,South!A:M,3,FALSE)</f>
        <v>Life Time Fitness Cary</v>
      </c>
      <c r="C27" s="31">
        <v>24</v>
      </c>
      <c r="D27" s="22">
        <f>VLOOKUP(A27,South!A:B,2,FALSE)</f>
        <v>29</v>
      </c>
      <c r="E27" s="32" t="str">
        <f t="shared" si="0"/>
        <v>Up 5</v>
      </c>
      <c r="F27" s="32">
        <f t="shared" si="1"/>
        <v>6</v>
      </c>
      <c r="G27" s="32">
        <f t="shared" si="1"/>
        <v>8</v>
      </c>
      <c r="H27" s="32" t="str">
        <f t="shared" si="2"/>
        <v>Up 2</v>
      </c>
      <c r="I27" s="22" t="str">
        <f>VLOOKUP(B27,'South Standings'!$A$2:$C$51,2,FALSE)</f>
        <v>3 / 0 / 0 / 0</v>
      </c>
      <c r="J27" s="30" t="str">
        <f>VLOOKUP(B27,'South Standings'!$A$2:$C$51,3,FALSE)</f>
        <v>6 / 0 / 0 / 0</v>
      </c>
      <c r="L27">
        <f t="shared" si="4"/>
        <v>5</v>
      </c>
    </row>
    <row r="28" spans="1:12">
      <c r="A28">
        <f t="shared" si="3"/>
        <v>25</v>
      </c>
      <c r="B28" t="str">
        <f>VLOOKUP(A28,South!A:M,3,FALSE)</f>
        <v>Weldon Ridge</v>
      </c>
      <c r="C28" s="25">
        <v>25</v>
      </c>
      <c r="D28" s="27">
        <f>VLOOKUP(A28,South!A:B,2,FALSE)</f>
        <v>24</v>
      </c>
      <c r="E28" s="22" t="str">
        <f t="shared" si="0"/>
        <v>Down 1</v>
      </c>
      <c r="F28" s="22">
        <f t="shared" si="1"/>
        <v>7</v>
      </c>
      <c r="G28" s="22">
        <f t="shared" si="1"/>
        <v>6</v>
      </c>
      <c r="H28" s="22" t="str">
        <f t="shared" si="2"/>
        <v>Down 1</v>
      </c>
      <c r="I28" s="27" t="str">
        <f>VLOOKUP(B28,'South Standings'!$A$2:$C$51,2,FALSE)</f>
        <v>0 / 3 / 0 / 0</v>
      </c>
      <c r="J28" s="29" t="str">
        <f>VLOOKUP(B28,'South Standings'!$A$2:$C$51,3,FALSE)</f>
        <v>2 / 4 / 0 / 0</v>
      </c>
      <c r="L28">
        <f t="shared" si="4"/>
        <v>-1</v>
      </c>
    </row>
    <row r="29" spans="1:12">
      <c r="A29">
        <f t="shared" si="3"/>
        <v>26</v>
      </c>
      <c r="B29" t="str">
        <f>VLOOKUP(A29,South!A:M,3,FALSE)</f>
        <v>Haddon Hall</v>
      </c>
      <c r="C29" s="25">
        <v>26</v>
      </c>
      <c r="D29" s="22">
        <f>VLOOKUP(A29,South!A:B,2,FALSE)</f>
        <v>26</v>
      </c>
      <c r="E29" s="22" t="str">
        <f t="shared" si="0"/>
        <v>Same</v>
      </c>
      <c r="F29" s="22">
        <f t="shared" si="1"/>
        <v>7</v>
      </c>
      <c r="G29" s="22">
        <f t="shared" si="1"/>
        <v>7</v>
      </c>
      <c r="H29" s="22" t="str">
        <f t="shared" si="2"/>
        <v>Same</v>
      </c>
      <c r="I29" s="22" t="str">
        <f>VLOOKUP(B29,'South Standings'!$A$2:$C$51,2,FALSE)</f>
        <v>1 / 2 / 0 / 0</v>
      </c>
      <c r="J29" s="30" t="str">
        <f>VLOOKUP(B29,'South Standings'!$A$2:$C$51,3,FALSE)</f>
        <v>2 / 4 / 0 / 0</v>
      </c>
      <c r="L29">
        <f t="shared" si="4"/>
        <v>0</v>
      </c>
    </row>
    <row r="30" spans="1:12">
      <c r="A30">
        <f t="shared" si="3"/>
        <v>27</v>
      </c>
      <c r="B30" t="str">
        <f>VLOOKUP(A30,South!A:M,3,FALSE)</f>
        <v>Weatherstone</v>
      </c>
      <c r="C30" s="25">
        <v>27</v>
      </c>
      <c r="D30" s="22">
        <f>VLOOKUP(A30,South!A:B,2,FALSE)</f>
        <v>23</v>
      </c>
      <c r="E30" s="22" t="str">
        <f t="shared" si="0"/>
        <v>Down 4</v>
      </c>
      <c r="F30" s="22">
        <f t="shared" si="1"/>
        <v>7</v>
      </c>
      <c r="G30" s="22">
        <f t="shared" si="1"/>
        <v>6</v>
      </c>
      <c r="H30" s="22" t="str">
        <f t="shared" si="2"/>
        <v>Down 1</v>
      </c>
      <c r="I30" s="22" t="str">
        <f>VLOOKUP(B30,'South Standings'!$A$2:$C$51,2,FALSE)</f>
        <v>1 / 2 / 0 / 0</v>
      </c>
      <c r="J30" s="30" t="str">
        <f>VLOOKUP(B30,'South Standings'!$A$2:$C$51,3,FALSE)</f>
        <v>1 / 5 / 0 / 0</v>
      </c>
      <c r="L30">
        <f t="shared" si="4"/>
        <v>-4</v>
      </c>
    </row>
    <row r="31" spans="1:12" ht="15.75" thickBot="1">
      <c r="A31">
        <f t="shared" si="3"/>
        <v>28</v>
      </c>
      <c r="B31" t="str">
        <f>VLOOKUP(A31,South!A:M,3,FALSE)</f>
        <v>Holly Glen</v>
      </c>
      <c r="C31" s="25">
        <v>28</v>
      </c>
      <c r="D31" s="22">
        <f>VLOOKUP(A31,South!A:B,2,FALSE)</f>
        <v>30</v>
      </c>
      <c r="E31" s="22" t="str">
        <f t="shared" si="0"/>
        <v>Up 2</v>
      </c>
      <c r="F31" s="22">
        <f t="shared" si="1"/>
        <v>7</v>
      </c>
      <c r="G31" s="22">
        <f t="shared" si="1"/>
        <v>8</v>
      </c>
      <c r="H31" s="22" t="str">
        <f t="shared" si="2"/>
        <v>Up 1</v>
      </c>
      <c r="I31" s="22" t="str">
        <f>VLOOKUP(B31,'South Standings'!$A$2:$C$51,2,FALSE)</f>
        <v>2 / 1 / 0 / 0</v>
      </c>
      <c r="J31" s="30" t="str">
        <f>VLOOKUP(B31,'South Standings'!$A$2:$C$51,3,FALSE)</f>
        <v>4 / 2 / 0 / 0</v>
      </c>
      <c r="L31">
        <f t="shared" si="4"/>
        <v>2</v>
      </c>
    </row>
    <row r="32" spans="1:12">
      <c r="A32">
        <f t="shared" si="3"/>
        <v>29</v>
      </c>
      <c r="B32" t="str">
        <f>VLOOKUP(A32,South!A:M,3,FALSE)</f>
        <v>Bella Casa</v>
      </c>
      <c r="C32" s="26">
        <v>29</v>
      </c>
      <c r="D32" s="27">
        <f>VLOOKUP(A32,South!A:B,2,FALSE)</f>
        <v>31</v>
      </c>
      <c r="E32" s="27" t="str">
        <f t="shared" si="0"/>
        <v>Up 2</v>
      </c>
      <c r="F32" s="27">
        <f t="shared" si="1"/>
        <v>8</v>
      </c>
      <c r="G32" s="27">
        <f t="shared" si="1"/>
        <v>8</v>
      </c>
      <c r="H32" s="27" t="str">
        <f t="shared" si="2"/>
        <v>Same</v>
      </c>
      <c r="I32" s="27" t="str">
        <f>VLOOKUP(B32,'South Standings'!$A$2:$C$51,2,FALSE)</f>
        <v>1 / 2 / 0 / 0</v>
      </c>
      <c r="J32" s="29" t="str">
        <f>VLOOKUP(B32,'South Standings'!$A$2:$C$51,3,FALSE)</f>
        <v>4 / 2 / 0 / 0</v>
      </c>
      <c r="L32">
        <f t="shared" si="4"/>
        <v>2</v>
      </c>
    </row>
    <row r="33" spans="1:12">
      <c r="A33">
        <f t="shared" si="3"/>
        <v>30</v>
      </c>
      <c r="B33" t="str">
        <f>VLOOKUP(A33,South!A:M,3,FALSE)</f>
        <v>Scotts Mill</v>
      </c>
      <c r="C33" s="25">
        <v>30</v>
      </c>
      <c r="D33" s="22">
        <f>VLOOKUP(A33,South!A:B,2,FALSE)</f>
        <v>27</v>
      </c>
      <c r="E33" s="22" t="str">
        <f t="shared" si="0"/>
        <v>Down 3</v>
      </c>
      <c r="F33" s="22">
        <f t="shared" si="1"/>
        <v>8</v>
      </c>
      <c r="G33" s="22">
        <f t="shared" si="1"/>
        <v>7</v>
      </c>
      <c r="H33" s="22" t="str">
        <f t="shared" si="2"/>
        <v>Down 1</v>
      </c>
      <c r="I33" s="22" t="str">
        <f>VLOOKUP(B33,'South Standings'!$A$2:$C$51,2,FALSE)</f>
        <v>1 / 2 / 0 / 0</v>
      </c>
      <c r="J33" s="30" t="str">
        <f>VLOOKUP(B33,'South Standings'!$A$2:$C$51,3,FALSE)</f>
        <v>2 / 4 / 0 / 0</v>
      </c>
      <c r="L33">
        <f t="shared" si="4"/>
        <v>-3</v>
      </c>
    </row>
    <row r="34" spans="1:12">
      <c r="A34">
        <f t="shared" si="3"/>
        <v>31</v>
      </c>
      <c r="B34" t="str">
        <f>VLOOKUP(A34,South!A:M,3,FALSE)</f>
        <v>Kitts Creek</v>
      </c>
      <c r="C34" s="25">
        <v>31</v>
      </c>
      <c r="D34" s="22">
        <f>VLOOKUP(A34,South!A:B,2,FALSE)</f>
        <v>37</v>
      </c>
      <c r="E34" s="22" t="str">
        <f t="shared" si="0"/>
        <v>Up 6</v>
      </c>
      <c r="F34" s="22">
        <f t="shared" si="1"/>
        <v>8</v>
      </c>
      <c r="G34" s="22">
        <f t="shared" si="1"/>
        <v>10</v>
      </c>
      <c r="H34" s="22" t="str">
        <f t="shared" si="2"/>
        <v>Up 2</v>
      </c>
      <c r="I34" s="22" t="str">
        <f>VLOOKUP(B34,'South Standings'!$A$2:$C$51,2,FALSE)</f>
        <v>3 / 0 / 0 / 0</v>
      </c>
      <c r="J34" s="30" t="str">
        <f>VLOOKUP(B34,'South Standings'!$A$2:$C$51,3,FALSE)</f>
        <v>6 / 0 / 0 / 0</v>
      </c>
      <c r="L34">
        <f t="shared" si="4"/>
        <v>6</v>
      </c>
    </row>
    <row r="35" spans="1:12" ht="15.75" thickBot="1">
      <c r="A35">
        <f t="shared" si="3"/>
        <v>32</v>
      </c>
      <c r="B35" t="str">
        <f>VLOOKUP(A35,South!A:M,3,FALSE)</f>
        <v>Bentwinds</v>
      </c>
      <c r="C35" s="31">
        <v>32</v>
      </c>
      <c r="D35" s="22">
        <f>VLOOKUP(A35,South!A:B,2,FALSE)</f>
        <v>36</v>
      </c>
      <c r="E35" s="32" t="str">
        <f t="shared" si="0"/>
        <v>Up 4</v>
      </c>
      <c r="F35" s="32">
        <f t="shared" si="1"/>
        <v>8</v>
      </c>
      <c r="G35" s="32">
        <f t="shared" si="1"/>
        <v>9</v>
      </c>
      <c r="H35" s="32" t="str">
        <f t="shared" si="2"/>
        <v>Up 1</v>
      </c>
      <c r="I35" s="22" t="str">
        <f>VLOOKUP(B35,'South Standings'!$A$2:$C$51,2,FALSE)</f>
        <v>3 / 0 / 0 / 0</v>
      </c>
      <c r="J35" s="30" t="str">
        <f>VLOOKUP(B35,'South Standings'!$A$2:$C$51,3,FALSE)</f>
        <v>2 / 4 / 0 / 0</v>
      </c>
      <c r="L35">
        <f t="shared" si="4"/>
        <v>4</v>
      </c>
    </row>
    <row r="36" spans="1:12">
      <c r="A36">
        <f t="shared" si="3"/>
        <v>33</v>
      </c>
      <c r="B36" t="str">
        <f>VLOOKUP(A36,South!A:M,3,FALSE)</f>
        <v>TCC</v>
      </c>
      <c r="C36" s="25">
        <v>33</v>
      </c>
      <c r="D36" s="27">
        <f>VLOOKUP(A36,South!A:B,2,FALSE)</f>
        <v>33</v>
      </c>
      <c r="E36" s="27" t="str">
        <f t="shared" si="0"/>
        <v>Same</v>
      </c>
      <c r="F36" s="27">
        <f t="shared" ref="F36:G51" si="5">ROUND(C36/4+0.49,0)</f>
        <v>9</v>
      </c>
      <c r="G36" s="27">
        <f t="shared" si="5"/>
        <v>9</v>
      </c>
      <c r="H36" s="27" t="str">
        <f t="shared" si="2"/>
        <v>Same</v>
      </c>
      <c r="I36" s="27" t="str">
        <f>VLOOKUP(B36,'South Standings'!$A$2:$C$51,2,FALSE)</f>
        <v>1 / 2 / 0 / 0</v>
      </c>
      <c r="J36" s="29" t="str">
        <f>VLOOKUP(B36,'South Standings'!$A$2:$C$51,3,FALSE)</f>
        <v>3 / 3 / 0 / 0</v>
      </c>
      <c r="L36">
        <f t="shared" si="4"/>
        <v>0</v>
      </c>
    </row>
    <row r="37" spans="1:12">
      <c r="A37">
        <f t="shared" si="3"/>
        <v>34</v>
      </c>
      <c r="B37" t="str">
        <f>VLOOKUP(A37,South!A:M,3,FALSE)</f>
        <v>Park at West Lake</v>
      </c>
      <c r="C37" s="25">
        <v>34</v>
      </c>
      <c r="D37" s="22">
        <f>VLOOKUP(A37,South!A:B,2,FALSE)</f>
        <v>28</v>
      </c>
      <c r="E37" s="22" t="str">
        <f t="shared" si="0"/>
        <v>Down 6</v>
      </c>
      <c r="F37" s="22">
        <f t="shared" si="5"/>
        <v>9</v>
      </c>
      <c r="G37" s="22">
        <f t="shared" si="5"/>
        <v>7</v>
      </c>
      <c r="H37" s="22" t="str">
        <f t="shared" si="2"/>
        <v>Down 2</v>
      </c>
      <c r="I37" s="22" t="str">
        <f>VLOOKUP(B37,'South Standings'!$A$2:$C$51,2,FALSE)</f>
        <v>1 / 2 / 0 / 0</v>
      </c>
      <c r="J37" s="30" t="str">
        <f>VLOOKUP(B37,'South Standings'!$A$2:$C$51,3,FALSE)</f>
        <v>1 / 5 / 0 / 0</v>
      </c>
      <c r="L37">
        <f t="shared" si="4"/>
        <v>-6</v>
      </c>
    </row>
    <row r="38" spans="1:12">
      <c r="A38">
        <f t="shared" si="3"/>
        <v>35</v>
      </c>
      <c r="B38" t="str">
        <f>VLOOKUP(A38,South!A:M,3,FALSE)</f>
        <v>Park Village</v>
      </c>
      <c r="C38" s="25">
        <v>35</v>
      </c>
      <c r="D38" s="22">
        <f>VLOOKUP(A38,South!A:B,2,FALSE)</f>
        <v>38</v>
      </c>
      <c r="E38" s="22" t="str">
        <f t="shared" si="0"/>
        <v>Up 3</v>
      </c>
      <c r="F38" s="22">
        <f t="shared" si="5"/>
        <v>9</v>
      </c>
      <c r="G38" s="22">
        <f t="shared" si="5"/>
        <v>10</v>
      </c>
      <c r="H38" s="22" t="str">
        <f t="shared" si="2"/>
        <v>Up 1</v>
      </c>
      <c r="I38" s="22" t="str">
        <f>VLOOKUP(B38,'South Standings'!$A$2:$C$51,2,FALSE)</f>
        <v>2 / 1 / 0 / 0</v>
      </c>
      <c r="J38" s="30" t="str">
        <f>VLOOKUP(B38,'South Standings'!$A$2:$C$51,3,FALSE)</f>
        <v>4 / 2 / 0 / 0</v>
      </c>
      <c r="L38">
        <f t="shared" si="4"/>
        <v>3</v>
      </c>
    </row>
    <row r="39" spans="1:12" ht="15.75" thickBot="1">
      <c r="A39">
        <f t="shared" si="3"/>
        <v>36</v>
      </c>
      <c r="B39" t="str">
        <f>VLOOKUP(A39,South!A:M,3,FALSE)</f>
        <v>Carpenter Village</v>
      </c>
      <c r="C39" s="25">
        <v>36</v>
      </c>
      <c r="D39" s="22">
        <f>VLOOKUP(A39,South!A:B,2,FALSE)</f>
        <v>35</v>
      </c>
      <c r="E39" s="32" t="str">
        <f t="shared" si="0"/>
        <v>Down 1</v>
      </c>
      <c r="F39" s="32">
        <f t="shared" si="5"/>
        <v>9</v>
      </c>
      <c r="G39" s="32">
        <f t="shared" si="5"/>
        <v>9</v>
      </c>
      <c r="H39" s="32" t="str">
        <f t="shared" si="2"/>
        <v>Same</v>
      </c>
      <c r="I39" s="22" t="str">
        <f>VLOOKUP(B39,'South Standings'!$A$2:$C$51,2,FALSE)</f>
        <v>1 / 2 / 0 / 0</v>
      </c>
      <c r="J39" s="30" t="str">
        <f>VLOOKUP(B39,'South Standings'!$A$2:$C$51,3,FALSE)</f>
        <v>2 / 4 / 0 / 0</v>
      </c>
      <c r="L39">
        <f t="shared" si="4"/>
        <v>-1</v>
      </c>
    </row>
    <row r="40" spans="1:12">
      <c r="A40">
        <f t="shared" si="3"/>
        <v>37</v>
      </c>
      <c r="B40" t="str">
        <f>VLOOKUP(A40,South!A:M,3,FALSE)</f>
        <v>Kildaire Farms</v>
      </c>
      <c r="C40" s="26">
        <v>37</v>
      </c>
      <c r="D40" s="27">
        <f>VLOOKUP(A40,South!A:B,2,FALSE)</f>
        <v>34</v>
      </c>
      <c r="E40" s="27" t="str">
        <f t="shared" si="0"/>
        <v>Down 3</v>
      </c>
      <c r="F40" s="27">
        <f t="shared" si="5"/>
        <v>10</v>
      </c>
      <c r="G40" s="27">
        <f t="shared" si="5"/>
        <v>9</v>
      </c>
      <c r="H40" s="27" t="str">
        <f t="shared" si="2"/>
        <v>Down 1</v>
      </c>
      <c r="I40" s="27" t="str">
        <f>VLOOKUP(B40,'South Standings'!$A$2:$C$51,2,FALSE)</f>
        <v>1 / 2 / 0 / 0</v>
      </c>
      <c r="J40" s="29" t="str">
        <f>VLOOKUP(B40,'South Standings'!$A$2:$C$51,3,FALSE)</f>
        <v>2 / 4 / 0 / 0</v>
      </c>
      <c r="L40">
        <f t="shared" si="4"/>
        <v>-3</v>
      </c>
    </row>
    <row r="41" spans="1:12">
      <c r="A41">
        <f t="shared" si="3"/>
        <v>38</v>
      </c>
      <c r="B41" t="str">
        <f>VLOOKUP(A41,South!A:M,3,FALSE)</f>
        <v>The Reserve</v>
      </c>
      <c r="C41" s="25">
        <v>38</v>
      </c>
      <c r="D41" s="22">
        <f>VLOOKUP(A41,South!A:B,2,FALSE)</f>
        <v>32</v>
      </c>
      <c r="E41" s="22" t="str">
        <f t="shared" si="0"/>
        <v>Down 6</v>
      </c>
      <c r="F41" s="22">
        <f t="shared" si="5"/>
        <v>10</v>
      </c>
      <c r="G41" s="22">
        <f t="shared" si="5"/>
        <v>8</v>
      </c>
      <c r="H41" s="22" t="str">
        <f t="shared" si="2"/>
        <v>Down 2</v>
      </c>
      <c r="I41" s="22" t="str">
        <f>VLOOKUP(B41,'South Standings'!$A$2:$C$51,2,FALSE)</f>
        <v>0 / 3 / 0 / 0</v>
      </c>
      <c r="J41" s="30" t="str">
        <f>VLOOKUP(B41,'South Standings'!$A$2:$C$51,3,FALSE)</f>
        <v>0 / 6 / 0 / 0</v>
      </c>
      <c r="L41">
        <f t="shared" si="4"/>
        <v>-6</v>
      </c>
    </row>
    <row r="42" spans="1:12">
      <c r="A42">
        <f t="shared" si="3"/>
        <v>39</v>
      </c>
      <c r="B42" t="str">
        <f>VLOOKUP(A42,South!A:M,3,FALSE)</f>
        <v>Eagle Ridge</v>
      </c>
      <c r="C42" s="25">
        <v>39</v>
      </c>
      <c r="D42" s="22">
        <f>VLOOKUP(A42,South!A:B,2,FALSE)</f>
        <v>40</v>
      </c>
      <c r="E42" s="22" t="str">
        <f t="shared" si="0"/>
        <v>Up 1</v>
      </c>
      <c r="F42" s="22">
        <f t="shared" si="5"/>
        <v>10</v>
      </c>
      <c r="G42" s="22">
        <f t="shared" si="5"/>
        <v>10</v>
      </c>
      <c r="H42" s="22" t="str">
        <f t="shared" si="2"/>
        <v>Same</v>
      </c>
      <c r="I42" s="22" t="str">
        <f>VLOOKUP(B42,'South Standings'!$A$2:$C$51,2,FALSE)</f>
        <v>1 / 2 / 0 / 0</v>
      </c>
      <c r="J42" s="30" t="str">
        <f>VLOOKUP(B42,'South Standings'!$A$2:$C$51,3,FALSE)</f>
        <v>4 / 2 / 0 / 0</v>
      </c>
      <c r="L42">
        <f t="shared" si="4"/>
        <v>1</v>
      </c>
    </row>
    <row r="43" spans="1:12" ht="15.75" thickBot="1">
      <c r="A43">
        <f t="shared" si="3"/>
        <v>40</v>
      </c>
      <c r="B43" t="str">
        <f>VLOOKUP(A43,South!A:M,3,FALSE)</f>
        <v>Glenridge</v>
      </c>
      <c r="C43" s="31">
        <v>40</v>
      </c>
      <c r="D43" s="22">
        <f>VLOOKUP(A43,South!A:B,2,FALSE)</f>
        <v>41</v>
      </c>
      <c r="E43" s="32" t="str">
        <f t="shared" si="0"/>
        <v>Up 1</v>
      </c>
      <c r="F43" s="32">
        <f t="shared" si="5"/>
        <v>10</v>
      </c>
      <c r="G43" s="32">
        <f t="shared" si="5"/>
        <v>11</v>
      </c>
      <c r="H43" s="32" t="str">
        <f t="shared" si="2"/>
        <v>Up 1</v>
      </c>
      <c r="I43" s="22" t="str">
        <f>VLOOKUP(B43,'South Standings'!$A$2:$C$51,2,FALSE)</f>
        <v>3 / 0 / 0 / 0</v>
      </c>
      <c r="J43" s="30" t="str">
        <f>VLOOKUP(B43,'South Standings'!$A$2:$C$51,3,FALSE)</f>
        <v>4 / 2 / 0 / 0</v>
      </c>
      <c r="L43">
        <f t="shared" si="4"/>
        <v>1</v>
      </c>
    </row>
    <row r="44" spans="1:12">
      <c r="A44">
        <f t="shared" si="3"/>
        <v>41</v>
      </c>
      <c r="B44" t="str">
        <f>VLOOKUP(A44,South!A:M,3,FALSE)</f>
        <v>Arbor Creek</v>
      </c>
      <c r="C44" s="26">
        <v>41</v>
      </c>
      <c r="D44" s="27">
        <f>VLOOKUP(A44,South!A:B,2,FALSE)</f>
        <v>46</v>
      </c>
      <c r="E44" s="27" t="str">
        <f t="shared" si="0"/>
        <v>Up 5</v>
      </c>
      <c r="F44" s="27">
        <f t="shared" si="5"/>
        <v>11</v>
      </c>
      <c r="G44" s="27">
        <f t="shared" si="5"/>
        <v>12</v>
      </c>
      <c r="H44" s="27" t="str">
        <f t="shared" si="2"/>
        <v>Up 1</v>
      </c>
      <c r="I44" s="27" t="str">
        <f>VLOOKUP(B44,'South Standings'!$A$2:$C$51,2,FALSE)</f>
        <v>2 / 0 / 0 / 0</v>
      </c>
      <c r="J44" s="29" t="str">
        <f>VLOOKUP(B44,'South Standings'!$A$2:$C$51,3,FALSE)</f>
        <v>5 / 1 / 0 / 0</v>
      </c>
      <c r="L44">
        <f t="shared" si="4"/>
        <v>5</v>
      </c>
    </row>
    <row r="45" spans="1:12">
      <c r="A45">
        <f t="shared" si="3"/>
        <v>42</v>
      </c>
      <c r="B45" t="str">
        <f>VLOOKUP(A45,South!A:M,3,FALSE)</f>
        <v>Brighton Forest</v>
      </c>
      <c r="C45" s="25">
        <v>42</v>
      </c>
      <c r="D45" s="22">
        <f>VLOOKUP(A45,South!A:B,2,FALSE)</f>
        <v>39</v>
      </c>
      <c r="E45" s="22" t="str">
        <f t="shared" si="0"/>
        <v>Down 3</v>
      </c>
      <c r="F45" s="22">
        <f t="shared" si="5"/>
        <v>11</v>
      </c>
      <c r="G45" s="22">
        <f t="shared" si="5"/>
        <v>10</v>
      </c>
      <c r="H45" s="22" t="str">
        <f t="shared" si="2"/>
        <v>Down 1</v>
      </c>
      <c r="I45" s="22" t="str">
        <f>VLOOKUP(B45,'South Standings'!$A$2:$C$51,2,FALSE)</f>
        <v>0 / 3 / 0 / 0</v>
      </c>
      <c r="J45" s="30" t="str">
        <f>VLOOKUP(B45,'South Standings'!$A$2:$C$51,3,FALSE)</f>
        <v>1 / 5 / 0 / 0</v>
      </c>
      <c r="L45">
        <f t="shared" si="4"/>
        <v>-3</v>
      </c>
    </row>
    <row r="46" spans="1:12">
      <c r="A46">
        <f t="shared" si="3"/>
        <v>43</v>
      </c>
      <c r="B46" t="str">
        <f>VLOOKUP(A46,South!A:M,3,FALSE)</f>
        <v>Charleston Village</v>
      </c>
      <c r="C46" s="25">
        <v>43</v>
      </c>
      <c r="D46" s="22">
        <f>VLOOKUP(A46,South!A:B,2,FALSE)</f>
        <v>45</v>
      </c>
      <c r="E46" s="22" t="str">
        <f t="shared" si="0"/>
        <v>Up 2</v>
      </c>
      <c r="F46" s="22">
        <f t="shared" si="5"/>
        <v>11</v>
      </c>
      <c r="G46" s="22">
        <f t="shared" si="5"/>
        <v>12</v>
      </c>
      <c r="H46" s="22" t="str">
        <f t="shared" si="2"/>
        <v>Up 1</v>
      </c>
      <c r="I46" s="22" t="str">
        <f>VLOOKUP(B46,'South Standings'!$A$2:$C$51,2,FALSE)</f>
        <v>1 / 1 / 0 / 0</v>
      </c>
      <c r="J46" s="30" t="str">
        <f>VLOOKUP(B46,'South Standings'!$A$2:$C$51,3,FALSE)</f>
        <v>5 / 1 / 0 / 0</v>
      </c>
      <c r="L46">
        <f t="shared" si="4"/>
        <v>2</v>
      </c>
    </row>
    <row r="47" spans="1:12" ht="15.75" thickBot="1">
      <c r="A47">
        <f t="shared" si="3"/>
        <v>44</v>
      </c>
      <c r="B47" t="str">
        <f>VLOOKUP(A47,South!A:M,3,FALSE)</f>
        <v>Crooked Creek</v>
      </c>
      <c r="C47" s="25">
        <v>44</v>
      </c>
      <c r="D47" s="22">
        <f>VLOOKUP(A47,South!A:B,2,FALSE)</f>
        <v>44</v>
      </c>
      <c r="E47" s="22" t="str">
        <f t="shared" si="0"/>
        <v>Same</v>
      </c>
      <c r="F47" s="22">
        <f t="shared" si="5"/>
        <v>11</v>
      </c>
      <c r="G47" s="22">
        <f t="shared" si="5"/>
        <v>11</v>
      </c>
      <c r="H47" s="22" t="str">
        <f t="shared" si="2"/>
        <v>Same</v>
      </c>
      <c r="I47" s="22" t="str">
        <f>VLOOKUP(B47,'South Standings'!$A$2:$C$51,2,FALSE)</f>
        <v>2 / 1 / 0 / 0</v>
      </c>
      <c r="J47" s="30" t="str">
        <f>VLOOKUP(B47,'South Standings'!$A$2:$C$51,3,FALSE)</f>
        <v>3 / 3 / 0 / 0</v>
      </c>
      <c r="L47">
        <f t="shared" si="4"/>
        <v>0</v>
      </c>
    </row>
    <row r="48" spans="1:12">
      <c r="A48">
        <f t="shared" si="3"/>
        <v>45</v>
      </c>
      <c r="B48" t="str">
        <f>VLOOKUP(A48,South!A:M,3,FALSE)</f>
        <v>Garner</v>
      </c>
      <c r="C48" s="26">
        <v>45</v>
      </c>
      <c r="D48" s="27">
        <f>VLOOKUP(A48,South!A:B,2,FALSE)</f>
        <v>43</v>
      </c>
      <c r="E48" s="27" t="str">
        <f t="shared" si="0"/>
        <v>Down 2</v>
      </c>
      <c r="F48" s="27">
        <f t="shared" si="5"/>
        <v>12</v>
      </c>
      <c r="G48" s="27">
        <f t="shared" si="5"/>
        <v>11</v>
      </c>
      <c r="H48" s="27" t="str">
        <f t="shared" si="2"/>
        <v>Down 1</v>
      </c>
      <c r="I48" s="27" t="str">
        <f>VLOOKUP(B48,'South Standings'!$A$2:$C$51,2,FALSE)</f>
        <v>1 / 2 / 0 / 0</v>
      </c>
      <c r="J48" s="29" t="str">
        <f>VLOOKUP(B48,'South Standings'!$A$2:$C$51,3,FALSE)</f>
        <v>2 / 4 / 0 / 0</v>
      </c>
      <c r="L48">
        <f t="shared" si="4"/>
        <v>-2</v>
      </c>
    </row>
    <row r="49" spans="1:12">
      <c r="A49">
        <f t="shared" si="3"/>
        <v>46</v>
      </c>
      <c r="B49" t="str">
        <f>VLOOKUP(A49,South!A:M,3,FALSE)</f>
        <v>Devereaux</v>
      </c>
      <c r="C49" s="25">
        <v>46</v>
      </c>
      <c r="D49" s="22">
        <f>VLOOKUP(A49,South!A:B,2,FALSE)</f>
        <v>47</v>
      </c>
      <c r="E49" s="22" t="str">
        <f t="shared" si="0"/>
        <v>Up 1</v>
      </c>
      <c r="F49" s="22">
        <f t="shared" si="5"/>
        <v>12</v>
      </c>
      <c r="G49" s="22">
        <f t="shared" si="5"/>
        <v>12</v>
      </c>
      <c r="H49" s="22" t="str">
        <f t="shared" si="2"/>
        <v>Same</v>
      </c>
      <c r="I49" s="22" t="str">
        <f>VLOOKUP(B49,'South Standings'!$A$2:$C$51,2,FALSE)</f>
        <v>0 / 2 / 0 / 0</v>
      </c>
      <c r="J49" s="30" t="str">
        <f>VLOOKUP(B49,'South Standings'!$A$2:$C$51,3,FALSE)</f>
        <v>4 / 2 / 0 / 0</v>
      </c>
      <c r="L49">
        <f t="shared" si="4"/>
        <v>1</v>
      </c>
    </row>
    <row r="50" spans="1:12">
      <c r="A50">
        <f t="shared" si="3"/>
        <v>47</v>
      </c>
      <c r="B50" t="str">
        <f>VLOOKUP(A50,South!A:M,3,FALSE)</f>
        <v>Wellington Park</v>
      </c>
      <c r="C50" s="25">
        <v>47</v>
      </c>
      <c r="D50" s="22">
        <f>VLOOKUP(A50,South!A:B,2,FALSE)</f>
        <v>48</v>
      </c>
      <c r="E50" s="22" t="str">
        <f t="shared" si="0"/>
        <v>Up 1</v>
      </c>
      <c r="F50" s="22">
        <f t="shared" si="5"/>
        <v>12</v>
      </c>
      <c r="G50" s="22">
        <f t="shared" si="5"/>
        <v>12</v>
      </c>
      <c r="H50" s="22" t="str">
        <f t="shared" si="2"/>
        <v>Same</v>
      </c>
      <c r="I50" s="22" t="str">
        <f>VLOOKUP(B50,'South Standings'!$A$2:$C$51,2,FALSE)</f>
        <v>1 / 0 / 0 / 0</v>
      </c>
      <c r="J50" s="30" t="str">
        <f>VLOOKUP(B50,'South Standings'!$A$2:$C$51,3,FALSE)</f>
        <v>3 / 3 / 0 / 0</v>
      </c>
      <c r="L50">
        <f t="shared" si="4"/>
        <v>1</v>
      </c>
    </row>
    <row r="51" spans="1:12" ht="15.75" thickBot="1">
      <c r="A51">
        <f t="shared" si="3"/>
        <v>48</v>
      </c>
      <c r="B51" t="str">
        <f>VLOOKUP(A51,South!A:M,3,FALSE)</f>
        <v>Harmony</v>
      </c>
      <c r="C51" s="31">
        <v>48</v>
      </c>
      <c r="D51" s="32">
        <f>VLOOKUP(A51,South!A:B,2,FALSE)</f>
        <v>42</v>
      </c>
      <c r="E51" s="32" t="str">
        <f t="shared" si="0"/>
        <v>Down 6</v>
      </c>
      <c r="F51" s="32">
        <v>12</v>
      </c>
      <c r="G51" s="32">
        <f t="shared" si="5"/>
        <v>11</v>
      </c>
      <c r="H51" s="32" t="str">
        <f t="shared" si="2"/>
        <v>Down 1</v>
      </c>
      <c r="I51" s="32" t="str">
        <f>VLOOKUP(B51,'South Standings'!$A$2:$C$51,2,FALSE)</f>
        <v>0 / 3 / 0 / 0</v>
      </c>
      <c r="J51" s="34" t="str">
        <f>VLOOKUP(B51,'South Standings'!$A$2:$C$51,3,FALSE)</f>
        <v>0 / 6 / 0 / 0</v>
      </c>
      <c r="L51">
        <f t="shared" si="4"/>
        <v>-6</v>
      </c>
    </row>
    <row r="52" spans="1:12">
      <c r="A52">
        <f t="shared" si="3"/>
        <v>49</v>
      </c>
      <c r="B52" t="str">
        <f>VLOOKUP(A52,South!A:M,3,FALSE)</f>
        <v>Renaissance Park</v>
      </c>
      <c r="C52" s="25">
        <v>49</v>
      </c>
      <c r="D52" s="22">
        <f>VLOOKUP(A52,South!A:B,2,FALSE)</f>
        <v>49</v>
      </c>
      <c r="E52" s="22" t="str">
        <f t="shared" si="0"/>
        <v>Same</v>
      </c>
      <c r="F52" s="22">
        <f t="shared" ref="F52:G54" si="6">ROUND(C52/4+0.49,0)</f>
        <v>13</v>
      </c>
      <c r="G52" s="22">
        <v>13</v>
      </c>
      <c r="H52" s="22" t="str">
        <f t="shared" si="2"/>
        <v>Same</v>
      </c>
      <c r="I52" s="22" t="str">
        <f>VLOOKUP(B52,'South Standings'!$A$2:$C$51,2,FALSE)</f>
        <v>0 / 1 / 0 / 0</v>
      </c>
      <c r="J52" s="30" t="str">
        <f>VLOOKUP(B52,'South Standings'!$A$2:$C$51,3,FALSE)</f>
        <v>1 / 4 / 0 / 0</v>
      </c>
      <c r="L52">
        <f t="shared" si="4"/>
        <v>0</v>
      </c>
    </row>
    <row r="53" spans="1:12">
      <c r="A53">
        <f t="shared" si="3"/>
        <v>50</v>
      </c>
      <c r="B53" t="str">
        <f>VLOOKUP(A53,South!A:M,3,FALSE)</f>
        <v>Breckenridge</v>
      </c>
      <c r="C53" s="25">
        <v>50</v>
      </c>
      <c r="D53" s="22">
        <f>VLOOKUP(A53,South!A:B,2,FALSE)</f>
        <v>50</v>
      </c>
      <c r="E53" s="22" t="str">
        <f t="shared" si="0"/>
        <v>Same</v>
      </c>
      <c r="F53" s="22">
        <f t="shared" si="6"/>
        <v>13</v>
      </c>
      <c r="G53" s="22">
        <f t="shared" si="6"/>
        <v>13</v>
      </c>
      <c r="H53" s="22" t="str">
        <f t="shared" si="2"/>
        <v>Same</v>
      </c>
      <c r="I53" s="22" t="str">
        <f>VLOOKUP(B53,'South Standings'!$A$2:$C$51,2,FALSE)</f>
        <v>0 / 0 / 0 / 0</v>
      </c>
      <c r="J53" s="30" t="str">
        <f>VLOOKUP(B53,'South Standings'!$A$2:$C$51,3,FALSE)</f>
        <v>0 / 0 / 0 / 0</v>
      </c>
      <c r="L53">
        <f t="shared" si="4"/>
        <v>0</v>
      </c>
    </row>
    <row r="54" spans="1:12" ht="15.75" thickBot="1">
      <c r="A54">
        <f t="shared" si="3"/>
        <v>51</v>
      </c>
      <c r="B54" t="str">
        <f>VLOOKUP(A54,South!A:M,3,FALSE)</f>
        <v>Sweetwater</v>
      </c>
      <c r="C54" s="31">
        <v>51</v>
      </c>
      <c r="D54" s="32">
        <f>VLOOKUP(A54,South!A:B,2,FALSE)</f>
        <v>51</v>
      </c>
      <c r="E54" s="32" t="str">
        <f t="shared" si="0"/>
        <v>Same</v>
      </c>
      <c r="F54" s="32">
        <f t="shared" si="6"/>
        <v>13</v>
      </c>
      <c r="G54" s="32">
        <f t="shared" si="6"/>
        <v>13</v>
      </c>
      <c r="H54" s="32" t="str">
        <f t="shared" si="2"/>
        <v>Same</v>
      </c>
      <c r="I54" s="32" t="e">
        <f>VLOOKUP(B54,'South Standings'!$A$2:$C$51,2,FALSE)</f>
        <v>#N/A</v>
      </c>
      <c r="J54" s="34" t="e">
        <f>VLOOKUP(B54,'South Standings'!$A$2:$C$51,3,FALSE)</f>
        <v>#N/A</v>
      </c>
      <c r="L54">
        <f t="shared" si="4"/>
        <v>0</v>
      </c>
    </row>
    <row r="57" spans="1:12">
      <c r="B57" s="72" t="s">
        <v>142</v>
      </c>
    </row>
  </sheetData>
  <conditionalFormatting sqref="L4:L54">
    <cfRule type="cellIs" dxfId="8" priority="1" operator="lessThan">
      <formula>-3</formula>
    </cfRule>
    <cfRule type="cellIs" dxfId="7" priority="2" operator="greaterThan">
      <formula>3</formula>
    </cfRule>
  </conditionalFormatting>
  <pageMargins left="0.63" right="0.26" top="0.23" bottom="0.18" header="0.21" footer="0.22"/>
  <pageSetup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>
    <tabColor theme="6" tint="0.39997558519241921"/>
    <pageSetUpPr autoPageBreaks="0" fitToPage="1"/>
  </sheetPr>
  <dimension ref="A1:L46"/>
  <sheetViews>
    <sheetView topLeftCell="A23" workbookViewId="0">
      <selection activeCell="J41" sqref="A1:J41"/>
    </sheetView>
  </sheetViews>
  <sheetFormatPr defaultRowHeight="15"/>
  <cols>
    <col min="1" max="1" width="4.7109375" customWidth="1"/>
    <col min="2" max="2" width="23.85546875" customWidth="1"/>
    <col min="3" max="3" width="9.42578125" style="22" bestFit="1" customWidth="1"/>
    <col min="4" max="4" width="5.5703125" style="22" customWidth="1"/>
    <col min="5" max="5" width="9.140625" style="22" customWidth="1"/>
    <col min="6" max="6" width="9.42578125" style="22" bestFit="1" customWidth="1"/>
    <col min="7" max="7" width="6.140625" style="22" customWidth="1"/>
    <col min="8" max="8" width="7.5703125" style="22" bestFit="1" customWidth="1"/>
    <col min="9" max="10" width="11.28515625" style="22" customWidth="1"/>
    <col min="16" max="16" width="15.85546875" customWidth="1"/>
    <col min="17" max="17" width="13.7109375" customWidth="1"/>
  </cols>
  <sheetData>
    <row r="1" spans="1:12" ht="21">
      <c r="B1" s="21" t="s">
        <v>79</v>
      </c>
      <c r="C1" s="24" t="s">
        <v>76</v>
      </c>
      <c r="D1" s="24"/>
      <c r="E1" s="24"/>
      <c r="F1" s="24" t="s">
        <v>76</v>
      </c>
      <c r="G1" s="24"/>
      <c r="H1" s="24"/>
      <c r="I1" s="24">
        <v>2025</v>
      </c>
      <c r="J1" s="24">
        <v>2025</v>
      </c>
      <c r="L1" s="134"/>
    </row>
    <row r="2" spans="1:12">
      <c r="C2" s="24">
        <v>2026</v>
      </c>
      <c r="D2" s="24">
        <v>2025</v>
      </c>
      <c r="E2" s="24" t="s">
        <v>43</v>
      </c>
      <c r="F2" s="24">
        <v>2026</v>
      </c>
      <c r="G2" s="24">
        <v>2025</v>
      </c>
      <c r="H2" s="24" t="s">
        <v>69</v>
      </c>
      <c r="I2" s="24" t="s">
        <v>69</v>
      </c>
      <c r="J2" s="24" t="s">
        <v>75</v>
      </c>
    </row>
    <row r="3" spans="1:12" ht="15.75" thickBot="1">
      <c r="C3" s="24" t="s">
        <v>43</v>
      </c>
      <c r="D3" s="24" t="s">
        <v>43</v>
      </c>
      <c r="E3" s="24" t="s">
        <v>77</v>
      </c>
      <c r="F3" s="24" t="s">
        <v>69</v>
      </c>
      <c r="G3" s="24" t="s">
        <v>69</v>
      </c>
      <c r="H3" s="24" t="s">
        <v>77</v>
      </c>
      <c r="I3" s="24" t="s">
        <v>74</v>
      </c>
      <c r="J3" s="24" t="s">
        <v>74</v>
      </c>
      <c r="L3" s="24" t="s">
        <v>178</v>
      </c>
    </row>
    <row r="4" spans="1:12">
      <c r="A4">
        <v>1</v>
      </c>
      <c r="B4" t="str">
        <f>VLOOKUP(A4,North!A:C,3,FALSE)</f>
        <v>Seven Oaks</v>
      </c>
      <c r="C4" s="26">
        <f>A4</f>
        <v>1</v>
      </c>
      <c r="D4" s="27">
        <f>VLOOKUP(A4,North!A:B,2,FALSE)</f>
        <v>1</v>
      </c>
      <c r="E4" s="27" t="str">
        <f t="shared" ref="E4:E41" si="0">IF(D4=C4,"Same",IF(D4&gt;C4,CONCATENATE("Up ",D4-C4),CONCATENATE("Down ",C4-D4)))</f>
        <v>Same</v>
      </c>
      <c r="F4" s="26">
        <f t="shared" ref="F4:G41" si="1">ROUND(C4/4+0.49,0)</f>
        <v>1</v>
      </c>
      <c r="G4" s="27">
        <f t="shared" si="1"/>
        <v>1</v>
      </c>
      <c r="H4" s="28" t="str">
        <f t="shared" ref="H4:H41" si="2">IF(G4=F4,"Same",IF(G4&gt;F4,CONCATENATE("Up ",G4-F4),CONCATENATE("Down ",F4-G4)))</f>
        <v>Same</v>
      </c>
      <c r="I4" s="27" t="str">
        <f>VLOOKUP(B4,'North Standings'!$A$2:$C$39,2,FALSE)</f>
        <v>3 / 0 / 0 / 0</v>
      </c>
      <c r="J4" s="29" t="str">
        <f>VLOOKUP(B4,'North Standings'!$A$2:$C$39,3,FALSE)</f>
        <v>6 / 0 / 0 / 0</v>
      </c>
      <c r="L4">
        <f t="shared" ref="L4:L41" si="3">+D4-C4</f>
        <v>0</v>
      </c>
    </row>
    <row r="5" spans="1:12">
      <c r="A5">
        <v>2</v>
      </c>
      <c r="B5" t="str">
        <f>VLOOKUP(A5,North!A:C,3,FALSE)</f>
        <v>University Club</v>
      </c>
      <c r="C5" s="25">
        <f t="shared" ref="C5:C41" si="4">A5</f>
        <v>2</v>
      </c>
      <c r="D5" s="22">
        <f>VLOOKUP(A5,North!A:B,2,FALSE)</f>
        <v>2</v>
      </c>
      <c r="E5" s="22" t="str">
        <f t="shared" si="0"/>
        <v>Same</v>
      </c>
      <c r="F5" s="25">
        <f t="shared" si="1"/>
        <v>1</v>
      </c>
      <c r="G5" s="22">
        <f t="shared" si="1"/>
        <v>1</v>
      </c>
      <c r="H5" s="23" t="str">
        <f t="shared" si="2"/>
        <v>Same</v>
      </c>
      <c r="I5" s="22" t="str">
        <f>VLOOKUP(B5,'North Standings'!$A$2:$C$39,2,FALSE)</f>
        <v>2 / 1 / 0 / 0</v>
      </c>
      <c r="J5" s="30" t="str">
        <f>VLOOKUP(B5,'North Standings'!$A$2:$C$39,3,FALSE)</f>
        <v>4 / 2 / 0 / 0</v>
      </c>
      <c r="L5">
        <f t="shared" si="3"/>
        <v>0</v>
      </c>
    </row>
    <row r="6" spans="1:12">
      <c r="A6">
        <v>3</v>
      </c>
      <c r="B6" t="str">
        <f>VLOOKUP(A6,North!A:C,3,FALSE)</f>
        <v>North Hills</v>
      </c>
      <c r="C6" s="25">
        <f t="shared" si="4"/>
        <v>3</v>
      </c>
      <c r="D6" s="22">
        <f>VLOOKUP(A6,North!A:B,2,FALSE)</f>
        <v>7</v>
      </c>
      <c r="E6" s="22" t="str">
        <f t="shared" si="0"/>
        <v>Up 4</v>
      </c>
      <c r="F6" s="25">
        <f t="shared" si="1"/>
        <v>1</v>
      </c>
      <c r="G6" s="22">
        <f t="shared" si="1"/>
        <v>2</v>
      </c>
      <c r="H6" s="23" t="str">
        <f t="shared" si="2"/>
        <v>Up 1</v>
      </c>
      <c r="I6" s="22" t="str">
        <f>VLOOKUP(B6,'North Standings'!$A$2:$C$39,2,FALSE)</f>
        <v>2 / 1 / 0 / 0</v>
      </c>
      <c r="J6" s="30" t="str">
        <f>VLOOKUP(B6,'North Standings'!$A$2:$C$39,3,FALSE)</f>
        <v>5 / 1 / 0 / 0</v>
      </c>
      <c r="L6">
        <f t="shared" si="3"/>
        <v>4</v>
      </c>
    </row>
    <row r="7" spans="1:12" ht="15.75" thickBot="1">
      <c r="A7">
        <v>4</v>
      </c>
      <c r="B7" t="str">
        <f>VLOOKUP(A7,North!A:C,3,FALSE)</f>
        <v>Greystone</v>
      </c>
      <c r="C7" s="25">
        <f t="shared" si="4"/>
        <v>4</v>
      </c>
      <c r="D7" s="22">
        <f>VLOOKUP(A7,North!A:B,2,FALSE)</f>
        <v>3</v>
      </c>
      <c r="E7" s="22" t="str">
        <f t="shared" si="0"/>
        <v>Down 1</v>
      </c>
      <c r="F7" s="25">
        <f t="shared" si="1"/>
        <v>1</v>
      </c>
      <c r="G7" s="22">
        <f t="shared" si="1"/>
        <v>1</v>
      </c>
      <c r="H7" s="23" t="str">
        <f t="shared" si="2"/>
        <v>Same</v>
      </c>
      <c r="I7" s="22" t="str">
        <f>VLOOKUP(B7,'North Standings'!$A$2:$C$39,2,FALSE)</f>
        <v>1 / 2 / 0 / 0</v>
      </c>
      <c r="J7" s="30" t="str">
        <f>VLOOKUP(B7,'North Standings'!$A$2:$C$39,3,FALSE)</f>
        <v>2 / 4 / 0 / 0</v>
      </c>
      <c r="L7">
        <f t="shared" si="3"/>
        <v>-1</v>
      </c>
    </row>
    <row r="8" spans="1:12">
      <c r="A8">
        <v>5</v>
      </c>
      <c r="B8" t="str">
        <f>VLOOKUP(A8,North!A:C,3,FALSE)</f>
        <v>Brier Creek</v>
      </c>
      <c r="C8" s="26">
        <f t="shared" si="4"/>
        <v>5</v>
      </c>
      <c r="D8" s="27">
        <f>VLOOKUP(A8,North!A:B,2,FALSE)</f>
        <v>6</v>
      </c>
      <c r="E8" s="27" t="str">
        <f t="shared" si="0"/>
        <v>Up 1</v>
      </c>
      <c r="F8" s="26">
        <f t="shared" si="1"/>
        <v>2</v>
      </c>
      <c r="G8" s="27">
        <f t="shared" si="1"/>
        <v>2</v>
      </c>
      <c r="H8" s="28" t="str">
        <f t="shared" si="2"/>
        <v>Same</v>
      </c>
      <c r="I8" s="27" t="str">
        <f>VLOOKUP(B8,'North Standings'!$A$2:$C$39,2,FALSE)</f>
        <v>2 / 1 / 0 / 0</v>
      </c>
      <c r="J8" s="29" t="str">
        <f>VLOOKUP(B8,'North Standings'!$A$2:$C$39,3,FALSE)</f>
        <v>4 / 2 / 0 / 0</v>
      </c>
      <c r="L8">
        <f t="shared" si="3"/>
        <v>1</v>
      </c>
    </row>
    <row r="9" spans="1:12">
      <c r="A9">
        <v>6</v>
      </c>
      <c r="B9" t="str">
        <f>VLOOKUP(A9,North!A:C,3,FALSE)</f>
        <v>North Raleigh</v>
      </c>
      <c r="C9" s="25">
        <f t="shared" si="4"/>
        <v>6</v>
      </c>
      <c r="D9" s="22">
        <f>VLOOKUP(A9,North!A:B,2,FALSE)</f>
        <v>8</v>
      </c>
      <c r="E9" s="22" t="str">
        <f t="shared" si="0"/>
        <v>Up 2</v>
      </c>
      <c r="F9" s="25">
        <f t="shared" si="1"/>
        <v>2</v>
      </c>
      <c r="G9" s="22">
        <f t="shared" si="1"/>
        <v>2</v>
      </c>
      <c r="H9" s="23" t="str">
        <f t="shared" si="2"/>
        <v>Same</v>
      </c>
      <c r="I9" s="22" t="str">
        <f>VLOOKUP(B9,'North Standings'!$A$2:$C$39,2,FALSE)</f>
        <v>1 / 2 / 0 / 0</v>
      </c>
      <c r="J9" s="30" t="str">
        <f>VLOOKUP(B9,'North Standings'!$A$2:$C$39,3,FALSE)</f>
        <v>4 / 2 / 0 / 0</v>
      </c>
      <c r="L9">
        <f t="shared" si="3"/>
        <v>2</v>
      </c>
    </row>
    <row r="10" spans="1:12">
      <c r="A10">
        <v>7</v>
      </c>
      <c r="B10" t="str">
        <f>VLOOKUP(A10,North!A:C,3,FALSE)</f>
        <v>Granite Falls</v>
      </c>
      <c r="C10" s="25">
        <f t="shared" si="4"/>
        <v>7</v>
      </c>
      <c r="D10" s="22">
        <f>VLOOKUP(A10,North!A:B,2,FALSE)</f>
        <v>5</v>
      </c>
      <c r="E10" s="22" t="str">
        <f t="shared" si="0"/>
        <v>Down 2</v>
      </c>
      <c r="F10" s="25">
        <f t="shared" si="1"/>
        <v>2</v>
      </c>
      <c r="G10" s="22">
        <f t="shared" si="1"/>
        <v>2</v>
      </c>
      <c r="H10" s="23" t="str">
        <f t="shared" si="2"/>
        <v>Same</v>
      </c>
      <c r="I10" s="22" t="str">
        <f>VLOOKUP(B10,'North Standings'!$A$2:$C$39,2,FALSE)</f>
        <v>1 / 2 / 0 / 0</v>
      </c>
      <c r="J10" s="30" t="str">
        <f>VLOOKUP(B10,'North Standings'!$A$2:$C$39,3,FALSE)</f>
        <v>3 / 3 / 0 / 0</v>
      </c>
      <c r="L10">
        <f t="shared" si="3"/>
        <v>-2</v>
      </c>
    </row>
    <row r="11" spans="1:12" ht="15.75" thickBot="1">
      <c r="A11">
        <v>8</v>
      </c>
      <c r="B11" t="str">
        <f>VLOOKUP(A11,North!A:C,3,FALSE)</f>
        <v>Greenway Club</v>
      </c>
      <c r="C11" s="31">
        <f t="shared" si="4"/>
        <v>8</v>
      </c>
      <c r="D11" s="22">
        <f>VLOOKUP(A11,North!A:B,2,FALSE)</f>
        <v>10</v>
      </c>
      <c r="E11" s="32" t="str">
        <f t="shared" si="0"/>
        <v>Up 2</v>
      </c>
      <c r="F11" s="31">
        <f t="shared" si="1"/>
        <v>2</v>
      </c>
      <c r="G11" s="32">
        <f t="shared" si="1"/>
        <v>3</v>
      </c>
      <c r="H11" s="33" t="str">
        <f t="shared" si="2"/>
        <v>Up 1</v>
      </c>
      <c r="I11" s="22" t="str">
        <f>VLOOKUP(B11,'North Standings'!$A$2:$C$39,2,FALSE)</f>
        <v>3 / 0 / 0 / 0</v>
      </c>
      <c r="J11" s="30" t="str">
        <f>VLOOKUP(B11,'North Standings'!$A$2:$C$39,3,FALSE)</f>
        <v>4 / 2 / 0 / 0</v>
      </c>
      <c r="L11">
        <f t="shared" si="3"/>
        <v>2</v>
      </c>
    </row>
    <row r="12" spans="1:12">
      <c r="A12">
        <v>9</v>
      </c>
      <c r="B12" t="str">
        <f>VLOOKUP(A12,North!A:C,3,FALSE)</f>
        <v>Wood Valley</v>
      </c>
      <c r="C12" s="25">
        <f t="shared" si="4"/>
        <v>9</v>
      </c>
      <c r="D12" s="27">
        <f>VLOOKUP(A12,North!A:B,2,FALSE)</f>
        <v>4</v>
      </c>
      <c r="E12" s="22" t="str">
        <f t="shared" si="0"/>
        <v>Down 5</v>
      </c>
      <c r="F12" s="25">
        <f t="shared" si="1"/>
        <v>3</v>
      </c>
      <c r="G12" s="22">
        <f t="shared" si="1"/>
        <v>1</v>
      </c>
      <c r="H12" s="23" t="str">
        <f t="shared" si="2"/>
        <v>Down 2</v>
      </c>
      <c r="I12" s="27" t="str">
        <f>VLOOKUP(B12,'North Standings'!$A$2:$C$39,2,FALSE)</f>
        <v>0 / 3 / 0 / 0</v>
      </c>
      <c r="J12" s="29" t="str">
        <f>VLOOKUP(B12,'North Standings'!$A$2:$C$39,3,FALSE)</f>
        <v>0 / 6 / 0 / 0</v>
      </c>
      <c r="L12">
        <f t="shared" si="3"/>
        <v>-5</v>
      </c>
    </row>
    <row r="13" spans="1:12">
      <c r="A13">
        <v>10</v>
      </c>
      <c r="B13" t="str">
        <f>VLOOKUP(A13,North!A:C,3,FALSE)</f>
        <v>Northbrook</v>
      </c>
      <c r="C13" s="25">
        <f t="shared" si="4"/>
        <v>10</v>
      </c>
      <c r="D13" s="22">
        <f>VLOOKUP(A13,North!A:B,2,FALSE)</f>
        <v>11</v>
      </c>
      <c r="E13" s="22" t="str">
        <f t="shared" si="0"/>
        <v>Up 1</v>
      </c>
      <c r="F13" s="25">
        <f t="shared" si="1"/>
        <v>3</v>
      </c>
      <c r="G13" s="22">
        <f t="shared" si="1"/>
        <v>3</v>
      </c>
      <c r="H13" s="23" t="str">
        <f t="shared" si="2"/>
        <v>Same</v>
      </c>
      <c r="I13" s="22" t="str">
        <f>VLOOKUP(B13,'North Standings'!$A$2:$C$39,2,FALSE)</f>
        <v>2 / 1 / 0 / 0</v>
      </c>
      <c r="J13" s="30" t="str">
        <f>VLOOKUP(B13,'North Standings'!$A$2:$C$39,3,FALSE)</f>
        <v>4 / 2 / 0 / 0</v>
      </c>
      <c r="L13">
        <f t="shared" si="3"/>
        <v>1</v>
      </c>
    </row>
    <row r="14" spans="1:12">
      <c r="A14">
        <v>11</v>
      </c>
      <c r="B14" t="str">
        <f>VLOOKUP(A14,North!A:C,3,FALSE)</f>
        <v>Lake Park</v>
      </c>
      <c r="C14" s="25">
        <f t="shared" si="4"/>
        <v>11</v>
      </c>
      <c r="D14" s="22">
        <f>VLOOKUP(A14,North!A:B,2,FALSE)</f>
        <v>13</v>
      </c>
      <c r="E14" s="22" t="str">
        <f t="shared" si="0"/>
        <v>Up 2</v>
      </c>
      <c r="F14" s="25">
        <f t="shared" si="1"/>
        <v>3</v>
      </c>
      <c r="G14" s="22">
        <f t="shared" si="1"/>
        <v>4</v>
      </c>
      <c r="H14" s="23" t="str">
        <f t="shared" si="2"/>
        <v>Up 1</v>
      </c>
      <c r="I14" s="22" t="str">
        <f>VLOOKUP(B14,'North Standings'!$A$2:$C$39,2,FALSE)</f>
        <v>3 / 0 / 0 / 0</v>
      </c>
      <c r="J14" s="30" t="str">
        <f>VLOOKUP(B14,'North Standings'!$A$2:$C$39,3,FALSE)</f>
        <v>4 / 2 / 0 / 0</v>
      </c>
      <c r="L14">
        <f t="shared" si="3"/>
        <v>2</v>
      </c>
    </row>
    <row r="15" spans="1:12" ht="15.75" thickBot="1">
      <c r="A15">
        <v>12</v>
      </c>
      <c r="B15" t="str">
        <f>VLOOKUP(A15,North!A:C,3,FALSE)</f>
        <v>Quail Hollow</v>
      </c>
      <c r="C15" s="25">
        <f t="shared" si="4"/>
        <v>12</v>
      </c>
      <c r="D15" s="22">
        <f>VLOOKUP(A15,North!A:B,2,FALSE)</f>
        <v>15</v>
      </c>
      <c r="E15" s="22" t="str">
        <f t="shared" si="0"/>
        <v>Up 3</v>
      </c>
      <c r="F15" s="25">
        <f t="shared" si="1"/>
        <v>3</v>
      </c>
      <c r="G15" s="22">
        <f t="shared" si="1"/>
        <v>4</v>
      </c>
      <c r="H15" s="23" t="str">
        <f t="shared" si="2"/>
        <v>Up 1</v>
      </c>
      <c r="I15" s="22" t="str">
        <f>VLOOKUP(B15,'North Standings'!$A$2:$C$39,2,FALSE)</f>
        <v>1 / 2 / 0 / 0</v>
      </c>
      <c r="J15" s="30" t="str">
        <f>VLOOKUP(B15,'North Standings'!$A$2:$C$39,3,FALSE)</f>
        <v>4 / 2 / 0 / 0</v>
      </c>
      <c r="L15">
        <f t="shared" si="3"/>
        <v>3</v>
      </c>
    </row>
    <row r="16" spans="1:12">
      <c r="A16">
        <v>13</v>
      </c>
      <c r="B16" t="str">
        <f>VLOOKUP(A16,North!A:C,3,FALSE)</f>
        <v>Harrington Grove</v>
      </c>
      <c r="C16" s="26">
        <f t="shared" si="4"/>
        <v>13</v>
      </c>
      <c r="D16" s="27">
        <f>VLOOKUP(A16,North!A:B,2,FALSE)</f>
        <v>12</v>
      </c>
      <c r="E16" s="27" t="str">
        <f t="shared" si="0"/>
        <v>Down 1</v>
      </c>
      <c r="F16" s="26">
        <f t="shared" si="1"/>
        <v>4</v>
      </c>
      <c r="G16" s="27">
        <f t="shared" si="1"/>
        <v>3</v>
      </c>
      <c r="H16" s="28" t="str">
        <f t="shared" si="2"/>
        <v>Down 1</v>
      </c>
      <c r="I16" s="27" t="str">
        <f>VLOOKUP(B16,'North Standings'!$A$2:$C$39,2,FALSE)</f>
        <v>1 / 2 / 0 / 0</v>
      </c>
      <c r="J16" s="29" t="str">
        <f>VLOOKUP(B16,'North Standings'!$A$2:$C$39,3,FALSE)</f>
        <v>2 / 4 / 0 / 0</v>
      </c>
      <c r="L16">
        <f t="shared" si="3"/>
        <v>-1</v>
      </c>
    </row>
    <row r="17" spans="1:12">
      <c r="A17">
        <v>14</v>
      </c>
      <c r="B17" t="str">
        <f>VLOOKUP(A17,North!A:C,3,FALSE)</f>
        <v>Bedford at Falls River</v>
      </c>
      <c r="C17" s="25">
        <f t="shared" si="4"/>
        <v>14</v>
      </c>
      <c r="D17" s="22">
        <f>VLOOKUP(A17,North!A:B,2,FALSE)</f>
        <v>9</v>
      </c>
      <c r="E17" s="22" t="str">
        <f t="shared" si="0"/>
        <v>Down 5</v>
      </c>
      <c r="F17" s="25">
        <f t="shared" si="1"/>
        <v>4</v>
      </c>
      <c r="G17" s="22">
        <f t="shared" si="1"/>
        <v>3</v>
      </c>
      <c r="H17" s="23" t="str">
        <f t="shared" si="2"/>
        <v>Down 1</v>
      </c>
      <c r="I17" s="22" t="str">
        <f>VLOOKUP(B17,'North Standings'!$A$2:$C$39,2,FALSE)</f>
        <v>0 / 3 / 0 / 0</v>
      </c>
      <c r="J17" s="30" t="str">
        <f>VLOOKUP(B17,'North Standings'!$A$2:$C$39,3,FALSE)</f>
        <v>0 / 6 / 0 / 0</v>
      </c>
      <c r="L17">
        <f t="shared" si="3"/>
        <v>-5</v>
      </c>
    </row>
    <row r="18" spans="1:12">
      <c r="A18">
        <v>15</v>
      </c>
      <c r="B18" t="str">
        <f>VLOOKUP(A18,North!A:C,3,FALSE)</f>
        <v>Springdale</v>
      </c>
      <c r="C18" s="25">
        <f t="shared" si="4"/>
        <v>15</v>
      </c>
      <c r="D18" s="22">
        <f>VLOOKUP(A18,North!A:B,2,FALSE)</f>
        <v>18</v>
      </c>
      <c r="E18" s="22" t="str">
        <f t="shared" si="0"/>
        <v>Up 3</v>
      </c>
      <c r="F18" s="25">
        <f t="shared" si="1"/>
        <v>4</v>
      </c>
      <c r="G18" s="22">
        <f t="shared" si="1"/>
        <v>5</v>
      </c>
      <c r="H18" s="23" t="str">
        <f t="shared" si="2"/>
        <v>Up 1</v>
      </c>
      <c r="I18" s="22" t="str">
        <f>VLOOKUP(B18,'North Standings'!$A$2:$C$39,2,FALSE)</f>
        <v>3 / 0 / 0 / 0</v>
      </c>
      <c r="J18" s="30" t="str">
        <f>VLOOKUP(B18,'North Standings'!$A$2:$C$39,3,FALSE)</f>
        <v>5 / 1 / 0 / 0</v>
      </c>
      <c r="L18">
        <f t="shared" si="3"/>
        <v>3</v>
      </c>
    </row>
    <row r="19" spans="1:12" ht="15.75" thickBot="1">
      <c r="A19">
        <v>16</v>
      </c>
      <c r="B19" t="str">
        <f>VLOOKUP(A19,North!A:C,3,FALSE)</f>
        <v>Heritage of Wake Forest</v>
      </c>
      <c r="C19" s="31">
        <f t="shared" si="4"/>
        <v>16</v>
      </c>
      <c r="D19" s="22">
        <f>VLOOKUP(A19,North!A:B,2,FALSE)</f>
        <v>17</v>
      </c>
      <c r="E19" s="32" t="str">
        <f t="shared" si="0"/>
        <v>Up 1</v>
      </c>
      <c r="F19" s="31">
        <f t="shared" si="1"/>
        <v>4</v>
      </c>
      <c r="G19" s="32">
        <f t="shared" si="1"/>
        <v>5</v>
      </c>
      <c r="H19" s="33" t="str">
        <f t="shared" si="2"/>
        <v>Up 1</v>
      </c>
      <c r="I19" s="22" t="str">
        <f>VLOOKUP(B19,'North Standings'!$A$2:$C$39,2,FALSE)</f>
        <v>2 / 1 / 0 / 0</v>
      </c>
      <c r="J19" s="30" t="str">
        <f>VLOOKUP(B19,'North Standings'!$A$2:$C$39,3,FALSE)</f>
        <v>3 / 3 / 0 / 0</v>
      </c>
      <c r="L19">
        <f t="shared" si="3"/>
        <v>1</v>
      </c>
    </row>
    <row r="20" spans="1:12">
      <c r="A20">
        <v>17</v>
      </c>
      <c r="B20" t="str">
        <f>VLOOKUP(A20,North!A:C,3,FALSE)</f>
        <v>Riverwood</v>
      </c>
      <c r="C20" s="25">
        <f t="shared" si="4"/>
        <v>17</v>
      </c>
      <c r="D20" s="27">
        <f>VLOOKUP(A20,North!A:B,2,FALSE)</f>
        <v>14</v>
      </c>
      <c r="E20" s="22" t="str">
        <f t="shared" si="0"/>
        <v>Down 3</v>
      </c>
      <c r="F20" s="25">
        <f t="shared" si="1"/>
        <v>5</v>
      </c>
      <c r="G20" s="22">
        <f t="shared" si="1"/>
        <v>4</v>
      </c>
      <c r="H20" s="23" t="str">
        <f t="shared" si="2"/>
        <v>Down 1</v>
      </c>
      <c r="I20" s="27" t="str">
        <f>VLOOKUP(B20,'North Standings'!$A$2:$C$39,2,FALSE)</f>
        <v>1 / 2 / 0 / 0</v>
      </c>
      <c r="J20" s="29" t="str">
        <f>VLOOKUP(B20,'North Standings'!$A$2:$C$39,3,FALSE)</f>
        <v>1 / 5 / 0 / 0</v>
      </c>
      <c r="L20">
        <f t="shared" si="3"/>
        <v>-3</v>
      </c>
    </row>
    <row r="21" spans="1:12">
      <c r="A21">
        <v>18</v>
      </c>
      <c r="B21" t="str">
        <f>VLOOKUP(A21,North!A:C,3,FALSE)</f>
        <v>Stonebridge</v>
      </c>
      <c r="C21" s="25">
        <f t="shared" si="4"/>
        <v>18</v>
      </c>
      <c r="D21" s="22">
        <f>VLOOKUP(A21,North!A:B,2,FALSE)</f>
        <v>16</v>
      </c>
      <c r="E21" s="22" t="str">
        <f t="shared" si="0"/>
        <v>Down 2</v>
      </c>
      <c r="F21" s="25">
        <f t="shared" si="1"/>
        <v>5</v>
      </c>
      <c r="G21" s="22">
        <f t="shared" si="1"/>
        <v>4</v>
      </c>
      <c r="H21" s="23" t="str">
        <f t="shared" si="2"/>
        <v>Down 1</v>
      </c>
      <c r="I21" s="22" t="str">
        <f>VLOOKUP(B21,'North Standings'!$A$2:$C$39,2,FALSE)</f>
        <v>1 / 2 / 0 / 0</v>
      </c>
      <c r="J21" s="30" t="str">
        <f>VLOOKUP(B21,'North Standings'!$A$2:$C$39,3,FALSE)</f>
        <v>3 / 3 / 0 / 0</v>
      </c>
      <c r="L21">
        <f t="shared" si="3"/>
        <v>-2</v>
      </c>
    </row>
    <row r="22" spans="1:12">
      <c r="A22">
        <v>19</v>
      </c>
      <c r="B22" t="str">
        <f>VLOOKUP(A22,North!A:C,3,FALSE)</f>
        <v>Durant Trails</v>
      </c>
      <c r="C22" s="25">
        <f t="shared" si="4"/>
        <v>19</v>
      </c>
      <c r="D22" s="22">
        <f>VLOOKUP(A22,North!A:B,2,FALSE)</f>
        <v>21</v>
      </c>
      <c r="E22" s="22" t="str">
        <f t="shared" si="0"/>
        <v>Up 2</v>
      </c>
      <c r="F22" s="25">
        <f t="shared" si="1"/>
        <v>5</v>
      </c>
      <c r="G22" s="22">
        <f t="shared" si="1"/>
        <v>6</v>
      </c>
      <c r="H22" s="23" t="str">
        <f t="shared" si="2"/>
        <v>Up 1</v>
      </c>
      <c r="I22" s="22" t="str">
        <f>VLOOKUP(B22,'North Standings'!$A$2:$C$39,2,FALSE)</f>
        <v>3 / 0 / 0 / 0</v>
      </c>
      <c r="J22" s="30" t="str">
        <f>VLOOKUP(B22,'North Standings'!$A$2:$C$39,3,FALSE)</f>
        <v>4 / 2 / 0 / 0</v>
      </c>
      <c r="L22">
        <f t="shared" si="3"/>
        <v>2</v>
      </c>
    </row>
    <row r="23" spans="1:12" ht="15.75" thickBot="1">
      <c r="A23">
        <v>20</v>
      </c>
      <c r="B23" t="str">
        <f>VLOOKUP(A23,North!A:C,3,FALSE)</f>
        <v>Summerfield North</v>
      </c>
      <c r="C23" s="25">
        <f t="shared" si="4"/>
        <v>20</v>
      </c>
      <c r="D23" s="22">
        <f>VLOOKUP(A23,North!A:B,2,FALSE)</f>
        <v>20</v>
      </c>
      <c r="E23" s="22" t="str">
        <f t="shared" si="0"/>
        <v>Same</v>
      </c>
      <c r="F23" s="25">
        <f t="shared" si="1"/>
        <v>5</v>
      </c>
      <c r="G23" s="22">
        <f t="shared" si="1"/>
        <v>5</v>
      </c>
      <c r="H23" s="23" t="str">
        <f t="shared" si="2"/>
        <v>Same</v>
      </c>
      <c r="I23" s="22" t="str">
        <f>VLOOKUP(B23,'North Standings'!$A$2:$C$39,2,FALSE)</f>
        <v>1 / 2 / 0 / 0</v>
      </c>
      <c r="J23" s="30" t="str">
        <f>VLOOKUP(B23,'North Standings'!$A$2:$C$39,3,FALSE)</f>
        <v>4 / 2 / 0 / 0</v>
      </c>
      <c r="L23">
        <f t="shared" si="3"/>
        <v>0</v>
      </c>
    </row>
    <row r="24" spans="1:12">
      <c r="A24">
        <v>21</v>
      </c>
      <c r="B24" t="str">
        <f>VLOOKUP(A24,North!A:C,3,FALSE)</f>
        <v>Hedingham</v>
      </c>
      <c r="C24" s="26">
        <f t="shared" si="4"/>
        <v>21</v>
      </c>
      <c r="D24" s="27">
        <f>VLOOKUP(A24,North!A:B,2,FALSE)</f>
        <v>25</v>
      </c>
      <c r="E24" s="27" t="str">
        <f t="shared" si="0"/>
        <v>Up 4</v>
      </c>
      <c r="F24" s="26">
        <f t="shared" si="1"/>
        <v>6</v>
      </c>
      <c r="G24" s="27">
        <f t="shared" si="1"/>
        <v>7</v>
      </c>
      <c r="H24" s="28" t="str">
        <f t="shared" si="2"/>
        <v>Up 1</v>
      </c>
      <c r="I24" s="27" t="str">
        <f>VLOOKUP(B24,'North Standings'!$A$2:$C$39,2,FALSE)</f>
        <v>2 / 0 / 0 / 0</v>
      </c>
      <c r="J24" s="29" t="str">
        <f>VLOOKUP(B24,'North Standings'!$A$2:$C$39,3,FALSE)</f>
        <v>5 / 0 / 0 / 0</v>
      </c>
      <c r="L24">
        <f t="shared" si="3"/>
        <v>4</v>
      </c>
    </row>
    <row r="25" spans="1:12">
      <c r="A25">
        <v>22</v>
      </c>
      <c r="B25" t="str">
        <f>VLOOKUP(A25,North!A:C,3,FALSE)</f>
        <v>Hasentree</v>
      </c>
      <c r="C25" s="25">
        <f t="shared" si="4"/>
        <v>22</v>
      </c>
      <c r="D25" s="22">
        <f>VLOOKUP(A25,North!A:B,2,FALSE)</f>
        <v>19</v>
      </c>
      <c r="E25" s="22" t="str">
        <f t="shared" si="0"/>
        <v>Down 3</v>
      </c>
      <c r="F25" s="25">
        <f t="shared" si="1"/>
        <v>6</v>
      </c>
      <c r="G25" s="22">
        <f t="shared" si="1"/>
        <v>5</v>
      </c>
      <c r="H25" s="23" t="str">
        <f t="shared" si="2"/>
        <v>Down 1</v>
      </c>
      <c r="I25" s="22" t="str">
        <f>VLOOKUP(B25,'North Standings'!$A$2:$C$39,2,FALSE)</f>
        <v>0 / 3 / 0 / 0</v>
      </c>
      <c r="J25" s="30" t="str">
        <f>VLOOKUP(B25,'North Standings'!$A$2:$C$39,3,FALSE)</f>
        <v>1 / 5 / 0 / 0</v>
      </c>
      <c r="L25">
        <f t="shared" si="3"/>
        <v>-3</v>
      </c>
    </row>
    <row r="26" spans="1:12">
      <c r="A26">
        <v>23</v>
      </c>
      <c r="B26" t="str">
        <f>VLOOKUP(A26,North!A:C,3,FALSE)</f>
        <v>Oak Park</v>
      </c>
      <c r="C26" s="25">
        <f t="shared" si="4"/>
        <v>23</v>
      </c>
      <c r="D26" s="22">
        <f>VLOOKUP(A26,North!A:B,2,FALSE)</f>
        <v>23</v>
      </c>
      <c r="E26" s="22" t="str">
        <f t="shared" si="0"/>
        <v>Same</v>
      </c>
      <c r="F26" s="25">
        <f t="shared" si="1"/>
        <v>6</v>
      </c>
      <c r="G26" s="22">
        <f t="shared" si="1"/>
        <v>6</v>
      </c>
      <c r="H26" s="23" t="str">
        <f t="shared" si="2"/>
        <v>Same</v>
      </c>
      <c r="I26" s="22" t="str">
        <f>VLOOKUP(B26,'North Standings'!$A$2:$C$39,2,FALSE)</f>
        <v>2 / 1 / 0 / 0</v>
      </c>
      <c r="J26" s="30" t="str">
        <f>VLOOKUP(B26,'North Standings'!$A$2:$C$39,3,FALSE)</f>
        <v>2 / 3 / 0 / 0</v>
      </c>
      <c r="L26">
        <f t="shared" si="3"/>
        <v>0</v>
      </c>
    </row>
    <row r="27" spans="1:12" ht="15.75" thickBot="1">
      <c r="A27">
        <v>24</v>
      </c>
      <c r="B27" t="str">
        <f>VLOOKUP(A27,North!A:C,3,FALSE)</f>
        <v>Southall</v>
      </c>
      <c r="C27" s="31">
        <f t="shared" si="4"/>
        <v>24</v>
      </c>
      <c r="D27" s="22">
        <f>VLOOKUP(A27,North!A:B,2,FALSE)</f>
        <v>30</v>
      </c>
      <c r="E27" s="32" t="str">
        <f t="shared" si="0"/>
        <v>Up 6</v>
      </c>
      <c r="F27" s="31">
        <f t="shared" si="1"/>
        <v>6</v>
      </c>
      <c r="G27" s="32">
        <f t="shared" si="1"/>
        <v>8</v>
      </c>
      <c r="H27" s="33" t="str">
        <f t="shared" si="2"/>
        <v>Up 2</v>
      </c>
      <c r="I27" s="22" t="str">
        <f>VLOOKUP(B27,'North Standings'!$A$2:$C$39,2,FALSE)</f>
        <v>3 / 0 / 0 / 0</v>
      </c>
      <c r="J27" s="30" t="str">
        <f>VLOOKUP(B27,'North Standings'!$A$2:$C$39,3,FALSE)</f>
        <v>6 / 0 / 0 / 0</v>
      </c>
      <c r="L27">
        <f t="shared" si="3"/>
        <v>6</v>
      </c>
    </row>
    <row r="28" spans="1:12">
      <c r="A28">
        <v>25</v>
      </c>
      <c r="B28" t="str">
        <f>VLOOKUP(A28,North!A:C,3,FALSE)</f>
        <v>Lakemont</v>
      </c>
      <c r="C28" s="25">
        <f t="shared" si="4"/>
        <v>25</v>
      </c>
      <c r="D28" s="27">
        <f>VLOOKUP(A28,North!A:B,2,FALSE)</f>
        <v>28</v>
      </c>
      <c r="E28" s="22" t="str">
        <f t="shared" si="0"/>
        <v>Up 3</v>
      </c>
      <c r="F28" s="25">
        <f t="shared" si="1"/>
        <v>7</v>
      </c>
      <c r="G28" s="22">
        <f t="shared" si="1"/>
        <v>7</v>
      </c>
      <c r="H28" s="23" t="str">
        <f t="shared" si="2"/>
        <v>Same</v>
      </c>
      <c r="I28" s="27" t="str">
        <f>VLOOKUP(B28,'North Standings'!$A$2:$C$39,2,FALSE)</f>
        <v>1 / 1 / 0 / 0</v>
      </c>
      <c r="J28" s="29" t="str">
        <f>VLOOKUP(B28,'North Standings'!$A$2:$C$39,3,FALSE)</f>
        <v>3 / 2 / 0 / 0</v>
      </c>
      <c r="L28">
        <f t="shared" si="3"/>
        <v>3</v>
      </c>
    </row>
    <row r="29" spans="1:12">
      <c r="A29">
        <v>26</v>
      </c>
      <c r="B29" t="str">
        <f>VLOOKUP(A29,North!A:C,3,FALSE)</f>
        <v>Manchester</v>
      </c>
      <c r="C29" s="25">
        <f t="shared" si="4"/>
        <v>26</v>
      </c>
      <c r="D29" s="22">
        <f>VLOOKUP(A29,North!A:B,2,FALSE)</f>
        <v>24</v>
      </c>
      <c r="E29" s="22" t="str">
        <f t="shared" si="0"/>
        <v>Down 2</v>
      </c>
      <c r="F29" s="25">
        <f t="shared" si="1"/>
        <v>7</v>
      </c>
      <c r="G29" s="22">
        <f t="shared" si="1"/>
        <v>6</v>
      </c>
      <c r="H29" s="23" t="str">
        <f t="shared" si="2"/>
        <v>Down 1</v>
      </c>
      <c r="I29" s="22" t="str">
        <f>VLOOKUP(B29,'North Standings'!$A$2:$C$39,2,FALSE)</f>
        <v>1 / 2 / 0 / 0</v>
      </c>
      <c r="J29" s="30" t="str">
        <f>VLOOKUP(B29,'North Standings'!$A$2:$C$39,3,FALSE)</f>
        <v>2 / 3 / 0 / 0</v>
      </c>
      <c r="L29">
        <f t="shared" si="3"/>
        <v>-2</v>
      </c>
    </row>
    <row r="30" spans="1:12">
      <c r="A30">
        <v>27</v>
      </c>
      <c r="B30" t="str">
        <f>VLOOKUP(A30,North!A:C,3,FALSE)</f>
        <v>Lifetime Raleigh</v>
      </c>
      <c r="C30" s="25">
        <f t="shared" si="4"/>
        <v>27</v>
      </c>
      <c r="D30" s="22">
        <f>VLOOKUP(A30,North!A:B,2,FALSE)</f>
        <v>22</v>
      </c>
      <c r="E30" s="22" t="str">
        <f t="shared" si="0"/>
        <v>Down 5</v>
      </c>
      <c r="F30" s="25">
        <f t="shared" si="1"/>
        <v>7</v>
      </c>
      <c r="G30" s="22">
        <f t="shared" si="1"/>
        <v>6</v>
      </c>
      <c r="H30" s="23" t="str">
        <f t="shared" si="2"/>
        <v>Down 1</v>
      </c>
      <c r="I30" s="22" t="str">
        <f>VLOOKUP(B30,'North Standings'!$A$2:$C$39,2,FALSE)</f>
        <v>0 / 3 / 0 / 0</v>
      </c>
      <c r="J30" s="30" t="str">
        <f>VLOOKUP(B30,'North Standings'!$A$2:$C$39,3,FALSE)</f>
        <v>0 / 6 / 0 / 0</v>
      </c>
      <c r="L30">
        <f t="shared" si="3"/>
        <v>-5</v>
      </c>
    </row>
    <row r="31" spans="1:12" ht="15.75" thickBot="1">
      <c r="A31">
        <v>28</v>
      </c>
      <c r="B31" t="str">
        <f>VLOOKUP(A31,North!A:C,3,FALSE)</f>
        <v>Crabtree</v>
      </c>
      <c r="C31" s="25">
        <f t="shared" si="4"/>
        <v>28</v>
      </c>
      <c r="D31" s="22">
        <f>VLOOKUP(A31,North!A:B,2,FALSE)</f>
        <v>29</v>
      </c>
      <c r="E31" s="22" t="str">
        <f t="shared" si="0"/>
        <v>Up 1</v>
      </c>
      <c r="F31" s="25">
        <f t="shared" si="1"/>
        <v>7</v>
      </c>
      <c r="G31" s="22">
        <f t="shared" si="1"/>
        <v>8</v>
      </c>
      <c r="H31" s="23" t="str">
        <f t="shared" si="2"/>
        <v>Up 1</v>
      </c>
      <c r="I31" s="22" t="str">
        <f>VLOOKUP(B31,'North Standings'!$A$2:$C$39,2,FALSE)</f>
        <v>2 / 1 / 0 / 0</v>
      </c>
      <c r="J31" s="30" t="str">
        <f>VLOOKUP(B31,'North Standings'!$A$2:$C$39,3,FALSE)</f>
        <v>3 / 2 / 0 / 0</v>
      </c>
      <c r="L31">
        <f t="shared" si="3"/>
        <v>1</v>
      </c>
    </row>
    <row r="32" spans="1:12">
      <c r="A32">
        <v>29</v>
      </c>
      <c r="B32" t="str">
        <f>VLOOKUP(A32,North!A:C,3,FALSE)</f>
        <v>Wendell</v>
      </c>
      <c r="C32" s="26">
        <f t="shared" si="4"/>
        <v>29</v>
      </c>
      <c r="D32" s="27">
        <f>VLOOKUP(A32,North!A:B,2,FALSE)</f>
        <v>34</v>
      </c>
      <c r="E32" s="27" t="str">
        <f t="shared" si="0"/>
        <v>Up 5</v>
      </c>
      <c r="F32" s="26">
        <f t="shared" si="1"/>
        <v>8</v>
      </c>
      <c r="G32" s="27">
        <f t="shared" si="1"/>
        <v>9</v>
      </c>
      <c r="H32" s="28" t="str">
        <f t="shared" si="2"/>
        <v>Up 1</v>
      </c>
      <c r="I32" s="27" t="str">
        <f>VLOOKUP(B32,'North Standings'!$A$2:$C$39,2,FALSE)</f>
        <v>2 / 0 / 0 / 0</v>
      </c>
      <c r="J32" s="29" t="str">
        <f>VLOOKUP(B32,'North Standings'!$A$2:$C$39,3,FALSE)</f>
        <v>6 / 0 / 0 / 0</v>
      </c>
      <c r="L32">
        <f t="shared" si="3"/>
        <v>5</v>
      </c>
    </row>
    <row r="33" spans="1:12">
      <c r="A33">
        <v>30</v>
      </c>
      <c r="B33" t="str">
        <f>VLOOKUP(A33,North!A:C,3,FALSE)</f>
        <v>Black Horse Run</v>
      </c>
      <c r="C33" s="25">
        <f t="shared" si="4"/>
        <v>30</v>
      </c>
      <c r="D33" s="22">
        <f>VLOOKUP(A33,North!A:B,2,FALSE)</f>
        <v>31</v>
      </c>
      <c r="E33" s="22" t="str">
        <f t="shared" si="0"/>
        <v>Up 1</v>
      </c>
      <c r="F33" s="25">
        <f t="shared" si="1"/>
        <v>8</v>
      </c>
      <c r="G33" s="22">
        <f t="shared" si="1"/>
        <v>8</v>
      </c>
      <c r="H33" s="23" t="str">
        <f t="shared" si="2"/>
        <v>Same</v>
      </c>
      <c r="I33" s="22" t="str">
        <f>VLOOKUP(B33,'North Standings'!$A$2:$C$39,2,FALSE)</f>
        <v>1 / 2 / 0 / 0</v>
      </c>
      <c r="J33" s="30" t="str">
        <f>VLOOKUP(B33,'North Standings'!$A$2:$C$39,3,FALSE)</f>
        <v>3 / 3 / 0 / 0</v>
      </c>
      <c r="L33">
        <f t="shared" si="3"/>
        <v>1</v>
      </c>
    </row>
    <row r="34" spans="1:12">
      <c r="A34">
        <v>31</v>
      </c>
      <c r="B34" t="str">
        <f>VLOOKUP(A34,North!A:C,3,FALSE)</f>
        <v>Coachman's Trail</v>
      </c>
      <c r="C34" s="25">
        <f t="shared" si="4"/>
        <v>31</v>
      </c>
      <c r="D34" s="22">
        <f>VLOOKUP(A34,North!A:B,2,FALSE)</f>
        <v>35</v>
      </c>
      <c r="E34" s="22" t="str">
        <f t="shared" si="0"/>
        <v>Up 4</v>
      </c>
      <c r="F34" s="25">
        <f t="shared" si="1"/>
        <v>8</v>
      </c>
      <c r="G34" s="22">
        <f t="shared" si="1"/>
        <v>9</v>
      </c>
      <c r="H34" s="23" t="str">
        <f t="shared" si="2"/>
        <v>Up 1</v>
      </c>
      <c r="I34" s="22" t="str">
        <f>VLOOKUP(B34,'North Standings'!$A$2:$C$39,2,FALSE)</f>
        <v>1 / 1 / 0 / 0</v>
      </c>
      <c r="J34" s="30" t="str">
        <f>VLOOKUP(B34,'North Standings'!$A$2:$C$39,3,FALSE)</f>
        <v>5 / 1 / 0 / 0</v>
      </c>
      <c r="L34">
        <f t="shared" si="3"/>
        <v>4</v>
      </c>
    </row>
    <row r="35" spans="1:12" ht="15.75" thickBot="1">
      <c r="A35">
        <v>32</v>
      </c>
      <c r="B35" t="str">
        <f>VLOOKUP(A35,North!A:C,3,FALSE)</f>
        <v>Meredith Townes</v>
      </c>
      <c r="C35" s="31">
        <f t="shared" si="4"/>
        <v>32</v>
      </c>
      <c r="D35" s="22">
        <f>VLOOKUP(A35,North!A:B,2,FALSE)</f>
        <v>27</v>
      </c>
      <c r="E35" s="32" t="str">
        <f t="shared" si="0"/>
        <v>Down 5</v>
      </c>
      <c r="F35" s="31">
        <f t="shared" si="1"/>
        <v>8</v>
      </c>
      <c r="G35" s="32">
        <f t="shared" si="1"/>
        <v>7</v>
      </c>
      <c r="H35" s="33" t="str">
        <f t="shared" si="2"/>
        <v>Down 1</v>
      </c>
      <c r="I35" s="22" t="str">
        <f>VLOOKUP(B35,'North Standings'!$A$2:$C$39,2,FALSE)</f>
        <v>0 / 2 / 0 / 0</v>
      </c>
      <c r="J35" s="30" t="str">
        <f>VLOOKUP(B35,'North Standings'!$A$2:$C$39,3,FALSE)</f>
        <v>0 / 5 / 0 / 0</v>
      </c>
      <c r="L35">
        <f t="shared" si="3"/>
        <v>-5</v>
      </c>
    </row>
    <row r="36" spans="1:12">
      <c r="A36">
        <v>33</v>
      </c>
      <c r="B36" t="str">
        <f>VLOOKUP(A36,North!A:C,3,FALSE)</f>
        <v>Banbury Woods &amp; Hunters Landing</v>
      </c>
      <c r="C36" s="26">
        <f t="shared" si="4"/>
        <v>33</v>
      </c>
      <c r="D36" s="27">
        <f>VLOOKUP(A36,North!A:B,2,FALSE)</f>
        <v>32</v>
      </c>
      <c r="E36" s="27" t="str">
        <f t="shared" si="0"/>
        <v>Down 1</v>
      </c>
      <c r="F36" s="26">
        <f t="shared" si="1"/>
        <v>9</v>
      </c>
      <c r="G36" s="27">
        <f t="shared" si="1"/>
        <v>8</v>
      </c>
      <c r="H36" s="28" t="str">
        <f t="shared" si="2"/>
        <v>Down 1</v>
      </c>
      <c r="I36" s="27" t="str">
        <f>VLOOKUP(B36,'North Standings'!$A$2:$C$39,2,FALSE)</f>
        <v>0 / 3 / 0 / 0</v>
      </c>
      <c r="J36" s="29" t="str">
        <f>VLOOKUP(B36,'North Standings'!$A$2:$C$39,3,FALSE)</f>
        <v>1 / 5 / 0 / 0</v>
      </c>
      <c r="L36">
        <f t="shared" si="3"/>
        <v>-1</v>
      </c>
    </row>
    <row r="37" spans="1:12">
      <c r="A37">
        <v>34</v>
      </c>
      <c r="B37" t="str">
        <f>VLOOKUP(A37,North!A:C,3,FALSE)</f>
        <v>Raleigh Racquet</v>
      </c>
      <c r="C37" s="25">
        <f t="shared" si="4"/>
        <v>34</v>
      </c>
      <c r="D37" s="22">
        <f>VLOOKUP(A37,North!A:B,2,FALSE)</f>
        <v>36</v>
      </c>
      <c r="E37" s="22" t="str">
        <f t="shared" si="0"/>
        <v>Up 2</v>
      </c>
      <c r="F37" s="25">
        <f t="shared" si="1"/>
        <v>9</v>
      </c>
      <c r="G37" s="22">
        <f t="shared" si="1"/>
        <v>9</v>
      </c>
      <c r="H37" s="23" t="str">
        <f t="shared" si="2"/>
        <v>Same</v>
      </c>
      <c r="I37" s="22" t="str">
        <f>VLOOKUP(B37,'North Standings'!$A$2:$C$39,2,FALSE)</f>
        <v>2 / 0 / 0 / 0</v>
      </c>
      <c r="J37" s="30" t="str">
        <f>VLOOKUP(B37,'North Standings'!$A$2:$C$39,3,FALSE)</f>
        <v>2 / 4 / 0 / 0</v>
      </c>
      <c r="L37">
        <f t="shared" si="3"/>
        <v>2</v>
      </c>
    </row>
    <row r="38" spans="1:12" ht="15.75" thickBot="1">
      <c r="A38">
        <v>35</v>
      </c>
      <c r="B38" t="str">
        <f>VLOOKUP(A38,North!A:C,3,FALSE)</f>
        <v>Hawthorne</v>
      </c>
      <c r="C38" s="31">
        <f t="shared" si="4"/>
        <v>35</v>
      </c>
      <c r="D38" s="32">
        <f>VLOOKUP(A38,North!A:B,2,FALSE)</f>
        <v>33</v>
      </c>
      <c r="E38" s="32" t="str">
        <f t="shared" si="0"/>
        <v>Down 2</v>
      </c>
      <c r="F38" s="31">
        <f t="shared" si="1"/>
        <v>9</v>
      </c>
      <c r="G38" s="32">
        <v>10</v>
      </c>
      <c r="H38" s="33" t="str">
        <f t="shared" si="2"/>
        <v>Up 1</v>
      </c>
      <c r="I38" s="22" t="str">
        <f>VLOOKUP(B38,'North Standings'!$A$2:$C$39,2,FALSE)</f>
        <v>0 / 2 / 0 / 0</v>
      </c>
      <c r="J38" s="30" t="str">
        <f>VLOOKUP(B38,'North Standings'!$A$2:$C$39,3,FALSE)</f>
        <v>2 / 4 / 0 / 0</v>
      </c>
      <c r="L38">
        <f t="shared" si="3"/>
        <v>-2</v>
      </c>
    </row>
    <row r="39" spans="1:12">
      <c r="A39">
        <v>36</v>
      </c>
      <c r="B39" t="str">
        <f>VLOOKUP(A39,North!A:C,3,FALSE)</f>
        <v>Zebulon</v>
      </c>
      <c r="C39" s="25">
        <f t="shared" si="4"/>
        <v>36</v>
      </c>
      <c r="D39" s="22">
        <f>VLOOKUP(A39,North!A:B,2,FALSE)</f>
        <v>37</v>
      </c>
      <c r="E39" s="22" t="str">
        <f t="shared" si="0"/>
        <v>Up 1</v>
      </c>
      <c r="F39" s="26">
        <v>10</v>
      </c>
      <c r="G39" s="27">
        <f t="shared" si="1"/>
        <v>10</v>
      </c>
      <c r="H39" s="23" t="str">
        <f t="shared" si="2"/>
        <v>Same</v>
      </c>
      <c r="I39" s="27" t="str">
        <f>VLOOKUP(B39,'North Standings'!$A$2:$C$39,2,FALSE)</f>
        <v>1 / 1 / 0 / 0</v>
      </c>
      <c r="J39" s="29" t="str">
        <f>VLOOKUP(B39,'North Standings'!$A$2:$C$39,3,FALSE)</f>
        <v>2 / 4 / 0 / 0</v>
      </c>
      <c r="L39">
        <f t="shared" si="3"/>
        <v>1</v>
      </c>
    </row>
    <row r="40" spans="1:12">
      <c r="A40">
        <v>37</v>
      </c>
      <c r="B40" t="str">
        <f>VLOOKUP(A40,North!A:C,3,FALSE)</f>
        <v>Planter's Walk</v>
      </c>
      <c r="C40" s="25">
        <f t="shared" si="4"/>
        <v>37</v>
      </c>
      <c r="D40" s="22">
        <f>VLOOKUP(A40,North!A:B,2,FALSE)</f>
        <v>38</v>
      </c>
      <c r="E40" s="22" t="str">
        <f t="shared" si="0"/>
        <v>Up 1</v>
      </c>
      <c r="F40" s="25">
        <f t="shared" si="1"/>
        <v>10</v>
      </c>
      <c r="G40" s="22">
        <f t="shared" si="1"/>
        <v>10</v>
      </c>
      <c r="H40" s="23" t="str">
        <f t="shared" si="2"/>
        <v>Same</v>
      </c>
      <c r="I40" s="22" t="str">
        <f>VLOOKUP(B40,'North Standings'!$A$2:$C$39,2,FALSE)</f>
        <v>0 / 2 / 0 / 0</v>
      </c>
      <c r="J40" s="30" t="str">
        <f>VLOOKUP(B40,'North Standings'!$A$2:$C$39,3,FALSE)</f>
        <v>0 / 6 / 0 / 0</v>
      </c>
      <c r="L40">
        <f t="shared" si="3"/>
        <v>1</v>
      </c>
    </row>
    <row r="41" spans="1:12" ht="15.75" thickBot="1">
      <c r="A41">
        <v>38</v>
      </c>
      <c r="B41" t="str">
        <f>VLOOKUP(A41,North!A:C,3,FALSE)</f>
        <v>Jewish Community Center</v>
      </c>
      <c r="C41" s="31">
        <f t="shared" si="4"/>
        <v>38</v>
      </c>
      <c r="D41" s="32">
        <f>VLOOKUP(A41,North!A:B,2,FALSE)</f>
        <v>26</v>
      </c>
      <c r="E41" s="32" t="str">
        <f t="shared" si="0"/>
        <v>Down 12</v>
      </c>
      <c r="F41" s="31">
        <f t="shared" si="1"/>
        <v>10</v>
      </c>
      <c r="G41" s="32">
        <f t="shared" si="1"/>
        <v>7</v>
      </c>
      <c r="H41" s="33" t="str">
        <f t="shared" si="2"/>
        <v>Down 3</v>
      </c>
      <c r="I41" s="32" t="str">
        <f>VLOOKUP(B41,'North Standings'!$A$2:$C$39,2,FALSE)</f>
        <v>0 / 0 / 0 / 0</v>
      </c>
      <c r="J41" s="34" t="str">
        <f>VLOOKUP(B41,'North Standings'!$A$2:$C$39,3,FALSE)</f>
        <v>0 / 0 / 0 / 0</v>
      </c>
      <c r="L41">
        <f t="shared" si="3"/>
        <v>-12</v>
      </c>
    </row>
    <row r="42" spans="1:12">
      <c r="B42" s="72"/>
      <c r="H42" s="127"/>
    </row>
    <row r="46" spans="1:12">
      <c r="B46" s="72"/>
    </row>
  </sheetData>
  <sortState xmlns:xlrd2="http://schemas.microsoft.com/office/spreadsheetml/2017/richdata2" ref="B4:J41">
    <sortCondition ref="C4:C41"/>
  </sortState>
  <conditionalFormatting sqref="L4:L41">
    <cfRule type="cellIs" dxfId="6" priority="1" operator="lessThan">
      <formula>-3</formula>
    </cfRule>
    <cfRule type="cellIs" dxfId="5" priority="2" operator="greaterThan">
      <formula>3</formula>
    </cfRule>
  </conditionalFormatting>
  <pageMargins left="0.42" right="0.25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05B8-6AF8-488F-B9C4-11355424DF58}">
  <sheetPr>
    <tabColor theme="6" tint="0.39997558519241921"/>
    <pageSetUpPr autoPageBreaks="0" fitToPage="1"/>
  </sheetPr>
  <dimension ref="A1:L45"/>
  <sheetViews>
    <sheetView tabSelected="1" workbookViewId="0">
      <selection activeCell="E44" sqref="E44"/>
    </sheetView>
  </sheetViews>
  <sheetFormatPr defaultRowHeight="15"/>
  <cols>
    <col min="1" max="1" width="4.7109375" customWidth="1"/>
    <col min="2" max="2" width="23.85546875" customWidth="1"/>
    <col min="3" max="3" width="9.42578125" style="22" bestFit="1" customWidth="1"/>
    <col min="4" max="4" width="5.5703125" style="22" customWidth="1"/>
    <col min="5" max="5" width="9.140625" style="22" customWidth="1"/>
    <col min="6" max="6" width="9.42578125" style="22" bestFit="1" customWidth="1"/>
    <col min="7" max="7" width="6.140625" style="22" customWidth="1"/>
    <col min="8" max="8" width="7.5703125" style="22" bestFit="1" customWidth="1"/>
    <col min="9" max="10" width="11.28515625" style="22" customWidth="1"/>
    <col min="16" max="16" width="15.85546875" customWidth="1"/>
    <col min="17" max="17" width="13.7109375" customWidth="1"/>
  </cols>
  <sheetData>
    <row r="1" spans="1:12" ht="21">
      <c r="B1" s="21" t="s">
        <v>79</v>
      </c>
      <c r="C1" s="24" t="s">
        <v>76</v>
      </c>
      <c r="D1" s="24"/>
      <c r="E1" s="24"/>
      <c r="F1" s="24" t="s">
        <v>76</v>
      </c>
      <c r="G1" s="24"/>
      <c r="H1" s="24"/>
      <c r="I1" s="24">
        <v>2025</v>
      </c>
      <c r="J1" s="24">
        <v>2025</v>
      </c>
      <c r="L1" s="134"/>
    </row>
    <row r="2" spans="1:12">
      <c r="C2" s="24">
        <v>2026</v>
      </c>
      <c r="D2" s="24">
        <v>2025</v>
      </c>
      <c r="E2" s="24" t="s">
        <v>43</v>
      </c>
      <c r="F2" s="24">
        <v>2026</v>
      </c>
      <c r="G2" s="24">
        <v>2025</v>
      </c>
      <c r="H2" s="24" t="s">
        <v>69</v>
      </c>
      <c r="I2" s="24" t="s">
        <v>69</v>
      </c>
      <c r="J2" s="24" t="s">
        <v>75</v>
      </c>
    </row>
    <row r="3" spans="1:12" ht="15.75" thickBot="1">
      <c r="C3" s="24" t="s">
        <v>43</v>
      </c>
      <c r="D3" s="24" t="s">
        <v>43</v>
      </c>
      <c r="E3" s="24" t="s">
        <v>77</v>
      </c>
      <c r="F3" s="24" t="s">
        <v>69</v>
      </c>
      <c r="G3" s="24" t="s">
        <v>69</v>
      </c>
      <c r="H3" s="24" t="s">
        <v>77</v>
      </c>
      <c r="I3" s="24" t="s">
        <v>74</v>
      </c>
      <c r="J3" s="24" t="s">
        <v>74</v>
      </c>
      <c r="L3" s="24" t="s">
        <v>178</v>
      </c>
    </row>
    <row r="4" spans="1:12">
      <c r="A4">
        <v>1</v>
      </c>
      <c r="B4" t="str">
        <f>VLOOKUP(A4,North!A:C,3,FALSE)</f>
        <v>Seven Oaks</v>
      </c>
      <c r="C4" s="26">
        <f>A4</f>
        <v>1</v>
      </c>
      <c r="D4" s="27">
        <f>VLOOKUP(A4,North!A:B,2,FALSE)</f>
        <v>1</v>
      </c>
      <c r="E4" s="27" t="str">
        <f t="shared" ref="E4:E40" si="0">IF(D4=C4,"Same",IF(D4&gt;C4,CONCATENATE("Up ",D4-C4),CONCATENATE("Down ",C4-D4)))</f>
        <v>Same</v>
      </c>
      <c r="F4" s="26">
        <f t="shared" ref="F4:G40" si="1">ROUND(C4/4+0.49,0)</f>
        <v>1</v>
      </c>
      <c r="G4" s="27">
        <f t="shared" si="1"/>
        <v>1</v>
      </c>
      <c r="H4" s="28" t="str">
        <f t="shared" ref="H4:H40" si="2">IF(G4=F4,"Same",IF(G4&gt;F4,CONCATENATE("Up ",G4-F4),CONCATENATE("Down ",F4-G4)))</f>
        <v>Same</v>
      </c>
      <c r="I4" s="27" t="str">
        <f>VLOOKUP(B4,'North Standings'!$A$2:$C$39,2,FALSE)</f>
        <v>3 / 0 / 0 / 0</v>
      </c>
      <c r="J4" s="29" t="str">
        <f>VLOOKUP(B4,'North Standings'!$A$2:$C$39,3,FALSE)</f>
        <v>6 / 0 / 0 / 0</v>
      </c>
      <c r="L4">
        <f t="shared" ref="L4:L40" si="3">+D4-C4</f>
        <v>0</v>
      </c>
    </row>
    <row r="5" spans="1:12">
      <c r="A5">
        <v>2</v>
      </c>
      <c r="B5" t="str">
        <f>VLOOKUP(A5,North!A:C,3,FALSE)</f>
        <v>University Club</v>
      </c>
      <c r="C5" s="25">
        <f t="shared" ref="C5:C40" si="4">A5</f>
        <v>2</v>
      </c>
      <c r="D5" s="22">
        <f>VLOOKUP(A5,North!A:B,2,FALSE)</f>
        <v>2</v>
      </c>
      <c r="E5" s="22" t="str">
        <f t="shared" si="0"/>
        <v>Same</v>
      </c>
      <c r="F5" s="25">
        <f t="shared" si="1"/>
        <v>1</v>
      </c>
      <c r="G5" s="22">
        <f t="shared" si="1"/>
        <v>1</v>
      </c>
      <c r="H5" s="23" t="str">
        <f t="shared" si="2"/>
        <v>Same</v>
      </c>
      <c r="I5" s="22" t="str">
        <f>VLOOKUP(B5,'North Standings'!$A$2:$C$39,2,FALSE)</f>
        <v>2 / 1 / 0 / 0</v>
      </c>
      <c r="J5" s="30" t="str">
        <f>VLOOKUP(B5,'North Standings'!$A$2:$C$39,3,FALSE)</f>
        <v>4 / 2 / 0 / 0</v>
      </c>
      <c r="L5">
        <f t="shared" si="3"/>
        <v>0</v>
      </c>
    </row>
    <row r="6" spans="1:12">
      <c r="A6">
        <v>3</v>
      </c>
      <c r="B6" t="str">
        <f>VLOOKUP(A6,North!A:C,3,FALSE)</f>
        <v>North Hills</v>
      </c>
      <c r="C6" s="25">
        <f t="shared" si="4"/>
        <v>3</v>
      </c>
      <c r="D6" s="22">
        <f>VLOOKUP(A6,North!A:B,2,FALSE)</f>
        <v>7</v>
      </c>
      <c r="E6" s="22" t="str">
        <f t="shared" si="0"/>
        <v>Up 4</v>
      </c>
      <c r="F6" s="25">
        <f t="shared" si="1"/>
        <v>1</v>
      </c>
      <c r="G6" s="22">
        <f t="shared" si="1"/>
        <v>2</v>
      </c>
      <c r="H6" s="23" t="str">
        <f t="shared" si="2"/>
        <v>Up 1</v>
      </c>
      <c r="I6" s="22" t="str">
        <f>VLOOKUP(B6,'North Standings'!$A$2:$C$39,2,FALSE)</f>
        <v>2 / 1 / 0 / 0</v>
      </c>
      <c r="J6" s="30" t="str">
        <f>VLOOKUP(B6,'North Standings'!$A$2:$C$39,3,FALSE)</f>
        <v>5 / 1 / 0 / 0</v>
      </c>
      <c r="L6">
        <f t="shared" si="3"/>
        <v>4</v>
      </c>
    </row>
    <row r="7" spans="1:12" ht="15.75" thickBot="1">
      <c r="A7">
        <v>4</v>
      </c>
      <c r="B7" t="str">
        <f>VLOOKUP(A7,North!A:C,3,FALSE)</f>
        <v>Greystone</v>
      </c>
      <c r="C7" s="25">
        <f t="shared" si="4"/>
        <v>4</v>
      </c>
      <c r="D7" s="22">
        <f>VLOOKUP(A7,North!A:B,2,FALSE)</f>
        <v>3</v>
      </c>
      <c r="E7" s="22" t="str">
        <f t="shared" si="0"/>
        <v>Down 1</v>
      </c>
      <c r="F7" s="25">
        <f t="shared" si="1"/>
        <v>1</v>
      </c>
      <c r="G7" s="22">
        <f t="shared" si="1"/>
        <v>1</v>
      </c>
      <c r="H7" s="23" t="str">
        <f t="shared" si="2"/>
        <v>Same</v>
      </c>
      <c r="I7" s="22" t="str">
        <f>VLOOKUP(B7,'North Standings'!$A$2:$C$39,2,FALSE)</f>
        <v>1 / 2 / 0 / 0</v>
      </c>
      <c r="J7" s="30" t="str">
        <f>VLOOKUP(B7,'North Standings'!$A$2:$C$39,3,FALSE)</f>
        <v>2 / 4 / 0 / 0</v>
      </c>
      <c r="L7">
        <f t="shared" si="3"/>
        <v>-1</v>
      </c>
    </row>
    <row r="8" spans="1:12">
      <c r="A8">
        <v>5</v>
      </c>
      <c r="B8" t="str">
        <f>VLOOKUP(A8,North!A:C,3,FALSE)</f>
        <v>Brier Creek</v>
      </c>
      <c r="C8" s="26">
        <f t="shared" si="4"/>
        <v>5</v>
      </c>
      <c r="D8" s="27">
        <f>VLOOKUP(A8,North!A:B,2,FALSE)</f>
        <v>6</v>
      </c>
      <c r="E8" s="27" t="str">
        <f t="shared" si="0"/>
        <v>Up 1</v>
      </c>
      <c r="F8" s="26">
        <f t="shared" si="1"/>
        <v>2</v>
      </c>
      <c r="G8" s="27">
        <f t="shared" si="1"/>
        <v>2</v>
      </c>
      <c r="H8" s="28" t="str">
        <f t="shared" si="2"/>
        <v>Same</v>
      </c>
      <c r="I8" s="27" t="str">
        <f>VLOOKUP(B8,'North Standings'!$A$2:$C$39,2,FALSE)</f>
        <v>2 / 1 / 0 / 0</v>
      </c>
      <c r="J8" s="29" t="str">
        <f>VLOOKUP(B8,'North Standings'!$A$2:$C$39,3,FALSE)</f>
        <v>4 / 2 / 0 / 0</v>
      </c>
      <c r="L8">
        <f t="shared" si="3"/>
        <v>1</v>
      </c>
    </row>
    <row r="9" spans="1:12">
      <c r="A9">
        <v>6</v>
      </c>
      <c r="B9" t="str">
        <f>VLOOKUP(A9,North!A:C,3,FALSE)</f>
        <v>North Raleigh</v>
      </c>
      <c r="C9" s="25">
        <f t="shared" si="4"/>
        <v>6</v>
      </c>
      <c r="D9" s="22">
        <f>VLOOKUP(A9,North!A:B,2,FALSE)</f>
        <v>8</v>
      </c>
      <c r="E9" s="22" t="str">
        <f t="shared" si="0"/>
        <v>Up 2</v>
      </c>
      <c r="F9" s="25">
        <f t="shared" si="1"/>
        <v>2</v>
      </c>
      <c r="G9" s="22">
        <f t="shared" si="1"/>
        <v>2</v>
      </c>
      <c r="H9" s="23" t="str">
        <f t="shared" si="2"/>
        <v>Same</v>
      </c>
      <c r="I9" s="22" t="str">
        <f>VLOOKUP(B9,'North Standings'!$A$2:$C$39,2,FALSE)</f>
        <v>1 / 2 / 0 / 0</v>
      </c>
      <c r="J9" s="30" t="str">
        <f>VLOOKUP(B9,'North Standings'!$A$2:$C$39,3,FALSE)</f>
        <v>4 / 2 / 0 / 0</v>
      </c>
      <c r="L9">
        <f t="shared" si="3"/>
        <v>2</v>
      </c>
    </row>
    <row r="10" spans="1:12">
      <c r="A10">
        <v>7</v>
      </c>
      <c r="B10" t="str">
        <f>VLOOKUP(A10,North!A:C,3,FALSE)</f>
        <v>Granite Falls</v>
      </c>
      <c r="C10" s="25">
        <f t="shared" si="4"/>
        <v>7</v>
      </c>
      <c r="D10" s="22">
        <f>VLOOKUP(A10,North!A:B,2,FALSE)</f>
        <v>5</v>
      </c>
      <c r="E10" s="22" t="str">
        <f t="shared" si="0"/>
        <v>Down 2</v>
      </c>
      <c r="F10" s="25">
        <f t="shared" si="1"/>
        <v>2</v>
      </c>
      <c r="G10" s="22">
        <f t="shared" si="1"/>
        <v>2</v>
      </c>
      <c r="H10" s="23" t="str">
        <f t="shared" si="2"/>
        <v>Same</v>
      </c>
      <c r="I10" s="22" t="str">
        <f>VLOOKUP(B10,'North Standings'!$A$2:$C$39,2,FALSE)</f>
        <v>1 / 2 / 0 / 0</v>
      </c>
      <c r="J10" s="30" t="str">
        <f>VLOOKUP(B10,'North Standings'!$A$2:$C$39,3,FALSE)</f>
        <v>3 / 3 / 0 / 0</v>
      </c>
      <c r="L10">
        <f t="shared" si="3"/>
        <v>-2</v>
      </c>
    </row>
    <row r="11" spans="1:12" ht="15.75" thickBot="1">
      <c r="A11">
        <v>8</v>
      </c>
      <c r="B11" t="str">
        <f>VLOOKUP(A11,North!A:C,3,FALSE)</f>
        <v>Greenway Club</v>
      </c>
      <c r="C11" s="31">
        <f t="shared" si="4"/>
        <v>8</v>
      </c>
      <c r="D11" s="22">
        <f>VLOOKUP(A11,North!A:B,2,FALSE)</f>
        <v>10</v>
      </c>
      <c r="E11" s="32" t="str">
        <f t="shared" si="0"/>
        <v>Up 2</v>
      </c>
      <c r="F11" s="31">
        <f t="shared" si="1"/>
        <v>2</v>
      </c>
      <c r="G11" s="32">
        <f t="shared" si="1"/>
        <v>3</v>
      </c>
      <c r="H11" s="33" t="str">
        <f t="shared" si="2"/>
        <v>Up 1</v>
      </c>
      <c r="I11" s="22" t="str">
        <f>VLOOKUP(B11,'North Standings'!$A$2:$C$39,2,FALSE)</f>
        <v>3 / 0 / 0 / 0</v>
      </c>
      <c r="J11" s="30" t="str">
        <f>VLOOKUP(B11,'North Standings'!$A$2:$C$39,3,FALSE)</f>
        <v>4 / 2 / 0 / 0</v>
      </c>
      <c r="L11">
        <f t="shared" si="3"/>
        <v>2</v>
      </c>
    </row>
    <row r="12" spans="1:12">
      <c r="A12">
        <v>9</v>
      </c>
      <c r="B12" t="str">
        <f>VLOOKUP(A12,North!A:C,3,FALSE)</f>
        <v>Wood Valley</v>
      </c>
      <c r="C12" s="25">
        <f t="shared" si="4"/>
        <v>9</v>
      </c>
      <c r="D12" s="27">
        <f>VLOOKUP(A12,North!A:B,2,FALSE)</f>
        <v>4</v>
      </c>
      <c r="E12" s="22" t="str">
        <f t="shared" si="0"/>
        <v>Down 5</v>
      </c>
      <c r="F12" s="25">
        <f t="shared" si="1"/>
        <v>3</v>
      </c>
      <c r="G12" s="22">
        <f t="shared" si="1"/>
        <v>1</v>
      </c>
      <c r="H12" s="23" t="str">
        <f t="shared" si="2"/>
        <v>Down 2</v>
      </c>
      <c r="I12" s="27" t="str">
        <f>VLOOKUP(B12,'North Standings'!$A$2:$C$39,2,FALSE)</f>
        <v>0 / 3 / 0 / 0</v>
      </c>
      <c r="J12" s="29" t="str">
        <f>VLOOKUP(B12,'North Standings'!$A$2:$C$39,3,FALSE)</f>
        <v>0 / 6 / 0 / 0</v>
      </c>
      <c r="L12">
        <f t="shared" si="3"/>
        <v>-5</v>
      </c>
    </row>
    <row r="13" spans="1:12">
      <c r="A13">
        <v>10</v>
      </c>
      <c r="B13" t="str">
        <f>VLOOKUP(A13,North!A:C,3,FALSE)</f>
        <v>Northbrook</v>
      </c>
      <c r="C13" s="25">
        <f t="shared" si="4"/>
        <v>10</v>
      </c>
      <c r="D13" s="22">
        <f>VLOOKUP(A13,North!A:B,2,FALSE)</f>
        <v>11</v>
      </c>
      <c r="E13" s="22" t="str">
        <f t="shared" si="0"/>
        <v>Up 1</v>
      </c>
      <c r="F13" s="25">
        <f t="shared" si="1"/>
        <v>3</v>
      </c>
      <c r="G13" s="22">
        <f t="shared" si="1"/>
        <v>3</v>
      </c>
      <c r="H13" s="23" t="str">
        <f t="shared" si="2"/>
        <v>Same</v>
      </c>
      <c r="I13" s="22" t="str">
        <f>VLOOKUP(B13,'North Standings'!$A$2:$C$39,2,FALSE)</f>
        <v>2 / 1 / 0 / 0</v>
      </c>
      <c r="J13" s="30" t="str">
        <f>VLOOKUP(B13,'North Standings'!$A$2:$C$39,3,FALSE)</f>
        <v>4 / 2 / 0 / 0</v>
      </c>
      <c r="L13">
        <f t="shared" si="3"/>
        <v>1</v>
      </c>
    </row>
    <row r="14" spans="1:12">
      <c r="A14">
        <v>11</v>
      </c>
      <c r="B14" t="str">
        <f>VLOOKUP(A14,North!A:C,3,FALSE)</f>
        <v>Lake Park</v>
      </c>
      <c r="C14" s="25">
        <f t="shared" si="4"/>
        <v>11</v>
      </c>
      <c r="D14" s="22">
        <f>VLOOKUP(A14,North!A:B,2,FALSE)</f>
        <v>13</v>
      </c>
      <c r="E14" s="22" t="str">
        <f t="shared" si="0"/>
        <v>Up 2</v>
      </c>
      <c r="F14" s="25">
        <f t="shared" si="1"/>
        <v>3</v>
      </c>
      <c r="G14" s="22">
        <f t="shared" si="1"/>
        <v>4</v>
      </c>
      <c r="H14" s="23" t="str">
        <f t="shared" si="2"/>
        <v>Up 1</v>
      </c>
      <c r="I14" s="22" t="str">
        <f>VLOOKUP(B14,'North Standings'!$A$2:$C$39,2,FALSE)</f>
        <v>3 / 0 / 0 / 0</v>
      </c>
      <c r="J14" s="30" t="str">
        <f>VLOOKUP(B14,'North Standings'!$A$2:$C$39,3,FALSE)</f>
        <v>4 / 2 / 0 / 0</v>
      </c>
      <c r="L14">
        <f t="shared" si="3"/>
        <v>2</v>
      </c>
    </row>
    <row r="15" spans="1:12" ht="15.75" thickBot="1">
      <c r="A15">
        <v>12</v>
      </c>
      <c r="B15" t="str">
        <f>VLOOKUP(A15,North!A:C,3,FALSE)</f>
        <v>Quail Hollow</v>
      </c>
      <c r="C15" s="25">
        <f t="shared" si="4"/>
        <v>12</v>
      </c>
      <c r="D15" s="22">
        <f>VLOOKUP(A15,North!A:B,2,FALSE)</f>
        <v>15</v>
      </c>
      <c r="E15" s="22" t="str">
        <f t="shared" si="0"/>
        <v>Up 3</v>
      </c>
      <c r="F15" s="25">
        <f t="shared" si="1"/>
        <v>3</v>
      </c>
      <c r="G15" s="22">
        <f t="shared" si="1"/>
        <v>4</v>
      </c>
      <c r="H15" s="23" t="str">
        <f t="shared" si="2"/>
        <v>Up 1</v>
      </c>
      <c r="I15" s="22" t="str">
        <f>VLOOKUP(B15,'North Standings'!$A$2:$C$39,2,FALSE)</f>
        <v>1 / 2 / 0 / 0</v>
      </c>
      <c r="J15" s="30" t="str">
        <f>VLOOKUP(B15,'North Standings'!$A$2:$C$39,3,FALSE)</f>
        <v>4 / 2 / 0 / 0</v>
      </c>
      <c r="L15">
        <f t="shared" si="3"/>
        <v>3</v>
      </c>
    </row>
    <row r="16" spans="1:12">
      <c r="A16">
        <v>13</v>
      </c>
      <c r="B16" t="str">
        <f>VLOOKUP(A16,North!A:C,3,FALSE)</f>
        <v>Harrington Grove</v>
      </c>
      <c r="C16" s="26">
        <f t="shared" si="4"/>
        <v>13</v>
      </c>
      <c r="D16" s="27">
        <f>VLOOKUP(A16,North!A:B,2,FALSE)</f>
        <v>12</v>
      </c>
      <c r="E16" s="27" t="str">
        <f t="shared" si="0"/>
        <v>Down 1</v>
      </c>
      <c r="F16" s="26">
        <f t="shared" si="1"/>
        <v>4</v>
      </c>
      <c r="G16" s="27">
        <f t="shared" si="1"/>
        <v>3</v>
      </c>
      <c r="H16" s="28" t="str">
        <f t="shared" si="2"/>
        <v>Down 1</v>
      </c>
      <c r="I16" s="27" t="str">
        <f>VLOOKUP(B16,'North Standings'!$A$2:$C$39,2,FALSE)</f>
        <v>1 / 2 / 0 / 0</v>
      </c>
      <c r="J16" s="29" t="str">
        <f>VLOOKUP(B16,'North Standings'!$A$2:$C$39,3,FALSE)</f>
        <v>2 / 4 / 0 / 0</v>
      </c>
      <c r="L16">
        <f t="shared" si="3"/>
        <v>-1</v>
      </c>
    </row>
    <row r="17" spans="1:12">
      <c r="A17">
        <v>14</v>
      </c>
      <c r="B17" t="str">
        <f>VLOOKUP(A17,North!A:C,3,FALSE)</f>
        <v>Bedford at Falls River</v>
      </c>
      <c r="C17" s="25">
        <f t="shared" si="4"/>
        <v>14</v>
      </c>
      <c r="D17" s="22">
        <f>VLOOKUP(A17,North!A:B,2,FALSE)</f>
        <v>9</v>
      </c>
      <c r="E17" s="22" t="str">
        <f t="shared" si="0"/>
        <v>Down 5</v>
      </c>
      <c r="F17" s="25">
        <f t="shared" si="1"/>
        <v>4</v>
      </c>
      <c r="G17" s="22">
        <f t="shared" si="1"/>
        <v>3</v>
      </c>
      <c r="H17" s="23" t="str">
        <f t="shared" si="2"/>
        <v>Down 1</v>
      </c>
      <c r="I17" s="22" t="str">
        <f>VLOOKUP(B17,'North Standings'!$A$2:$C$39,2,FALSE)</f>
        <v>0 / 3 / 0 / 0</v>
      </c>
      <c r="J17" s="30" t="str">
        <f>VLOOKUP(B17,'North Standings'!$A$2:$C$39,3,FALSE)</f>
        <v>0 / 6 / 0 / 0</v>
      </c>
      <c r="L17">
        <f t="shared" si="3"/>
        <v>-5</v>
      </c>
    </row>
    <row r="18" spans="1:12">
      <c r="A18">
        <v>15</v>
      </c>
      <c r="B18" t="str">
        <f>VLOOKUP(A18,North!A:C,3,FALSE)</f>
        <v>Springdale</v>
      </c>
      <c r="C18" s="25">
        <f t="shared" si="4"/>
        <v>15</v>
      </c>
      <c r="D18" s="22">
        <f>VLOOKUP(A18,North!A:B,2,FALSE)</f>
        <v>18</v>
      </c>
      <c r="E18" s="22" t="str">
        <f t="shared" si="0"/>
        <v>Up 3</v>
      </c>
      <c r="F18" s="25">
        <f t="shared" si="1"/>
        <v>4</v>
      </c>
      <c r="G18" s="22">
        <f t="shared" si="1"/>
        <v>5</v>
      </c>
      <c r="H18" s="23" t="str">
        <f t="shared" si="2"/>
        <v>Up 1</v>
      </c>
      <c r="I18" s="22" t="str">
        <f>VLOOKUP(B18,'North Standings'!$A$2:$C$39,2,FALSE)</f>
        <v>3 / 0 / 0 / 0</v>
      </c>
      <c r="J18" s="30" t="str">
        <f>VLOOKUP(B18,'North Standings'!$A$2:$C$39,3,FALSE)</f>
        <v>5 / 1 / 0 / 0</v>
      </c>
      <c r="L18">
        <f t="shared" si="3"/>
        <v>3</v>
      </c>
    </row>
    <row r="19" spans="1:12" ht="15.75" thickBot="1">
      <c r="A19">
        <v>16</v>
      </c>
      <c r="B19" t="str">
        <f>VLOOKUP(A19,North!A:C,3,FALSE)</f>
        <v>Heritage of Wake Forest</v>
      </c>
      <c r="C19" s="31">
        <f t="shared" si="4"/>
        <v>16</v>
      </c>
      <c r="D19" s="22">
        <f>VLOOKUP(A19,North!A:B,2,FALSE)</f>
        <v>17</v>
      </c>
      <c r="E19" s="32" t="str">
        <f t="shared" si="0"/>
        <v>Up 1</v>
      </c>
      <c r="F19" s="31">
        <f t="shared" si="1"/>
        <v>4</v>
      </c>
      <c r="G19" s="32">
        <f t="shared" si="1"/>
        <v>5</v>
      </c>
      <c r="H19" s="33" t="str">
        <f t="shared" si="2"/>
        <v>Up 1</v>
      </c>
      <c r="I19" s="22" t="str">
        <f>VLOOKUP(B19,'North Standings'!$A$2:$C$39,2,FALSE)</f>
        <v>2 / 1 / 0 / 0</v>
      </c>
      <c r="J19" s="30" t="str">
        <f>VLOOKUP(B19,'North Standings'!$A$2:$C$39,3,FALSE)</f>
        <v>3 / 3 / 0 / 0</v>
      </c>
      <c r="L19">
        <f t="shared" si="3"/>
        <v>1</v>
      </c>
    </row>
    <row r="20" spans="1:12">
      <c r="A20">
        <v>17</v>
      </c>
      <c r="B20" t="str">
        <f>VLOOKUP(A20,North!A:C,3,FALSE)</f>
        <v>Riverwood</v>
      </c>
      <c r="C20" s="25">
        <f t="shared" si="4"/>
        <v>17</v>
      </c>
      <c r="D20" s="27">
        <f>VLOOKUP(A20,North!A:B,2,FALSE)</f>
        <v>14</v>
      </c>
      <c r="E20" s="22" t="str">
        <f t="shared" si="0"/>
        <v>Down 3</v>
      </c>
      <c r="F20" s="25">
        <f t="shared" si="1"/>
        <v>5</v>
      </c>
      <c r="G20" s="22">
        <f t="shared" si="1"/>
        <v>4</v>
      </c>
      <c r="H20" s="23" t="str">
        <f t="shared" si="2"/>
        <v>Down 1</v>
      </c>
      <c r="I20" s="27" t="str">
        <f>VLOOKUP(B20,'North Standings'!$A$2:$C$39,2,FALSE)</f>
        <v>1 / 2 / 0 / 0</v>
      </c>
      <c r="J20" s="29" t="str">
        <f>VLOOKUP(B20,'North Standings'!$A$2:$C$39,3,FALSE)</f>
        <v>1 / 5 / 0 / 0</v>
      </c>
      <c r="L20">
        <f t="shared" si="3"/>
        <v>-3</v>
      </c>
    </row>
    <row r="21" spans="1:12">
      <c r="A21">
        <v>18</v>
      </c>
      <c r="B21" t="str">
        <f>VLOOKUP(A21,North!A:C,3,FALSE)</f>
        <v>Stonebridge</v>
      </c>
      <c r="C21" s="25">
        <f t="shared" si="4"/>
        <v>18</v>
      </c>
      <c r="D21" s="22">
        <f>VLOOKUP(A21,North!A:B,2,FALSE)</f>
        <v>16</v>
      </c>
      <c r="E21" s="22" t="str">
        <f t="shared" si="0"/>
        <v>Down 2</v>
      </c>
      <c r="F21" s="25">
        <f t="shared" si="1"/>
        <v>5</v>
      </c>
      <c r="G21" s="22">
        <f t="shared" si="1"/>
        <v>4</v>
      </c>
      <c r="H21" s="23" t="str">
        <f t="shared" si="2"/>
        <v>Down 1</v>
      </c>
      <c r="I21" s="22" t="str">
        <f>VLOOKUP(B21,'North Standings'!$A$2:$C$39,2,FALSE)</f>
        <v>1 / 2 / 0 / 0</v>
      </c>
      <c r="J21" s="30" t="str">
        <f>VLOOKUP(B21,'North Standings'!$A$2:$C$39,3,FALSE)</f>
        <v>3 / 3 / 0 / 0</v>
      </c>
      <c r="L21">
        <f t="shared" si="3"/>
        <v>-2</v>
      </c>
    </row>
    <row r="22" spans="1:12">
      <c r="A22">
        <v>19</v>
      </c>
      <c r="B22" t="str">
        <f>VLOOKUP(A22,North!A:C,3,FALSE)</f>
        <v>Durant Trails</v>
      </c>
      <c r="C22" s="25">
        <f t="shared" si="4"/>
        <v>19</v>
      </c>
      <c r="D22" s="22">
        <f>VLOOKUP(A22,North!A:B,2,FALSE)</f>
        <v>21</v>
      </c>
      <c r="E22" s="22" t="str">
        <f t="shared" si="0"/>
        <v>Up 2</v>
      </c>
      <c r="F22" s="25">
        <f t="shared" si="1"/>
        <v>5</v>
      </c>
      <c r="G22" s="22">
        <f t="shared" si="1"/>
        <v>6</v>
      </c>
      <c r="H22" s="23" t="str">
        <f t="shared" si="2"/>
        <v>Up 1</v>
      </c>
      <c r="I22" s="22" t="str">
        <f>VLOOKUP(B22,'North Standings'!$A$2:$C$39,2,FALSE)</f>
        <v>3 / 0 / 0 / 0</v>
      </c>
      <c r="J22" s="30" t="str">
        <f>VLOOKUP(B22,'North Standings'!$A$2:$C$39,3,FALSE)</f>
        <v>4 / 2 / 0 / 0</v>
      </c>
      <c r="L22">
        <f t="shared" si="3"/>
        <v>2</v>
      </c>
    </row>
    <row r="23" spans="1:12" ht="15.75" thickBot="1">
      <c r="A23">
        <v>20</v>
      </c>
      <c r="B23" t="str">
        <f>VLOOKUP(A23,North!A:C,3,FALSE)</f>
        <v>Summerfield North</v>
      </c>
      <c r="C23" s="25">
        <f t="shared" si="4"/>
        <v>20</v>
      </c>
      <c r="D23" s="22">
        <f>VLOOKUP(A23,North!A:B,2,FALSE)</f>
        <v>20</v>
      </c>
      <c r="E23" s="22" t="str">
        <f t="shared" si="0"/>
        <v>Same</v>
      </c>
      <c r="F23" s="25">
        <f t="shared" si="1"/>
        <v>5</v>
      </c>
      <c r="G23" s="22">
        <f t="shared" si="1"/>
        <v>5</v>
      </c>
      <c r="H23" s="23" t="str">
        <f t="shared" si="2"/>
        <v>Same</v>
      </c>
      <c r="I23" s="22" t="str">
        <f>VLOOKUP(B23,'North Standings'!$A$2:$C$39,2,FALSE)</f>
        <v>1 / 2 / 0 / 0</v>
      </c>
      <c r="J23" s="30" t="str">
        <f>VLOOKUP(B23,'North Standings'!$A$2:$C$39,3,FALSE)</f>
        <v>4 / 2 / 0 / 0</v>
      </c>
      <c r="L23">
        <f t="shared" si="3"/>
        <v>0</v>
      </c>
    </row>
    <row r="24" spans="1:12">
      <c r="A24">
        <v>21</v>
      </c>
      <c r="B24" t="str">
        <f>VLOOKUP(A24,North!A:C,3,FALSE)</f>
        <v>Hedingham</v>
      </c>
      <c r="C24" s="26">
        <f t="shared" si="4"/>
        <v>21</v>
      </c>
      <c r="D24" s="27">
        <f>VLOOKUP(A24,North!A:B,2,FALSE)</f>
        <v>25</v>
      </c>
      <c r="E24" s="27" t="str">
        <f t="shared" si="0"/>
        <v>Up 4</v>
      </c>
      <c r="F24" s="26">
        <f t="shared" si="1"/>
        <v>6</v>
      </c>
      <c r="G24" s="27">
        <f t="shared" si="1"/>
        <v>7</v>
      </c>
      <c r="H24" s="28" t="str">
        <f t="shared" si="2"/>
        <v>Up 1</v>
      </c>
      <c r="I24" s="27" t="str">
        <f>VLOOKUP(B24,'North Standings'!$A$2:$C$39,2,FALSE)</f>
        <v>2 / 0 / 0 / 0</v>
      </c>
      <c r="J24" s="29" t="str">
        <f>VLOOKUP(B24,'North Standings'!$A$2:$C$39,3,FALSE)</f>
        <v>5 / 0 / 0 / 0</v>
      </c>
      <c r="L24">
        <f t="shared" si="3"/>
        <v>4</v>
      </c>
    </row>
    <row r="25" spans="1:12">
      <c r="A25">
        <v>22</v>
      </c>
      <c r="B25" t="str">
        <f>VLOOKUP(A25,North!A:C,3,FALSE)</f>
        <v>Hasentree</v>
      </c>
      <c r="C25" s="25">
        <f t="shared" si="4"/>
        <v>22</v>
      </c>
      <c r="D25" s="22">
        <f>VLOOKUP(A25,North!A:B,2,FALSE)</f>
        <v>19</v>
      </c>
      <c r="E25" s="22" t="str">
        <f t="shared" si="0"/>
        <v>Down 3</v>
      </c>
      <c r="F25" s="25">
        <f t="shared" si="1"/>
        <v>6</v>
      </c>
      <c r="G25" s="22">
        <f t="shared" si="1"/>
        <v>5</v>
      </c>
      <c r="H25" s="23" t="str">
        <f t="shared" si="2"/>
        <v>Down 1</v>
      </c>
      <c r="I25" s="22" t="str">
        <f>VLOOKUP(B25,'North Standings'!$A$2:$C$39,2,FALSE)</f>
        <v>0 / 3 / 0 / 0</v>
      </c>
      <c r="J25" s="30" t="str">
        <f>VLOOKUP(B25,'North Standings'!$A$2:$C$39,3,FALSE)</f>
        <v>1 / 5 / 0 / 0</v>
      </c>
      <c r="L25">
        <f t="shared" si="3"/>
        <v>-3</v>
      </c>
    </row>
    <row r="26" spans="1:12">
      <c r="A26">
        <v>23</v>
      </c>
      <c r="B26" t="str">
        <f>VLOOKUP(A26,North!A:C,3,FALSE)</f>
        <v>Oak Park</v>
      </c>
      <c r="C26" s="25">
        <f t="shared" si="4"/>
        <v>23</v>
      </c>
      <c r="D26" s="22">
        <f>VLOOKUP(A26,North!A:B,2,FALSE)</f>
        <v>23</v>
      </c>
      <c r="E26" s="22" t="str">
        <f t="shared" si="0"/>
        <v>Same</v>
      </c>
      <c r="F26" s="25">
        <f t="shared" si="1"/>
        <v>6</v>
      </c>
      <c r="G26" s="22">
        <f t="shared" si="1"/>
        <v>6</v>
      </c>
      <c r="H26" s="23" t="str">
        <f t="shared" si="2"/>
        <v>Same</v>
      </c>
      <c r="I26" s="22" t="str">
        <f>VLOOKUP(B26,'North Standings'!$A$2:$C$39,2,FALSE)</f>
        <v>2 / 1 / 0 / 0</v>
      </c>
      <c r="J26" s="30" t="str">
        <f>VLOOKUP(B26,'North Standings'!$A$2:$C$39,3,FALSE)</f>
        <v>2 / 3 / 0 / 0</v>
      </c>
      <c r="L26">
        <f t="shared" si="3"/>
        <v>0</v>
      </c>
    </row>
    <row r="27" spans="1:12" ht="15.75" thickBot="1">
      <c r="A27">
        <v>24</v>
      </c>
      <c r="B27" t="str">
        <f>VLOOKUP(A27,North!A:C,3,FALSE)</f>
        <v>Southall</v>
      </c>
      <c r="C27" s="31">
        <f t="shared" si="4"/>
        <v>24</v>
      </c>
      <c r="D27" s="22">
        <f>VLOOKUP(A27,North!A:B,2,FALSE)</f>
        <v>30</v>
      </c>
      <c r="E27" s="32" t="str">
        <f t="shared" si="0"/>
        <v>Up 6</v>
      </c>
      <c r="F27" s="31">
        <f t="shared" si="1"/>
        <v>6</v>
      </c>
      <c r="G27" s="32">
        <f t="shared" si="1"/>
        <v>8</v>
      </c>
      <c r="H27" s="33" t="str">
        <f t="shared" si="2"/>
        <v>Up 2</v>
      </c>
      <c r="I27" s="22" t="str">
        <f>VLOOKUP(B27,'North Standings'!$A$2:$C$39,2,FALSE)</f>
        <v>3 / 0 / 0 / 0</v>
      </c>
      <c r="J27" s="30" t="str">
        <f>VLOOKUP(B27,'North Standings'!$A$2:$C$39,3,FALSE)</f>
        <v>6 / 0 / 0 / 0</v>
      </c>
      <c r="L27">
        <f t="shared" si="3"/>
        <v>6</v>
      </c>
    </row>
    <row r="28" spans="1:12">
      <c r="A28">
        <v>25</v>
      </c>
      <c r="B28" t="str">
        <f>VLOOKUP(A28,North!A:C,3,FALSE)</f>
        <v>Lakemont</v>
      </c>
      <c r="C28" s="25">
        <f t="shared" si="4"/>
        <v>25</v>
      </c>
      <c r="D28" s="27">
        <f>VLOOKUP(A28,North!A:B,2,FALSE)</f>
        <v>28</v>
      </c>
      <c r="E28" s="22" t="str">
        <f t="shared" si="0"/>
        <v>Up 3</v>
      </c>
      <c r="F28" s="25">
        <f t="shared" si="1"/>
        <v>7</v>
      </c>
      <c r="G28" s="22">
        <f t="shared" si="1"/>
        <v>7</v>
      </c>
      <c r="H28" s="23" t="str">
        <f t="shared" si="2"/>
        <v>Same</v>
      </c>
      <c r="I28" s="27" t="str">
        <f>VLOOKUP(B28,'North Standings'!$A$2:$C$39,2,FALSE)</f>
        <v>1 / 1 / 0 / 0</v>
      </c>
      <c r="J28" s="29" t="str">
        <f>VLOOKUP(B28,'North Standings'!$A$2:$C$39,3,FALSE)</f>
        <v>3 / 2 / 0 / 0</v>
      </c>
      <c r="L28">
        <f t="shared" si="3"/>
        <v>3</v>
      </c>
    </row>
    <row r="29" spans="1:12">
      <c r="A29">
        <v>26</v>
      </c>
      <c r="B29" t="str">
        <f>VLOOKUP(A29,North!A:C,3,FALSE)</f>
        <v>Manchester</v>
      </c>
      <c r="C29" s="25">
        <f t="shared" si="4"/>
        <v>26</v>
      </c>
      <c r="D29" s="22">
        <f>VLOOKUP(A29,North!A:B,2,FALSE)</f>
        <v>24</v>
      </c>
      <c r="E29" s="22" t="str">
        <f t="shared" si="0"/>
        <v>Down 2</v>
      </c>
      <c r="F29" s="25">
        <f t="shared" si="1"/>
        <v>7</v>
      </c>
      <c r="G29" s="22">
        <f t="shared" si="1"/>
        <v>6</v>
      </c>
      <c r="H29" s="23" t="str">
        <f t="shared" si="2"/>
        <v>Down 1</v>
      </c>
      <c r="I29" s="22" t="str">
        <f>VLOOKUP(B29,'North Standings'!$A$2:$C$39,2,FALSE)</f>
        <v>1 / 2 / 0 / 0</v>
      </c>
      <c r="J29" s="30" t="str">
        <f>VLOOKUP(B29,'North Standings'!$A$2:$C$39,3,FALSE)</f>
        <v>2 / 3 / 0 / 0</v>
      </c>
      <c r="L29">
        <f t="shared" si="3"/>
        <v>-2</v>
      </c>
    </row>
    <row r="30" spans="1:12">
      <c r="A30">
        <v>27</v>
      </c>
      <c r="B30" t="str">
        <f>VLOOKUP(A30,North!A:C,3,FALSE)</f>
        <v>Lifetime Raleigh</v>
      </c>
      <c r="C30" s="25">
        <f t="shared" si="4"/>
        <v>27</v>
      </c>
      <c r="D30" s="22">
        <f>VLOOKUP(A30,North!A:B,2,FALSE)</f>
        <v>22</v>
      </c>
      <c r="E30" s="22" t="str">
        <f t="shared" si="0"/>
        <v>Down 5</v>
      </c>
      <c r="F30" s="25">
        <f t="shared" si="1"/>
        <v>7</v>
      </c>
      <c r="G30" s="22">
        <f t="shared" si="1"/>
        <v>6</v>
      </c>
      <c r="H30" s="23" t="str">
        <f t="shared" si="2"/>
        <v>Down 1</v>
      </c>
      <c r="I30" s="22" t="str">
        <f>VLOOKUP(B30,'North Standings'!$A$2:$C$39,2,FALSE)</f>
        <v>0 / 3 / 0 / 0</v>
      </c>
      <c r="J30" s="30" t="str">
        <f>VLOOKUP(B30,'North Standings'!$A$2:$C$39,3,FALSE)</f>
        <v>0 / 6 / 0 / 0</v>
      </c>
      <c r="L30">
        <f t="shared" si="3"/>
        <v>-5</v>
      </c>
    </row>
    <row r="31" spans="1:12" ht="15.75" thickBot="1">
      <c r="A31">
        <v>28</v>
      </c>
      <c r="B31" t="str">
        <f>VLOOKUP(A31,North!A:C,3,FALSE)</f>
        <v>Crabtree</v>
      </c>
      <c r="C31" s="25">
        <f t="shared" si="4"/>
        <v>28</v>
      </c>
      <c r="D31" s="22">
        <f>VLOOKUP(A31,North!A:B,2,FALSE)</f>
        <v>29</v>
      </c>
      <c r="E31" s="22" t="str">
        <f t="shared" si="0"/>
        <v>Up 1</v>
      </c>
      <c r="F31" s="25">
        <f t="shared" si="1"/>
        <v>7</v>
      </c>
      <c r="G31" s="22">
        <f t="shared" si="1"/>
        <v>8</v>
      </c>
      <c r="H31" s="23" t="str">
        <f t="shared" si="2"/>
        <v>Up 1</v>
      </c>
      <c r="I31" s="22" t="str">
        <f>VLOOKUP(B31,'North Standings'!$A$2:$C$39,2,FALSE)</f>
        <v>2 / 1 / 0 / 0</v>
      </c>
      <c r="J31" s="30" t="str">
        <f>VLOOKUP(B31,'North Standings'!$A$2:$C$39,3,FALSE)</f>
        <v>3 / 2 / 0 / 0</v>
      </c>
      <c r="L31">
        <f t="shared" si="3"/>
        <v>1</v>
      </c>
    </row>
    <row r="32" spans="1:12">
      <c r="A32">
        <v>29</v>
      </c>
      <c r="B32" t="str">
        <f>VLOOKUP(A32,North!A:C,3,FALSE)</f>
        <v>Wendell</v>
      </c>
      <c r="C32" s="26">
        <f t="shared" si="4"/>
        <v>29</v>
      </c>
      <c r="D32" s="27">
        <f>VLOOKUP(A32,North!A:B,2,FALSE)</f>
        <v>34</v>
      </c>
      <c r="E32" s="27" t="str">
        <f t="shared" si="0"/>
        <v>Up 5</v>
      </c>
      <c r="F32" s="26">
        <f t="shared" si="1"/>
        <v>8</v>
      </c>
      <c r="G32" s="27">
        <f t="shared" si="1"/>
        <v>9</v>
      </c>
      <c r="H32" s="28" t="str">
        <f t="shared" si="2"/>
        <v>Up 1</v>
      </c>
      <c r="I32" s="27" t="str">
        <f>VLOOKUP(B32,'North Standings'!$A$2:$C$39,2,FALSE)</f>
        <v>2 / 0 / 0 / 0</v>
      </c>
      <c r="J32" s="29" t="str">
        <f>VLOOKUP(B32,'North Standings'!$A$2:$C$39,3,FALSE)</f>
        <v>6 / 0 / 0 / 0</v>
      </c>
      <c r="L32">
        <f t="shared" si="3"/>
        <v>5</v>
      </c>
    </row>
    <row r="33" spans="1:12">
      <c r="A33">
        <v>30</v>
      </c>
      <c r="B33" t="str">
        <f>VLOOKUP(A33,North!A:C,3,FALSE)</f>
        <v>Black Horse Run</v>
      </c>
      <c r="C33" s="25">
        <f t="shared" si="4"/>
        <v>30</v>
      </c>
      <c r="D33" s="22">
        <f>VLOOKUP(A33,North!A:B,2,FALSE)</f>
        <v>31</v>
      </c>
      <c r="E33" s="22" t="str">
        <f t="shared" si="0"/>
        <v>Up 1</v>
      </c>
      <c r="F33" s="25">
        <f t="shared" si="1"/>
        <v>8</v>
      </c>
      <c r="G33" s="22">
        <f t="shared" si="1"/>
        <v>8</v>
      </c>
      <c r="H33" s="23" t="str">
        <f t="shared" si="2"/>
        <v>Same</v>
      </c>
      <c r="I33" s="22" t="str">
        <f>VLOOKUP(B33,'North Standings'!$A$2:$C$39,2,FALSE)</f>
        <v>1 / 2 / 0 / 0</v>
      </c>
      <c r="J33" s="30" t="str">
        <f>VLOOKUP(B33,'North Standings'!$A$2:$C$39,3,FALSE)</f>
        <v>3 / 3 / 0 / 0</v>
      </c>
      <c r="L33">
        <f t="shared" si="3"/>
        <v>1</v>
      </c>
    </row>
    <row r="34" spans="1:12" ht="15.75" thickBot="1">
      <c r="A34">
        <v>31</v>
      </c>
      <c r="B34" t="str">
        <f>VLOOKUP(A34,North!A:C,3,FALSE)</f>
        <v>Coachman's Trail</v>
      </c>
      <c r="C34" s="31">
        <f t="shared" si="4"/>
        <v>31</v>
      </c>
      <c r="D34" s="32">
        <f>VLOOKUP(A34,North!A:B,2,FALSE)</f>
        <v>35</v>
      </c>
      <c r="E34" s="32" t="str">
        <f t="shared" si="0"/>
        <v>Up 4</v>
      </c>
      <c r="F34" s="31">
        <f t="shared" si="1"/>
        <v>8</v>
      </c>
      <c r="G34" s="32">
        <f t="shared" si="1"/>
        <v>9</v>
      </c>
      <c r="H34" s="33" t="str">
        <f t="shared" si="2"/>
        <v>Up 1</v>
      </c>
      <c r="I34" s="32" t="str">
        <f>VLOOKUP(B34,'North Standings'!$A$2:$C$39,2,FALSE)</f>
        <v>1 / 1 / 0 / 0</v>
      </c>
      <c r="J34" s="34" t="str">
        <f>VLOOKUP(B34,'North Standings'!$A$2:$C$39,3,FALSE)</f>
        <v>5 / 1 / 0 / 0</v>
      </c>
      <c r="L34">
        <f t="shared" si="3"/>
        <v>4</v>
      </c>
    </row>
    <row r="35" spans="1:12">
      <c r="A35">
        <v>32</v>
      </c>
      <c r="B35" t="str">
        <f>VLOOKUP(A35,North!A:C,3,FALSE)</f>
        <v>Meredith Townes</v>
      </c>
      <c r="C35" s="25">
        <f t="shared" si="4"/>
        <v>32</v>
      </c>
      <c r="D35" s="22">
        <f>VLOOKUP(A35,North!A:B,2,FALSE)</f>
        <v>27</v>
      </c>
      <c r="E35" s="22" t="str">
        <f t="shared" si="0"/>
        <v>Down 5</v>
      </c>
      <c r="F35" s="25">
        <v>9</v>
      </c>
      <c r="G35" s="22">
        <f t="shared" si="1"/>
        <v>7</v>
      </c>
      <c r="H35" s="23" t="str">
        <f t="shared" si="2"/>
        <v>Down 2</v>
      </c>
      <c r="I35" s="22" t="str">
        <f>VLOOKUP(B35,'North Standings'!$A$2:$C$39,2,FALSE)</f>
        <v>0 / 2 / 0 / 0</v>
      </c>
      <c r="J35" s="30" t="str">
        <f>VLOOKUP(B35,'North Standings'!$A$2:$C$39,3,FALSE)</f>
        <v>0 / 5 / 0 / 0</v>
      </c>
      <c r="L35">
        <f t="shared" si="3"/>
        <v>-5</v>
      </c>
    </row>
    <row r="36" spans="1:12">
      <c r="A36">
        <v>33</v>
      </c>
      <c r="B36" t="str">
        <f>VLOOKUP(A36,North!A:C,3,FALSE)</f>
        <v>Banbury Woods &amp; Hunters Landing</v>
      </c>
      <c r="C36" s="25">
        <f t="shared" si="4"/>
        <v>33</v>
      </c>
      <c r="D36" s="22">
        <f>VLOOKUP(A36,North!A:B,2,FALSE)</f>
        <v>32</v>
      </c>
      <c r="E36" s="22" t="str">
        <f t="shared" si="0"/>
        <v>Down 1</v>
      </c>
      <c r="F36" s="25">
        <v>9</v>
      </c>
      <c r="G36" s="22">
        <f t="shared" si="1"/>
        <v>8</v>
      </c>
      <c r="H36" s="23" t="str">
        <f t="shared" si="2"/>
        <v>Down 1</v>
      </c>
      <c r="I36" s="22" t="str">
        <f>VLOOKUP(B36,'North Standings'!$A$2:$C$39,2,FALSE)</f>
        <v>0 / 3 / 0 / 0</v>
      </c>
      <c r="J36" s="30" t="str">
        <f>VLOOKUP(B36,'North Standings'!$A$2:$C$39,3,FALSE)</f>
        <v>1 / 5 / 0 / 0</v>
      </c>
      <c r="L36">
        <f t="shared" si="3"/>
        <v>-1</v>
      </c>
    </row>
    <row r="37" spans="1:12" ht="15.75" thickBot="1">
      <c r="A37">
        <v>34</v>
      </c>
      <c r="B37" t="str">
        <f>VLOOKUP(A37,North!A:C,3,FALSE)</f>
        <v>Raleigh Racquet</v>
      </c>
      <c r="C37" s="31">
        <f t="shared" si="4"/>
        <v>34</v>
      </c>
      <c r="D37" s="32">
        <f>VLOOKUP(A37,North!A:B,2,FALSE)</f>
        <v>36</v>
      </c>
      <c r="E37" s="32" t="str">
        <f t="shared" si="0"/>
        <v>Up 2</v>
      </c>
      <c r="F37" s="31">
        <v>9</v>
      </c>
      <c r="G37" s="32">
        <f t="shared" si="1"/>
        <v>9</v>
      </c>
      <c r="H37" s="33" t="str">
        <f t="shared" si="2"/>
        <v>Same</v>
      </c>
      <c r="I37" s="32" t="str">
        <f>VLOOKUP(B37,'North Standings'!$A$2:$C$39,2,FALSE)</f>
        <v>2 / 0 / 0 / 0</v>
      </c>
      <c r="J37" s="34" t="str">
        <f>VLOOKUP(B37,'North Standings'!$A$2:$C$39,3,FALSE)</f>
        <v>2 / 4 / 0 / 0</v>
      </c>
      <c r="L37">
        <f t="shared" si="3"/>
        <v>2</v>
      </c>
    </row>
    <row r="38" spans="1:12">
      <c r="A38">
        <v>35</v>
      </c>
      <c r="B38" t="str">
        <f>VLOOKUP(A38,North!A:C,3,FALSE)</f>
        <v>Hawthorne</v>
      </c>
      <c r="C38" s="25">
        <f t="shared" si="4"/>
        <v>35</v>
      </c>
      <c r="D38" s="22">
        <f>VLOOKUP(A38,North!A:B,2,FALSE)</f>
        <v>33</v>
      </c>
      <c r="E38" s="22" t="str">
        <f t="shared" si="0"/>
        <v>Down 2</v>
      </c>
      <c r="F38" s="25">
        <v>10</v>
      </c>
      <c r="G38" s="22">
        <v>10</v>
      </c>
      <c r="H38" s="23" t="str">
        <f t="shared" si="2"/>
        <v>Same</v>
      </c>
      <c r="I38" s="22" t="str">
        <f>VLOOKUP(B38,'North Standings'!$A$2:$C$39,2,FALSE)</f>
        <v>0 / 2 / 0 / 0</v>
      </c>
      <c r="J38" s="30" t="str">
        <f>VLOOKUP(B38,'North Standings'!$A$2:$C$39,3,FALSE)</f>
        <v>2 / 4 / 0 / 0</v>
      </c>
      <c r="L38">
        <f t="shared" si="3"/>
        <v>-2</v>
      </c>
    </row>
    <row r="39" spans="1:12">
      <c r="A39">
        <v>36</v>
      </c>
      <c r="B39" t="str">
        <f>VLOOKUP(A39,North!A:C,3,FALSE)</f>
        <v>Zebulon</v>
      </c>
      <c r="C39" s="25">
        <f t="shared" si="4"/>
        <v>36</v>
      </c>
      <c r="D39" s="22">
        <f>VLOOKUP(A39,North!A:B,2,FALSE)</f>
        <v>37</v>
      </c>
      <c r="E39" s="22" t="str">
        <f t="shared" si="0"/>
        <v>Up 1</v>
      </c>
      <c r="F39" s="25">
        <v>10</v>
      </c>
      <c r="G39" s="22">
        <f t="shared" si="1"/>
        <v>10</v>
      </c>
      <c r="H39" s="23" t="str">
        <f t="shared" si="2"/>
        <v>Same</v>
      </c>
      <c r="I39" s="22" t="str">
        <f>VLOOKUP(B39,'North Standings'!$A$2:$C$39,2,FALSE)</f>
        <v>1 / 1 / 0 / 0</v>
      </c>
      <c r="J39" s="30" t="str">
        <f>VLOOKUP(B39,'North Standings'!$A$2:$C$39,3,FALSE)</f>
        <v>2 / 4 / 0 / 0</v>
      </c>
      <c r="L39">
        <f t="shared" si="3"/>
        <v>1</v>
      </c>
    </row>
    <row r="40" spans="1:12" ht="15.75" thickBot="1">
      <c r="A40">
        <v>37</v>
      </c>
      <c r="B40" t="str">
        <f>VLOOKUP(A40,North!A:C,3,FALSE)</f>
        <v>Planter's Walk</v>
      </c>
      <c r="C40" s="31">
        <f t="shared" si="4"/>
        <v>37</v>
      </c>
      <c r="D40" s="32">
        <f>VLOOKUP(A40,North!A:B,2,FALSE)</f>
        <v>38</v>
      </c>
      <c r="E40" s="32" t="str">
        <f t="shared" si="0"/>
        <v>Up 1</v>
      </c>
      <c r="F40" s="31">
        <v>10</v>
      </c>
      <c r="G40" s="32">
        <f t="shared" si="1"/>
        <v>10</v>
      </c>
      <c r="H40" s="33" t="str">
        <f t="shared" si="2"/>
        <v>Same</v>
      </c>
      <c r="I40" s="32" t="str">
        <f>VLOOKUP(B40,'North Standings'!$A$2:$C$39,2,FALSE)</f>
        <v>0 / 2 / 0 / 0</v>
      </c>
      <c r="J40" s="34" t="str">
        <f>VLOOKUP(B40,'North Standings'!$A$2:$C$39,3,FALSE)</f>
        <v>0 / 6 / 0 / 0</v>
      </c>
      <c r="L40">
        <f t="shared" si="3"/>
        <v>1</v>
      </c>
    </row>
    <row r="41" spans="1:12">
      <c r="B41" s="72"/>
      <c r="H41" s="127"/>
    </row>
    <row r="45" spans="1:12">
      <c r="B45" s="72"/>
    </row>
  </sheetData>
  <conditionalFormatting sqref="L4:L40">
    <cfRule type="cellIs" dxfId="4" priority="1" operator="lessThan">
      <formula>-3</formula>
    </cfRule>
    <cfRule type="cellIs" dxfId="3" priority="2" operator="greaterThan">
      <formula>3</formula>
    </cfRule>
  </conditionalFormatting>
  <pageMargins left="0.42" right="0.25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autoPageBreaks="0"/>
  </sheetPr>
  <dimension ref="A1:M52"/>
  <sheetViews>
    <sheetView zoomScaleNormal="100" workbookViewId="0">
      <selection sqref="A1:C1"/>
    </sheetView>
  </sheetViews>
  <sheetFormatPr defaultRowHeight="15"/>
  <cols>
    <col min="1" max="1" width="39" customWidth="1"/>
    <col min="2" max="2" width="17.5703125" bestFit="1" customWidth="1"/>
    <col min="3" max="3" width="33.140625" style="22" customWidth="1"/>
    <col min="7" max="7" width="17.85546875" customWidth="1"/>
    <col min="10" max="11" width="20.5703125" customWidth="1"/>
    <col min="12" max="13" width="18.140625" customWidth="1"/>
  </cols>
  <sheetData>
    <row r="1" spans="1:13" ht="16.5" thickBot="1">
      <c r="A1" s="151" t="s">
        <v>275</v>
      </c>
      <c r="B1" s="152" t="s">
        <v>281</v>
      </c>
      <c r="C1" s="152" t="s">
        <v>282</v>
      </c>
      <c r="F1" s="171" t="s">
        <v>231</v>
      </c>
      <c r="G1" s="172"/>
      <c r="H1" s="173"/>
      <c r="I1" s="171" t="s">
        <v>232</v>
      </c>
      <c r="J1" s="172"/>
      <c r="K1" s="173"/>
    </row>
    <row r="2" spans="1:13">
      <c r="A2" t="str">
        <f>South!C4</f>
        <v>Cary</v>
      </c>
      <c r="B2" s="138" t="s">
        <v>143</v>
      </c>
      <c r="C2" s="138" t="s">
        <v>148</v>
      </c>
      <c r="F2" s="12">
        <f>South!Q4</f>
        <v>3</v>
      </c>
      <c r="G2" s="12">
        <f>South!R4</f>
        <v>0</v>
      </c>
      <c r="H2" s="12">
        <f>South!S4</f>
        <v>0</v>
      </c>
      <c r="I2" s="12">
        <f>South!N4</f>
        <v>5</v>
      </c>
      <c r="J2" s="12">
        <f>South!O4</f>
        <v>1</v>
      </c>
      <c r="K2" s="12">
        <f>South!P4</f>
        <v>0</v>
      </c>
      <c r="L2" s="138" t="s">
        <v>143</v>
      </c>
      <c r="M2" s="138" t="s">
        <v>144</v>
      </c>
    </row>
    <row r="3" spans="1:13">
      <c r="A3" t="str">
        <f>South!C5</f>
        <v>Scottish Hills</v>
      </c>
      <c r="B3" s="138" t="s">
        <v>145</v>
      </c>
      <c r="C3" s="138" t="s">
        <v>147</v>
      </c>
      <c r="F3" s="12">
        <f>South!Q5</f>
        <v>1</v>
      </c>
      <c r="G3" s="12">
        <f>South!R5</f>
        <v>2</v>
      </c>
      <c r="H3" s="12">
        <f>South!S5</f>
        <v>0</v>
      </c>
      <c r="I3" s="12">
        <f>South!N5</f>
        <v>2</v>
      </c>
      <c r="J3" s="12">
        <f>South!O5</f>
        <v>4</v>
      </c>
      <c r="K3" s="12">
        <f>South!P5</f>
        <v>0</v>
      </c>
      <c r="L3" s="138" t="s">
        <v>149</v>
      </c>
      <c r="M3" s="138" t="s">
        <v>148</v>
      </c>
    </row>
    <row r="4" spans="1:13">
      <c r="A4" t="str">
        <f>South!C6</f>
        <v>Cary Park</v>
      </c>
      <c r="B4" s="138" t="s">
        <v>149</v>
      </c>
      <c r="C4" s="138" t="s">
        <v>150</v>
      </c>
      <c r="F4" s="12">
        <f>South!Q6</f>
        <v>2</v>
      </c>
      <c r="G4" s="12">
        <f>South!R6</f>
        <v>1</v>
      </c>
      <c r="H4" s="12">
        <f>South!S6</f>
        <v>0</v>
      </c>
      <c r="I4" s="12">
        <f>South!N6</f>
        <v>4</v>
      </c>
      <c r="J4" s="12">
        <f>South!O6</f>
        <v>2</v>
      </c>
      <c r="K4" s="12">
        <f>South!P6</f>
        <v>0</v>
      </c>
      <c r="L4" s="138" t="s">
        <v>145</v>
      </c>
      <c r="M4" s="138" t="s">
        <v>150</v>
      </c>
    </row>
    <row r="5" spans="1:13">
      <c r="A5" s="150" t="str">
        <f>South!C7</f>
        <v>Apex</v>
      </c>
      <c r="B5" s="138" t="s">
        <v>151</v>
      </c>
      <c r="C5" s="138" t="s">
        <v>147</v>
      </c>
      <c r="F5" s="12">
        <f>South!Q7</f>
        <v>0</v>
      </c>
      <c r="G5" s="12">
        <f>South!R7</f>
        <v>3</v>
      </c>
      <c r="H5" s="12">
        <f>South!S7</f>
        <v>0</v>
      </c>
      <c r="I5" s="12">
        <f>South!N7</f>
        <v>2</v>
      </c>
      <c r="J5" s="12">
        <f>South!O7</f>
        <v>4</v>
      </c>
      <c r="K5" s="12">
        <f>South!P7</f>
        <v>0</v>
      </c>
      <c r="L5" s="138" t="s">
        <v>151</v>
      </c>
      <c r="M5" s="138" t="s">
        <v>146</v>
      </c>
    </row>
    <row r="6" spans="1:13">
      <c r="A6" t="str">
        <f>South!C8</f>
        <v>Medfield</v>
      </c>
      <c r="B6" s="138" t="s">
        <v>149</v>
      </c>
      <c r="C6" s="138" t="s">
        <v>147</v>
      </c>
      <c r="F6" s="12">
        <f>South!Q8</f>
        <v>2</v>
      </c>
      <c r="G6" s="12">
        <f>South!R8</f>
        <v>1</v>
      </c>
      <c r="H6" s="12">
        <f>South!S8</f>
        <v>0</v>
      </c>
      <c r="I6" s="12">
        <f>South!N8</f>
        <v>2</v>
      </c>
      <c r="J6" s="12">
        <f>South!O8</f>
        <v>4</v>
      </c>
      <c r="K6" s="12">
        <f>South!P8</f>
        <v>0</v>
      </c>
      <c r="M6" s="138" t="s">
        <v>147</v>
      </c>
    </row>
    <row r="7" spans="1:13">
      <c r="A7" t="str">
        <f>South!C9</f>
        <v>Sunset Ridge</v>
      </c>
      <c r="B7" s="138" t="s">
        <v>283</v>
      </c>
      <c r="C7" s="138" t="s">
        <v>189</v>
      </c>
      <c r="F7" s="12">
        <f>South!Q9</f>
        <v>2</v>
      </c>
      <c r="G7" s="12">
        <f>South!R9</f>
        <v>0</v>
      </c>
      <c r="H7" s="12">
        <f>South!S9</f>
        <v>1</v>
      </c>
      <c r="I7" s="12">
        <f>South!N9</f>
        <v>2</v>
      </c>
      <c r="J7" s="12">
        <f>South!O9</f>
        <v>2</v>
      </c>
      <c r="K7" s="12">
        <f>South!P9</f>
        <v>2</v>
      </c>
      <c r="M7" s="138" t="s">
        <v>152</v>
      </c>
    </row>
    <row r="8" spans="1:13">
      <c r="A8" t="str">
        <f>South!C10</f>
        <v>Abbington</v>
      </c>
      <c r="B8" s="138" t="s">
        <v>284</v>
      </c>
      <c r="C8" s="138" t="s">
        <v>226</v>
      </c>
      <c r="F8" s="12">
        <f>South!Q10</f>
        <v>1</v>
      </c>
      <c r="G8" s="12">
        <f>South!R10</f>
        <v>1</v>
      </c>
      <c r="H8" s="12">
        <f>South!S10</f>
        <v>1</v>
      </c>
      <c r="I8" s="12">
        <f>South!N10</f>
        <v>3</v>
      </c>
      <c r="J8" s="12">
        <f>South!O10</f>
        <v>2</v>
      </c>
      <c r="K8" s="12">
        <f>South!P10</f>
        <v>1</v>
      </c>
      <c r="L8" s="138"/>
      <c r="M8" s="138" t="s">
        <v>155</v>
      </c>
    </row>
    <row r="9" spans="1:13">
      <c r="A9" s="150" t="str">
        <f>South!C11</f>
        <v>Prestonwood</v>
      </c>
      <c r="B9" s="138" t="s">
        <v>151</v>
      </c>
      <c r="C9" s="138" t="s">
        <v>155</v>
      </c>
      <c r="F9" s="12">
        <f>South!Q11</f>
        <v>0</v>
      </c>
      <c r="G9" s="12">
        <f>South!R11</f>
        <v>3</v>
      </c>
      <c r="H9" s="12">
        <f>South!S11</f>
        <v>0</v>
      </c>
      <c r="I9" s="12">
        <f>South!N11</f>
        <v>0</v>
      </c>
      <c r="J9" s="12">
        <f>South!O11</f>
        <v>6</v>
      </c>
      <c r="K9" s="12">
        <f>South!P11</f>
        <v>0</v>
      </c>
    </row>
    <row r="10" spans="1:13">
      <c r="A10" t="str">
        <f>South!C12</f>
        <v>Dutchman Downs</v>
      </c>
      <c r="B10" s="138" t="s">
        <v>149</v>
      </c>
      <c r="C10" s="138" t="s">
        <v>279</v>
      </c>
      <c r="F10" s="12">
        <f>South!Q12</f>
        <v>2</v>
      </c>
      <c r="G10" s="12">
        <f>South!R12</f>
        <v>1</v>
      </c>
      <c r="H10" s="12">
        <f>South!S12</f>
        <v>0</v>
      </c>
      <c r="I10" s="12">
        <f>South!N12</f>
        <v>4</v>
      </c>
      <c r="J10" s="12">
        <f>South!O12</f>
        <v>1</v>
      </c>
      <c r="K10" s="12">
        <f>South!P12</f>
        <v>1</v>
      </c>
    </row>
    <row r="11" spans="1:13">
      <c r="A11" t="str">
        <f>South!C13</f>
        <v>Lochmere</v>
      </c>
      <c r="B11" s="138" t="s">
        <v>149</v>
      </c>
      <c r="C11" s="138" t="s">
        <v>146</v>
      </c>
      <c r="F11" s="12">
        <f>South!Q13</f>
        <v>2</v>
      </c>
      <c r="G11" s="12">
        <f>South!R13</f>
        <v>1</v>
      </c>
      <c r="H11" s="12">
        <f>South!S13</f>
        <v>0</v>
      </c>
      <c r="I11" s="12">
        <f>South!N13</f>
        <v>3</v>
      </c>
      <c r="J11" s="12">
        <f>South!O13</f>
        <v>3</v>
      </c>
      <c r="K11" s="12">
        <f>South!P13</f>
        <v>0</v>
      </c>
    </row>
    <row r="12" spans="1:13">
      <c r="A12" t="str">
        <f>South!C14</f>
        <v>Shepherds Vineyard</v>
      </c>
      <c r="B12" s="138" t="s">
        <v>149</v>
      </c>
      <c r="C12" s="138" t="s">
        <v>148</v>
      </c>
      <c r="F12" s="12">
        <f>South!Q14</f>
        <v>2</v>
      </c>
      <c r="G12" s="12">
        <f>South!R14</f>
        <v>1</v>
      </c>
      <c r="H12" s="12">
        <f>South!S14</f>
        <v>0</v>
      </c>
      <c r="I12" s="12">
        <f>South!N14</f>
        <v>5</v>
      </c>
      <c r="J12" s="12">
        <f>South!O14</f>
        <v>1</v>
      </c>
      <c r="K12" s="12">
        <f>South!P14</f>
        <v>0</v>
      </c>
      <c r="M12" s="138" t="s">
        <v>187</v>
      </c>
    </row>
    <row r="13" spans="1:13">
      <c r="A13" s="150" t="str">
        <f>South!C15</f>
        <v>Olive Chapel</v>
      </c>
      <c r="B13" s="138" t="s">
        <v>151</v>
      </c>
      <c r="C13" s="138" t="s">
        <v>152</v>
      </c>
      <c r="F13" s="12">
        <f>South!Q15</f>
        <v>0</v>
      </c>
      <c r="G13" s="12">
        <f>South!R15</f>
        <v>3</v>
      </c>
      <c r="H13" s="12">
        <f>South!S15</f>
        <v>0</v>
      </c>
      <c r="I13" s="12">
        <f>South!N15</f>
        <v>1</v>
      </c>
      <c r="J13" s="12">
        <f>South!O15</f>
        <v>5</v>
      </c>
      <c r="K13" s="12">
        <f>South!P15</f>
        <v>0</v>
      </c>
      <c r="L13" s="138" t="s">
        <v>225</v>
      </c>
      <c r="M13" s="138" t="s">
        <v>279</v>
      </c>
    </row>
    <row r="14" spans="1:13">
      <c r="A14" t="str">
        <f>South!C16</f>
        <v>Preston Village</v>
      </c>
      <c r="B14" s="138" t="s">
        <v>149</v>
      </c>
      <c r="C14" s="138" t="s">
        <v>150</v>
      </c>
      <c r="F14" s="12">
        <f>South!Q16</f>
        <v>2</v>
      </c>
      <c r="G14" s="12">
        <f>South!R16</f>
        <v>1</v>
      </c>
      <c r="H14" s="12">
        <f>South!S16</f>
        <v>0</v>
      </c>
      <c r="I14" s="12">
        <f>South!N16</f>
        <v>4</v>
      </c>
      <c r="J14" s="12">
        <f>South!O16</f>
        <v>2</v>
      </c>
      <c r="K14" s="12">
        <f>South!P16</f>
        <v>0</v>
      </c>
      <c r="L14" s="138" t="s">
        <v>224</v>
      </c>
      <c r="M14" s="138" t="s">
        <v>226</v>
      </c>
    </row>
    <row r="15" spans="1:13">
      <c r="A15" t="str">
        <f>South!C17</f>
        <v>Walden Creek</v>
      </c>
      <c r="B15" s="138" t="s">
        <v>151</v>
      </c>
      <c r="C15" s="138" t="s">
        <v>155</v>
      </c>
      <c r="F15" s="12">
        <f>South!Q17</f>
        <v>0</v>
      </c>
      <c r="G15" s="12">
        <f>South!R17</f>
        <v>3</v>
      </c>
      <c r="H15" s="12">
        <f>South!S17</f>
        <v>0</v>
      </c>
      <c r="I15" s="12">
        <f>South!N17</f>
        <v>0</v>
      </c>
      <c r="J15" s="12">
        <f>South!O17</f>
        <v>6</v>
      </c>
      <c r="K15" s="12">
        <f>South!P17</f>
        <v>0</v>
      </c>
      <c r="L15" s="138" t="s">
        <v>227</v>
      </c>
      <c r="M15" s="138" t="s">
        <v>189</v>
      </c>
    </row>
    <row r="16" spans="1:13">
      <c r="A16" t="str">
        <f>South!C18</f>
        <v>WoodCreek</v>
      </c>
      <c r="B16" s="138" t="s">
        <v>143</v>
      </c>
      <c r="C16" s="138" t="s">
        <v>144</v>
      </c>
      <c r="F16" s="12">
        <f>South!Q18</f>
        <v>3</v>
      </c>
      <c r="G16" s="12">
        <f>South!R18</f>
        <v>0</v>
      </c>
      <c r="H16" s="12">
        <f>South!S18</f>
        <v>0</v>
      </c>
      <c r="I16" s="12">
        <f>South!N18</f>
        <v>6</v>
      </c>
      <c r="J16" s="12">
        <f>South!O18</f>
        <v>0</v>
      </c>
      <c r="K16" s="12">
        <f>South!P18</f>
        <v>0</v>
      </c>
      <c r="M16" s="138" t="s">
        <v>230</v>
      </c>
    </row>
    <row r="17" spans="1:13">
      <c r="A17" s="150" t="str">
        <f>South!C19</f>
        <v>Silverton</v>
      </c>
      <c r="B17" s="138" t="s">
        <v>145</v>
      </c>
      <c r="C17" s="138" t="s">
        <v>146</v>
      </c>
      <c r="F17" s="12">
        <f>South!Q19</f>
        <v>1</v>
      </c>
      <c r="G17" s="12">
        <f>South!R19</f>
        <v>2</v>
      </c>
      <c r="H17" s="12">
        <f>South!S19</f>
        <v>0</v>
      </c>
      <c r="I17" s="12">
        <f>South!N19</f>
        <v>3</v>
      </c>
      <c r="J17" s="12">
        <f>South!O19</f>
        <v>3</v>
      </c>
      <c r="K17" s="12">
        <f>South!P19</f>
        <v>0</v>
      </c>
    </row>
    <row r="18" spans="1:13">
      <c r="A18" t="str">
        <f>South!C20</f>
        <v>Clubworx</v>
      </c>
      <c r="B18" s="138" t="s">
        <v>143</v>
      </c>
      <c r="C18" s="138" t="s">
        <v>148</v>
      </c>
      <c r="F18" s="12">
        <f>South!Q20</f>
        <v>3</v>
      </c>
      <c r="G18" s="12">
        <f>South!R20</f>
        <v>0</v>
      </c>
      <c r="H18" s="12">
        <f>South!S20</f>
        <v>0</v>
      </c>
      <c r="I18" s="12">
        <f>South!N20</f>
        <v>5</v>
      </c>
      <c r="J18" s="12">
        <f>South!O20</f>
        <v>1</v>
      </c>
      <c r="K18" s="12">
        <f>South!P20</f>
        <v>0</v>
      </c>
      <c r="M18" s="138" t="s">
        <v>186</v>
      </c>
    </row>
    <row r="19" spans="1:13">
      <c r="A19" t="str">
        <f>South!C21</f>
        <v>Brookstone</v>
      </c>
      <c r="B19" s="138" t="s">
        <v>145</v>
      </c>
      <c r="C19" s="138" t="s">
        <v>152</v>
      </c>
      <c r="F19" s="12">
        <f>South!Q21</f>
        <v>1</v>
      </c>
      <c r="G19" s="12">
        <f>South!R21</f>
        <v>2</v>
      </c>
      <c r="H19" s="12">
        <f>South!S21</f>
        <v>0</v>
      </c>
      <c r="I19" s="12">
        <f>South!N21</f>
        <v>1</v>
      </c>
      <c r="J19" s="12">
        <f>South!O21</f>
        <v>5</v>
      </c>
      <c r="K19" s="12">
        <f>South!P21</f>
        <v>0</v>
      </c>
      <c r="M19" s="138" t="s">
        <v>188</v>
      </c>
    </row>
    <row r="20" spans="1:13">
      <c r="A20" t="str">
        <f>South!C22</f>
        <v>Regency</v>
      </c>
      <c r="B20" s="138" t="s">
        <v>151</v>
      </c>
      <c r="C20" s="138" t="s">
        <v>152</v>
      </c>
      <c r="F20" s="12">
        <f>South!Q22</f>
        <v>0</v>
      </c>
      <c r="G20" s="12">
        <f>South!R22</f>
        <v>3</v>
      </c>
      <c r="H20" s="12">
        <f>South!S22</f>
        <v>0</v>
      </c>
      <c r="I20" s="12">
        <f>South!N22</f>
        <v>1</v>
      </c>
      <c r="J20" s="12">
        <f>South!O22</f>
        <v>5</v>
      </c>
      <c r="K20" s="12">
        <f>South!P22</f>
        <v>0</v>
      </c>
      <c r="L20" s="138" t="s">
        <v>283</v>
      </c>
    </row>
    <row r="21" spans="1:13">
      <c r="A21" s="150" t="str">
        <f>South!C23</f>
        <v>Wellsley</v>
      </c>
      <c r="B21" s="138" t="s">
        <v>149</v>
      </c>
      <c r="C21" s="138" t="s">
        <v>148</v>
      </c>
      <c r="F21" s="12">
        <f>South!Q23</f>
        <v>2</v>
      </c>
      <c r="G21" s="12">
        <f>South!R23</f>
        <v>1</v>
      </c>
      <c r="H21" s="12">
        <f>South!S23</f>
        <v>0</v>
      </c>
      <c r="I21" s="12">
        <f>South!N23</f>
        <v>5</v>
      </c>
      <c r="J21" s="12">
        <f>South!O23</f>
        <v>1</v>
      </c>
      <c r="K21" s="12">
        <f>South!P23</f>
        <v>0</v>
      </c>
      <c r="L21" s="138" t="s">
        <v>284</v>
      </c>
    </row>
    <row r="22" spans="1:13">
      <c r="A22" t="str">
        <f>South!C24</f>
        <v>Amberly</v>
      </c>
      <c r="B22" s="138" t="s">
        <v>143</v>
      </c>
      <c r="C22" s="138" t="s">
        <v>148</v>
      </c>
      <c r="F22" s="12">
        <f>South!Q24</f>
        <v>3</v>
      </c>
      <c r="G22" s="12">
        <f>South!R24</f>
        <v>0</v>
      </c>
      <c r="H22" s="12">
        <f>South!S24</f>
        <v>0</v>
      </c>
      <c r="I22" s="12">
        <f>South!N24</f>
        <v>5</v>
      </c>
      <c r="J22" s="12">
        <f>South!O24</f>
        <v>1</v>
      </c>
      <c r="K22" s="12">
        <f>South!P24</f>
        <v>0</v>
      </c>
      <c r="L22" s="138" t="s">
        <v>228</v>
      </c>
    </row>
    <row r="23" spans="1:13">
      <c r="A23" t="str">
        <f>South!C25</f>
        <v>Highcroft</v>
      </c>
      <c r="B23" s="138" t="s">
        <v>149</v>
      </c>
      <c r="C23" s="138" t="s">
        <v>147</v>
      </c>
      <c r="F23" s="12">
        <f>South!Q25</f>
        <v>2</v>
      </c>
      <c r="G23" s="12">
        <f>South!R25</f>
        <v>1</v>
      </c>
      <c r="H23" s="12">
        <f>South!S25</f>
        <v>0</v>
      </c>
      <c r="I23" s="12">
        <f>South!N25</f>
        <v>2</v>
      </c>
      <c r="J23" s="12">
        <f>South!O25</f>
        <v>4</v>
      </c>
      <c r="K23" s="12">
        <f>South!P25</f>
        <v>0</v>
      </c>
      <c r="M23" s="138" t="s">
        <v>280</v>
      </c>
    </row>
    <row r="24" spans="1:13">
      <c r="A24" t="str">
        <f>South!C26</f>
        <v>Weatherstone</v>
      </c>
      <c r="B24" s="138" t="s">
        <v>145</v>
      </c>
      <c r="C24" s="138" t="s">
        <v>152</v>
      </c>
      <c r="F24" s="12">
        <f>South!Q26</f>
        <v>1</v>
      </c>
      <c r="G24" s="12">
        <f>South!R26</f>
        <v>2</v>
      </c>
      <c r="H24" s="12">
        <f>South!S26</f>
        <v>0</v>
      </c>
      <c r="I24" s="12">
        <f>South!N26</f>
        <v>1</v>
      </c>
      <c r="J24" s="12">
        <f>South!O26</f>
        <v>5</v>
      </c>
      <c r="K24" s="12">
        <f>South!P26</f>
        <v>0</v>
      </c>
    </row>
    <row r="25" spans="1:13">
      <c r="A25" s="150" t="str">
        <f>South!C27</f>
        <v>Weldon Ridge</v>
      </c>
      <c r="B25" s="138" t="s">
        <v>151</v>
      </c>
      <c r="C25" s="138" t="s">
        <v>147</v>
      </c>
      <c r="F25" s="12">
        <f>South!Q27</f>
        <v>0</v>
      </c>
      <c r="G25" s="12">
        <f>South!R27</f>
        <v>3</v>
      </c>
      <c r="H25" s="12">
        <f>South!S27</f>
        <v>0</v>
      </c>
      <c r="I25" s="12">
        <f>South!N27</f>
        <v>2</v>
      </c>
      <c r="J25" s="12">
        <f>South!O27</f>
        <v>4</v>
      </c>
      <c r="K25" s="12">
        <f>South!P27</f>
        <v>0</v>
      </c>
    </row>
    <row r="26" spans="1:13">
      <c r="A26" t="str">
        <f>South!C28</f>
        <v>Oxxford Hunt</v>
      </c>
      <c r="B26" s="138" t="s">
        <v>143</v>
      </c>
      <c r="C26" s="138" t="s">
        <v>148</v>
      </c>
      <c r="F26" s="12">
        <f>South!Q28</f>
        <v>3</v>
      </c>
      <c r="G26" s="12">
        <f>South!R28</f>
        <v>0</v>
      </c>
      <c r="H26" s="12">
        <f>South!S28</f>
        <v>0</v>
      </c>
      <c r="I26" s="12">
        <f>South!N28</f>
        <v>5</v>
      </c>
      <c r="J26" s="12">
        <f>South!O28</f>
        <v>1</v>
      </c>
      <c r="K26" s="12">
        <f>South!P28</f>
        <v>0</v>
      </c>
      <c r="L26" s="138" t="s">
        <v>229</v>
      </c>
    </row>
    <row r="27" spans="1:13">
      <c r="A27" t="str">
        <f>South!C29</f>
        <v>Haddon Hall</v>
      </c>
      <c r="B27" s="138" t="s">
        <v>145</v>
      </c>
      <c r="C27" s="138" t="s">
        <v>147</v>
      </c>
      <c r="F27" s="12">
        <f>South!Q29</f>
        <v>1</v>
      </c>
      <c r="G27" s="12">
        <f>South!R29</f>
        <v>2</v>
      </c>
      <c r="H27" s="12">
        <f>South!S29</f>
        <v>0</v>
      </c>
      <c r="I27" s="12">
        <f>South!N29</f>
        <v>2</v>
      </c>
      <c r="J27" s="12">
        <f>South!O29</f>
        <v>4</v>
      </c>
      <c r="K27" s="12">
        <f>South!P29</f>
        <v>0</v>
      </c>
      <c r="L27" s="138" t="s">
        <v>154</v>
      </c>
    </row>
    <row r="28" spans="1:13">
      <c r="A28" t="str">
        <f>South!C30</f>
        <v>Scotts Mill</v>
      </c>
      <c r="B28" s="138" t="s">
        <v>145</v>
      </c>
      <c r="C28" s="138" t="s">
        <v>147</v>
      </c>
      <c r="F28" s="12">
        <f>South!Q30</f>
        <v>1</v>
      </c>
      <c r="G28" s="12">
        <f>South!R30</f>
        <v>2</v>
      </c>
      <c r="H28" s="12">
        <f>South!S30</f>
        <v>0</v>
      </c>
      <c r="I28" s="12">
        <f>South!N30</f>
        <v>2</v>
      </c>
      <c r="J28" s="12">
        <f>South!O30</f>
        <v>4</v>
      </c>
      <c r="K28" s="12">
        <f>South!P30</f>
        <v>0</v>
      </c>
      <c r="L28" s="138" t="s">
        <v>228</v>
      </c>
    </row>
    <row r="29" spans="1:13">
      <c r="A29" s="150" t="str">
        <f>South!C31</f>
        <v>Park at West Lake</v>
      </c>
      <c r="B29" s="138" t="s">
        <v>145</v>
      </c>
      <c r="C29" s="138" t="s">
        <v>152</v>
      </c>
      <c r="F29" s="12">
        <f>South!Q31</f>
        <v>1</v>
      </c>
      <c r="G29" s="12">
        <f>South!R31</f>
        <v>2</v>
      </c>
      <c r="H29" s="12">
        <f>South!S31</f>
        <v>0</v>
      </c>
      <c r="I29" s="12">
        <f>South!N31</f>
        <v>1</v>
      </c>
      <c r="J29" s="12">
        <f>South!O31</f>
        <v>5</v>
      </c>
      <c r="K29" s="12">
        <f>South!P31</f>
        <v>0</v>
      </c>
    </row>
    <row r="30" spans="1:13">
      <c r="A30" t="str">
        <f>South!C32</f>
        <v>Life Time Fitness Cary</v>
      </c>
      <c r="B30" s="138" t="s">
        <v>143</v>
      </c>
      <c r="C30" s="138" t="s">
        <v>144</v>
      </c>
      <c r="F30" s="12">
        <f>South!Q32</f>
        <v>3</v>
      </c>
      <c r="G30" s="12">
        <f>South!R32</f>
        <v>0</v>
      </c>
      <c r="H30" s="12">
        <f>South!S32</f>
        <v>0</v>
      </c>
      <c r="I30" s="12">
        <f>South!N32</f>
        <v>6</v>
      </c>
      <c r="J30" s="12">
        <f>South!O32</f>
        <v>0</v>
      </c>
      <c r="K30" s="12">
        <f>South!P32</f>
        <v>0</v>
      </c>
    </row>
    <row r="31" spans="1:13">
      <c r="A31" t="str">
        <f>South!C33</f>
        <v>Holly Glen</v>
      </c>
      <c r="B31" s="138" t="s">
        <v>149</v>
      </c>
      <c r="C31" s="138" t="s">
        <v>150</v>
      </c>
      <c r="F31" s="12">
        <f>South!Q33</f>
        <v>2</v>
      </c>
      <c r="G31" s="12">
        <f>South!R33</f>
        <v>1</v>
      </c>
      <c r="H31" s="12">
        <f>South!S33</f>
        <v>0</v>
      </c>
      <c r="I31" s="12">
        <f>South!N33</f>
        <v>4</v>
      </c>
      <c r="J31" s="12">
        <f>South!O33</f>
        <v>2</v>
      </c>
      <c r="K31" s="12">
        <f>South!P33</f>
        <v>0</v>
      </c>
      <c r="L31" s="138"/>
    </row>
    <row r="32" spans="1:13">
      <c r="A32" t="str">
        <f>South!C34</f>
        <v>Bella Casa</v>
      </c>
      <c r="B32" s="138" t="s">
        <v>145</v>
      </c>
      <c r="C32" s="138" t="s">
        <v>150</v>
      </c>
      <c r="F32" s="12">
        <f>South!Q34</f>
        <v>1</v>
      </c>
      <c r="G32" s="12">
        <f>South!R34</f>
        <v>2</v>
      </c>
      <c r="H32" s="12">
        <f>South!S34</f>
        <v>0</v>
      </c>
      <c r="I32" s="12">
        <f>South!N34</f>
        <v>4</v>
      </c>
      <c r="J32" s="12">
        <f>South!O34</f>
        <v>2</v>
      </c>
      <c r="K32" s="12">
        <f>South!P34</f>
        <v>0</v>
      </c>
      <c r="L32" s="138" t="s">
        <v>285</v>
      </c>
    </row>
    <row r="33" spans="1:12">
      <c r="A33" s="150" t="str">
        <f>South!C35</f>
        <v>The Reserve</v>
      </c>
      <c r="B33" s="138" t="s">
        <v>151</v>
      </c>
      <c r="C33" s="138" t="s">
        <v>155</v>
      </c>
      <c r="F33" s="12">
        <f>South!Q35</f>
        <v>0</v>
      </c>
      <c r="G33" s="12">
        <f>South!R35</f>
        <v>3</v>
      </c>
      <c r="H33" s="12">
        <f>South!S35</f>
        <v>0</v>
      </c>
      <c r="I33" s="12">
        <f>South!N35</f>
        <v>0</v>
      </c>
      <c r="J33" s="12">
        <f>South!O35</f>
        <v>6</v>
      </c>
      <c r="K33" s="12">
        <f>South!P35</f>
        <v>0</v>
      </c>
      <c r="L33" s="138" t="s">
        <v>286</v>
      </c>
    </row>
    <row r="34" spans="1:12">
      <c r="A34" t="str">
        <f>South!C36</f>
        <v>TCC</v>
      </c>
      <c r="B34" s="138" t="s">
        <v>145</v>
      </c>
      <c r="C34" s="138" t="s">
        <v>146</v>
      </c>
      <c r="F34" s="12">
        <f>South!Q36</f>
        <v>1</v>
      </c>
      <c r="G34" s="12">
        <f>South!R36</f>
        <v>2</v>
      </c>
      <c r="H34" s="12">
        <f>South!S36</f>
        <v>0</v>
      </c>
      <c r="I34" s="12">
        <f>South!N36</f>
        <v>3</v>
      </c>
      <c r="J34" s="12">
        <f>South!O36</f>
        <v>3</v>
      </c>
      <c r="K34" s="12">
        <f>South!P36</f>
        <v>0</v>
      </c>
    </row>
    <row r="35" spans="1:12">
      <c r="A35" t="str">
        <f>South!C37</f>
        <v>Kildaire Farms</v>
      </c>
      <c r="B35" s="138" t="s">
        <v>145</v>
      </c>
      <c r="C35" s="138" t="s">
        <v>147</v>
      </c>
      <c r="F35" s="12">
        <f>South!Q37</f>
        <v>1</v>
      </c>
      <c r="G35" s="12">
        <f>South!R37</f>
        <v>2</v>
      </c>
      <c r="H35" s="12">
        <f>South!S37</f>
        <v>0</v>
      </c>
      <c r="I35" s="12">
        <f>South!N37</f>
        <v>2</v>
      </c>
      <c r="J35" s="12">
        <f>South!O37</f>
        <v>4</v>
      </c>
      <c r="K35" s="12">
        <f>South!P37</f>
        <v>0</v>
      </c>
    </row>
    <row r="36" spans="1:12">
      <c r="A36" t="str">
        <f>South!C38</f>
        <v>Carpenter Village</v>
      </c>
      <c r="B36" s="138" t="s">
        <v>145</v>
      </c>
      <c r="C36" s="138" t="s">
        <v>147</v>
      </c>
      <c r="F36" s="12">
        <f>South!Q38</f>
        <v>1</v>
      </c>
      <c r="G36" s="12">
        <f>South!R38</f>
        <v>2</v>
      </c>
      <c r="H36" s="12">
        <f>South!S38</f>
        <v>0</v>
      </c>
      <c r="I36" s="12">
        <f>South!N38</f>
        <v>2</v>
      </c>
      <c r="J36" s="12">
        <f>South!O38</f>
        <v>4</v>
      </c>
      <c r="K36" s="12">
        <f>South!P38</f>
        <v>0</v>
      </c>
      <c r="L36" s="138" t="s">
        <v>287</v>
      </c>
    </row>
    <row r="37" spans="1:12">
      <c r="A37" s="150" t="str">
        <f>South!C39</f>
        <v>Bentwinds</v>
      </c>
      <c r="B37" s="138" t="s">
        <v>143</v>
      </c>
      <c r="C37" s="138" t="s">
        <v>147</v>
      </c>
      <c r="F37" s="12">
        <f>South!Q39</f>
        <v>3</v>
      </c>
      <c r="G37" s="12">
        <f>South!R39</f>
        <v>0</v>
      </c>
      <c r="H37" s="12">
        <f>South!S39</f>
        <v>0</v>
      </c>
      <c r="I37" s="12">
        <f>South!N39</f>
        <v>5</v>
      </c>
      <c r="J37" s="12">
        <f>South!O39</f>
        <v>1</v>
      </c>
      <c r="K37" s="12">
        <f>South!P39</f>
        <v>0</v>
      </c>
    </row>
    <row r="38" spans="1:12">
      <c r="A38" t="str">
        <f>South!C40</f>
        <v>Kitts Creek</v>
      </c>
      <c r="B38" s="138" t="s">
        <v>143</v>
      </c>
      <c r="C38" s="138" t="s">
        <v>144</v>
      </c>
      <c r="F38" s="12">
        <f>South!Q40</f>
        <v>3</v>
      </c>
      <c r="G38" s="12">
        <f>South!R40</f>
        <v>0</v>
      </c>
      <c r="H38" s="12">
        <f>South!S40</f>
        <v>0</v>
      </c>
      <c r="I38" s="12">
        <f>South!N40</f>
        <v>6</v>
      </c>
      <c r="J38" s="12">
        <f>South!O40</f>
        <v>0</v>
      </c>
      <c r="K38" s="12">
        <f>South!P40</f>
        <v>0</v>
      </c>
    </row>
    <row r="39" spans="1:12">
      <c r="A39" t="str">
        <f>South!C41</f>
        <v>Park Village</v>
      </c>
      <c r="B39" s="138" t="s">
        <v>149</v>
      </c>
      <c r="C39" s="138" t="s">
        <v>150</v>
      </c>
      <c r="F39" s="12">
        <f>South!Q41</f>
        <v>2</v>
      </c>
      <c r="G39" s="12">
        <f>South!R41</f>
        <v>1</v>
      </c>
      <c r="H39" s="12">
        <f>South!S41</f>
        <v>0</v>
      </c>
      <c r="I39" s="12">
        <f>South!N41</f>
        <v>4</v>
      </c>
      <c r="J39" s="12">
        <f>South!O41</f>
        <v>2</v>
      </c>
      <c r="K39" s="12">
        <f>South!P41</f>
        <v>0</v>
      </c>
    </row>
    <row r="40" spans="1:12">
      <c r="A40" t="str">
        <f>South!C42</f>
        <v>Brighton Forest</v>
      </c>
      <c r="B40" s="138" t="s">
        <v>151</v>
      </c>
      <c r="C40" s="138" t="s">
        <v>152</v>
      </c>
      <c r="F40" s="12">
        <f>South!Q42</f>
        <v>0</v>
      </c>
      <c r="G40" s="12">
        <f>South!R42</f>
        <v>3</v>
      </c>
      <c r="H40" s="12">
        <f>South!S42</f>
        <v>0</v>
      </c>
      <c r="I40" s="12">
        <f>South!N42</f>
        <v>1</v>
      </c>
      <c r="J40" s="12">
        <f>South!O42</f>
        <v>5</v>
      </c>
      <c r="K40" s="12">
        <f>South!P42</f>
        <v>0</v>
      </c>
    </row>
    <row r="41" spans="1:12">
      <c r="A41" s="150" t="str">
        <f>South!C43</f>
        <v>Eagle Ridge</v>
      </c>
      <c r="B41" s="138" t="s">
        <v>145</v>
      </c>
      <c r="C41" s="138" t="s">
        <v>150</v>
      </c>
      <c r="F41" s="12">
        <f>South!Q43</f>
        <v>1</v>
      </c>
      <c r="G41" s="12">
        <f>South!R43</f>
        <v>2</v>
      </c>
      <c r="H41" s="12">
        <f>South!S43</f>
        <v>0</v>
      </c>
      <c r="I41" s="12">
        <f>South!N43</f>
        <v>4</v>
      </c>
      <c r="J41" s="12">
        <f>South!O43</f>
        <v>2</v>
      </c>
      <c r="K41" s="12">
        <f>South!P43</f>
        <v>0</v>
      </c>
    </row>
    <row r="42" spans="1:12">
      <c r="A42" t="str">
        <f>South!C44</f>
        <v>Glenridge</v>
      </c>
      <c r="B42" s="138" t="s">
        <v>143</v>
      </c>
      <c r="C42" s="138" t="s">
        <v>150</v>
      </c>
      <c r="F42" s="12">
        <f>South!Q44</f>
        <v>3</v>
      </c>
      <c r="G42" s="12">
        <f>South!R44</f>
        <v>0</v>
      </c>
      <c r="H42" s="12">
        <f>South!S44</f>
        <v>0</v>
      </c>
      <c r="I42" s="12">
        <f>South!N44</f>
        <v>4</v>
      </c>
      <c r="J42" s="12">
        <f>South!O44</f>
        <v>2</v>
      </c>
      <c r="K42" s="12">
        <f>South!P44</f>
        <v>0</v>
      </c>
    </row>
    <row r="43" spans="1:12">
      <c r="A43" t="str">
        <f>South!C45</f>
        <v>Harmony</v>
      </c>
      <c r="B43" s="138" t="s">
        <v>151</v>
      </c>
      <c r="C43" s="138" t="s">
        <v>155</v>
      </c>
      <c r="F43" s="12">
        <f>South!Q45</f>
        <v>0</v>
      </c>
      <c r="G43" s="12">
        <f>South!R45</f>
        <v>3</v>
      </c>
      <c r="H43" s="12">
        <f>South!S45</f>
        <v>0</v>
      </c>
      <c r="I43" s="12">
        <f>South!N45</f>
        <v>0</v>
      </c>
      <c r="J43" s="12">
        <f>South!O45</f>
        <v>6</v>
      </c>
      <c r="K43" s="12">
        <f>South!P45</f>
        <v>0</v>
      </c>
    </row>
    <row r="44" spans="1:12">
      <c r="A44" t="str">
        <f>South!C46</f>
        <v>Garner</v>
      </c>
      <c r="B44" s="138" t="s">
        <v>145</v>
      </c>
      <c r="C44" s="138" t="s">
        <v>147</v>
      </c>
      <c r="F44" s="12">
        <f>South!Q46</f>
        <v>1</v>
      </c>
      <c r="G44" s="12">
        <f>South!R46</f>
        <v>2</v>
      </c>
      <c r="H44" s="12">
        <f>South!S46</f>
        <v>0</v>
      </c>
      <c r="I44" s="12">
        <f>South!N46</f>
        <v>2</v>
      </c>
      <c r="J44" s="12">
        <f>South!O46</f>
        <v>4</v>
      </c>
      <c r="K44" s="12">
        <f>South!P46</f>
        <v>0</v>
      </c>
    </row>
    <row r="45" spans="1:12">
      <c r="A45" s="150" t="str">
        <f>South!C47</f>
        <v>Crooked Creek</v>
      </c>
      <c r="B45" s="138" t="s">
        <v>149</v>
      </c>
      <c r="C45" s="138" t="s">
        <v>146</v>
      </c>
      <c r="F45" s="12">
        <f>South!Q47</f>
        <v>2</v>
      </c>
      <c r="G45" s="12">
        <f>South!R47</f>
        <v>1</v>
      </c>
      <c r="H45" s="12">
        <f>South!S47</f>
        <v>0</v>
      </c>
      <c r="I45" s="12">
        <f>South!N47</f>
        <v>2</v>
      </c>
      <c r="J45" s="12">
        <f>South!O47</f>
        <v>3</v>
      </c>
      <c r="K45" s="12">
        <f>South!P47</f>
        <v>0</v>
      </c>
    </row>
    <row r="46" spans="1:12">
      <c r="A46" t="str">
        <f>South!C48</f>
        <v>Charleston Village</v>
      </c>
      <c r="B46" s="138" t="s">
        <v>154</v>
      </c>
      <c r="C46" s="138" t="s">
        <v>148</v>
      </c>
      <c r="F46" s="12">
        <f>South!Q48</f>
        <v>1</v>
      </c>
      <c r="G46" s="12">
        <f>South!R48</f>
        <v>1</v>
      </c>
      <c r="H46" s="12">
        <f>South!S48</f>
        <v>0</v>
      </c>
      <c r="I46" s="12">
        <f>South!N48</f>
        <v>4</v>
      </c>
      <c r="J46" s="12">
        <f>South!O48</f>
        <v>1</v>
      </c>
      <c r="K46" s="12">
        <f>South!P48</f>
        <v>0</v>
      </c>
    </row>
    <row r="47" spans="1:12">
      <c r="A47" t="str">
        <f>South!C49</f>
        <v>Arbor Creek</v>
      </c>
      <c r="B47" s="138" t="s">
        <v>229</v>
      </c>
      <c r="C47" s="138" t="s">
        <v>148</v>
      </c>
      <c r="F47" s="12">
        <f>South!Q49</f>
        <v>2</v>
      </c>
      <c r="G47" s="12">
        <f>South!R49</f>
        <v>0</v>
      </c>
      <c r="H47" s="12">
        <f>South!S49</f>
        <v>0</v>
      </c>
      <c r="I47" s="12">
        <f>South!N49</f>
        <v>4</v>
      </c>
      <c r="J47" s="12">
        <f>South!O49</f>
        <v>1</v>
      </c>
      <c r="K47" s="12">
        <f>South!P49</f>
        <v>0</v>
      </c>
    </row>
    <row r="48" spans="1:12">
      <c r="A48" t="str">
        <f>South!C50</f>
        <v>Devereaux</v>
      </c>
      <c r="B48" s="138" t="s">
        <v>228</v>
      </c>
      <c r="C48" s="138" t="s">
        <v>150</v>
      </c>
      <c r="F48" s="12">
        <f>South!Q50</f>
        <v>0</v>
      </c>
      <c r="G48" s="12">
        <f>South!R50</f>
        <v>2</v>
      </c>
      <c r="H48" s="12">
        <f>South!S50</f>
        <v>0</v>
      </c>
      <c r="I48" s="12">
        <f>South!N50</f>
        <v>4</v>
      </c>
      <c r="J48" s="12">
        <f>South!O50</f>
        <v>2</v>
      </c>
      <c r="K48" s="12">
        <f>South!P50</f>
        <v>0</v>
      </c>
    </row>
    <row r="49" spans="1:11">
      <c r="A49" s="150" t="str">
        <f>South!C51</f>
        <v>Wellington Park</v>
      </c>
      <c r="B49" s="138" t="s">
        <v>285</v>
      </c>
      <c r="C49" s="138" t="s">
        <v>146</v>
      </c>
      <c r="F49" s="12">
        <f>South!Q51</f>
        <v>1</v>
      </c>
      <c r="G49" s="12">
        <f>South!R51</f>
        <v>0</v>
      </c>
      <c r="H49" s="12">
        <f>South!S51</f>
        <v>0</v>
      </c>
      <c r="I49" s="12">
        <f>South!N51</f>
        <v>3</v>
      </c>
      <c r="J49" s="12">
        <f>South!O51</f>
        <v>3</v>
      </c>
      <c r="K49" s="12">
        <f>South!P51</f>
        <v>0</v>
      </c>
    </row>
    <row r="50" spans="1:11">
      <c r="A50" t="str">
        <f>South!C52</f>
        <v>Renaissance Park</v>
      </c>
      <c r="B50" s="138" t="s">
        <v>286</v>
      </c>
      <c r="C50" s="138" t="s">
        <v>280</v>
      </c>
      <c r="F50" s="12">
        <f>South!Q52</f>
        <v>0</v>
      </c>
      <c r="G50" s="12">
        <f>South!R52</f>
        <v>1</v>
      </c>
      <c r="H50" s="12">
        <f>South!S52</f>
        <v>0</v>
      </c>
      <c r="I50" s="12">
        <f>South!N52</f>
        <v>1</v>
      </c>
      <c r="J50" s="12">
        <f>South!O52</f>
        <v>4</v>
      </c>
      <c r="K50" s="12">
        <f>South!P52</f>
        <v>0</v>
      </c>
    </row>
    <row r="51" spans="1:11">
      <c r="A51" t="str">
        <f>South!C53</f>
        <v>Breckenridge</v>
      </c>
      <c r="B51" s="138" t="s">
        <v>287</v>
      </c>
      <c r="C51" s="138" t="s">
        <v>287</v>
      </c>
      <c r="F51" s="12">
        <f>South!Q53</f>
        <v>0</v>
      </c>
      <c r="G51" s="12">
        <f>South!R53</f>
        <v>0</v>
      </c>
      <c r="H51" s="12">
        <f>South!S53</f>
        <v>0</v>
      </c>
      <c r="I51" s="12">
        <f>South!N53</f>
        <v>0</v>
      </c>
      <c r="J51" s="12">
        <f>South!O53</f>
        <v>3</v>
      </c>
      <c r="K51" s="12">
        <f>South!P53</f>
        <v>0</v>
      </c>
    </row>
    <row r="52" spans="1:11">
      <c r="A52" t="str">
        <f>South!C54</f>
        <v>Sweetwater</v>
      </c>
      <c r="B52" s="138" t="s">
        <v>287</v>
      </c>
      <c r="C52" s="138" t="s">
        <v>287</v>
      </c>
      <c r="F52" s="12">
        <f>South!Q54</f>
        <v>0</v>
      </c>
      <c r="G52" s="12">
        <f>South!R54</f>
        <v>0</v>
      </c>
      <c r="H52" s="12">
        <f>South!S54</f>
        <v>0</v>
      </c>
      <c r="I52" s="12">
        <f>South!N54</f>
        <v>0</v>
      </c>
      <c r="J52" s="12">
        <f>South!O54</f>
        <v>2</v>
      </c>
      <c r="K52" s="12">
        <f>South!P54</f>
        <v>0</v>
      </c>
    </row>
  </sheetData>
  <customSheetViews>
    <customSheetView guid="{DE7C2479-4243-442D-8A3C-4D0E1EDB2109}">
      <selection activeCell="A12" sqref="A12"/>
      <pageMargins left="0.7" right="0.7" top="0.75" bottom="0.75" header="0.3" footer="0.3"/>
    </customSheetView>
    <customSheetView guid="{DEF8AD2E-C46F-4190-A88E-C6B69C1F99BB}">
      <selection activeCell="A12" sqref="A12"/>
      <pageMargins left="0.7" right="0.7" top="0.75" bottom="0.75" header="0.3" footer="0.3"/>
    </customSheetView>
    <customSheetView guid="{BDC744E3-8A98-4FFB-AA7D-7119F2F68EB6}">
      <selection activeCell="A12" sqref="A12"/>
      <pageMargins left="0.7" right="0.7" top="0.75" bottom="0.75" header="0.3" footer="0.3"/>
    </customSheetView>
    <customSheetView guid="{E7597357-F01A-4EC3-9284-2CC61D1CC724}">
      <selection activeCell="A12" sqref="A12"/>
      <pageMargins left="0.7" right="0.7" top="0.75" bottom="0.75" header="0.3" footer="0.3"/>
    </customSheetView>
  </customSheetViews>
  <mergeCells count="2">
    <mergeCell ref="F1:H1"/>
    <mergeCell ref="I1:K1"/>
  </mergeCells>
  <conditionalFormatting sqref="F2:K51">
    <cfRule type="expression" dxfId="2" priority="6">
      <formula>SUM($T2:$V2)=3</formula>
    </cfRule>
  </conditionalFormatting>
  <conditionalFormatting sqref="F52:K52">
    <cfRule type="expression" dxfId="1" priority="1">
      <formula>SUM($T52:$V52)=3</formula>
    </cfRule>
  </conditionalFormatting>
  <pageMargins left="0.7" right="0.25" top="0.18" bottom="0.17" header="0.17" footer="0.19"/>
  <pageSetup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autoPageBreaks="0" fitToPage="1"/>
  </sheetPr>
  <dimension ref="A1:O39"/>
  <sheetViews>
    <sheetView workbookViewId="0">
      <selection activeCell="C41" sqref="C41"/>
    </sheetView>
  </sheetViews>
  <sheetFormatPr defaultRowHeight="15"/>
  <cols>
    <col min="1" max="1" width="38.140625" customWidth="1"/>
    <col min="2" max="2" width="24.5703125" customWidth="1"/>
    <col min="3" max="3" width="28.140625" customWidth="1"/>
    <col min="7" max="7" width="17.85546875" customWidth="1"/>
    <col min="10" max="11" width="20.5703125" customWidth="1"/>
    <col min="12" max="13" width="18.140625" customWidth="1"/>
  </cols>
  <sheetData>
    <row r="1" spans="1:15" ht="16.5" thickBot="1">
      <c r="A1" s="151" t="s">
        <v>278</v>
      </c>
      <c r="B1" s="152" t="s">
        <v>281</v>
      </c>
      <c r="C1" s="152" t="s">
        <v>282</v>
      </c>
      <c r="F1" s="171" t="s">
        <v>231</v>
      </c>
      <c r="G1" s="172"/>
      <c r="H1" s="173"/>
      <c r="I1" s="171" t="s">
        <v>232</v>
      </c>
      <c r="J1" s="172"/>
      <c r="K1" s="173"/>
      <c r="N1" t="s">
        <v>176</v>
      </c>
      <c r="O1" t="s">
        <v>177</v>
      </c>
    </row>
    <row r="2" spans="1:15">
      <c r="A2" t="s">
        <v>4</v>
      </c>
      <c r="B2" s="138" t="s">
        <v>143</v>
      </c>
      <c r="C2" s="138" t="s">
        <v>144</v>
      </c>
      <c r="F2" s="12">
        <f>North!Q4</f>
        <v>3</v>
      </c>
      <c r="G2" s="12">
        <f>North!R4</f>
        <v>0</v>
      </c>
      <c r="H2" s="12">
        <f>North!S4</f>
        <v>0</v>
      </c>
      <c r="I2" s="12">
        <f>North!N4</f>
        <v>6</v>
      </c>
      <c r="J2" s="12">
        <f>North!O4</f>
        <v>0</v>
      </c>
      <c r="K2" s="12">
        <f>North!P4</f>
        <v>0</v>
      </c>
      <c r="L2" s="138" t="s">
        <v>143</v>
      </c>
      <c r="M2" s="138" t="s">
        <v>144</v>
      </c>
      <c r="N2" t="e">
        <f>LEN(#REF!)</f>
        <v>#REF!</v>
      </c>
      <c r="O2" t="e">
        <f>LEFT(#REF!,N2-1)</f>
        <v>#REF!</v>
      </c>
    </row>
    <row r="3" spans="1:15">
      <c r="A3" t="s">
        <v>8</v>
      </c>
      <c r="B3" s="138" t="s">
        <v>149</v>
      </c>
      <c r="C3" s="138" t="s">
        <v>150</v>
      </c>
      <c r="F3" s="12">
        <f>North!Q5</f>
        <v>2</v>
      </c>
      <c r="G3" s="12">
        <f>North!R5</f>
        <v>1</v>
      </c>
      <c r="H3" s="12">
        <f>North!S5</f>
        <v>0</v>
      </c>
      <c r="I3" s="12">
        <f>North!N5</f>
        <v>4</v>
      </c>
      <c r="J3" s="12">
        <f>North!O5</f>
        <v>2</v>
      </c>
      <c r="K3" s="12">
        <f>North!P5</f>
        <v>0</v>
      </c>
      <c r="L3" s="138" t="s">
        <v>149</v>
      </c>
      <c r="M3" s="138" t="s">
        <v>148</v>
      </c>
      <c r="N3" t="e">
        <f>LEN(#REF!)</f>
        <v>#REF!</v>
      </c>
      <c r="O3" t="e">
        <f>LEFT(#REF!,N3-1)</f>
        <v>#REF!</v>
      </c>
    </row>
    <row r="4" spans="1:15">
      <c r="A4" t="s">
        <v>6</v>
      </c>
      <c r="B4" s="138" t="s">
        <v>145</v>
      </c>
      <c r="C4" s="138" t="s">
        <v>147</v>
      </c>
      <c r="F4" s="12">
        <f>North!Q6</f>
        <v>1</v>
      </c>
      <c r="G4" s="12">
        <f>North!R6</f>
        <v>2</v>
      </c>
      <c r="H4" s="12">
        <f>North!S6</f>
        <v>0</v>
      </c>
      <c r="I4" s="12">
        <f>North!N6</f>
        <v>2</v>
      </c>
      <c r="J4" s="12">
        <f>North!O6</f>
        <v>4</v>
      </c>
      <c r="K4" s="12">
        <f>North!P6</f>
        <v>0</v>
      </c>
      <c r="L4" s="138" t="s">
        <v>153</v>
      </c>
      <c r="M4" s="138" t="s">
        <v>150</v>
      </c>
      <c r="N4" t="e">
        <f>LEN(#REF!)</f>
        <v>#REF!</v>
      </c>
      <c r="O4" t="e">
        <f>LEFT(#REF!,N4-1)</f>
        <v>#REF!</v>
      </c>
    </row>
    <row r="5" spans="1:15">
      <c r="A5" s="150" t="s">
        <v>9</v>
      </c>
      <c r="B5" s="138" t="s">
        <v>151</v>
      </c>
      <c r="C5" s="138" t="s">
        <v>155</v>
      </c>
      <c r="F5" s="12">
        <f>North!Q7</f>
        <v>0</v>
      </c>
      <c r="G5" s="12">
        <f>North!R7</f>
        <v>3</v>
      </c>
      <c r="H5" s="12">
        <f>North!S7</f>
        <v>0</v>
      </c>
      <c r="I5" s="12">
        <f>North!N7</f>
        <v>0</v>
      </c>
      <c r="J5" s="12">
        <f>North!O7</f>
        <v>6</v>
      </c>
      <c r="K5" s="12">
        <f>North!P7</f>
        <v>0</v>
      </c>
      <c r="L5" s="138" t="s">
        <v>145</v>
      </c>
      <c r="M5" s="138" t="s">
        <v>146</v>
      </c>
      <c r="N5" t="e">
        <f>LEN(#REF!)</f>
        <v>#REF!</v>
      </c>
      <c r="O5" t="e">
        <f>LEFT(#REF!,N5-1)</f>
        <v>#REF!</v>
      </c>
    </row>
    <row r="6" spans="1:15">
      <c r="A6" t="s">
        <v>63</v>
      </c>
      <c r="B6" s="138" t="s">
        <v>145</v>
      </c>
      <c r="C6" s="138" t="s">
        <v>146</v>
      </c>
      <c r="F6" s="12">
        <f>North!Q8</f>
        <v>1</v>
      </c>
      <c r="G6" s="12">
        <f>North!R8</f>
        <v>2</v>
      </c>
      <c r="H6" s="12">
        <f>North!S8</f>
        <v>0</v>
      </c>
      <c r="I6" s="12">
        <f>North!N8</f>
        <v>3</v>
      </c>
      <c r="J6" s="12">
        <f>North!O8</f>
        <v>3</v>
      </c>
      <c r="K6" s="12">
        <f>North!P8</f>
        <v>0</v>
      </c>
      <c r="L6" s="138" t="s">
        <v>154</v>
      </c>
      <c r="M6" s="138" t="s">
        <v>147</v>
      </c>
      <c r="N6" t="e">
        <f>LEN(#REF!)</f>
        <v>#REF!</v>
      </c>
      <c r="O6" t="e">
        <f>LEFT(#REF!,N6-1)</f>
        <v>#REF!</v>
      </c>
    </row>
    <row r="7" spans="1:15">
      <c r="A7" t="s">
        <v>180</v>
      </c>
      <c r="B7" s="138" t="s">
        <v>149</v>
      </c>
      <c r="C7" s="138" t="s">
        <v>150</v>
      </c>
      <c r="F7" s="12">
        <f>North!Q9</f>
        <v>2</v>
      </c>
      <c r="G7" s="12">
        <f>North!R9</f>
        <v>1</v>
      </c>
      <c r="H7" s="12">
        <f>North!S9</f>
        <v>0</v>
      </c>
      <c r="I7" s="12">
        <f>North!N9</f>
        <v>4</v>
      </c>
      <c r="J7" s="12">
        <f>North!O9</f>
        <v>2</v>
      </c>
      <c r="K7" s="12">
        <f>North!P9</f>
        <v>0</v>
      </c>
      <c r="L7" s="138" t="s">
        <v>151</v>
      </c>
      <c r="M7" s="138" t="s">
        <v>152</v>
      </c>
      <c r="N7" t="e">
        <f>LEN(#REF!)</f>
        <v>#REF!</v>
      </c>
      <c r="O7" t="e">
        <f>LEFT(#REF!,N7-1)</f>
        <v>#REF!</v>
      </c>
    </row>
    <row r="8" spans="1:15">
      <c r="A8" t="s">
        <v>54</v>
      </c>
      <c r="B8" s="138" t="s">
        <v>149</v>
      </c>
      <c r="C8" s="138" t="s">
        <v>148</v>
      </c>
      <c r="F8" s="12">
        <f>North!Q10</f>
        <v>2</v>
      </c>
      <c r="G8" s="12">
        <f>North!R10</f>
        <v>1</v>
      </c>
      <c r="H8" s="12">
        <f>North!S10</f>
        <v>0</v>
      </c>
      <c r="I8" s="12">
        <f>North!N10</f>
        <v>5</v>
      </c>
      <c r="J8" s="12">
        <f>North!O10</f>
        <v>1</v>
      </c>
      <c r="K8" s="12">
        <f>North!P10</f>
        <v>0</v>
      </c>
      <c r="L8" s="138" t="s">
        <v>192</v>
      </c>
      <c r="M8" s="138" t="s">
        <v>155</v>
      </c>
      <c r="N8" t="e">
        <f>LEN(#REF!)</f>
        <v>#REF!</v>
      </c>
      <c r="O8" t="e">
        <f>LEFT(#REF!,N8-1)</f>
        <v>#REF!</v>
      </c>
    </row>
    <row r="9" spans="1:15">
      <c r="A9" s="150" t="s">
        <v>56</v>
      </c>
      <c r="B9" s="138" t="s">
        <v>145</v>
      </c>
      <c r="C9" s="138" t="s">
        <v>150</v>
      </c>
      <c r="F9" s="12">
        <f>North!Q11</f>
        <v>1</v>
      </c>
      <c r="G9" s="12">
        <f>North!R11</f>
        <v>2</v>
      </c>
      <c r="H9" s="12">
        <f>North!S11</f>
        <v>0</v>
      </c>
      <c r="I9" s="12">
        <f>North!N11</f>
        <v>4</v>
      </c>
      <c r="J9" s="12">
        <f>North!O11</f>
        <v>2</v>
      </c>
      <c r="K9" s="12">
        <f>North!P11</f>
        <v>0</v>
      </c>
      <c r="N9" t="e">
        <f>LEN(#REF!)</f>
        <v>#REF!</v>
      </c>
      <c r="O9" t="e">
        <f>LEFT(#REF!,N9-1)</f>
        <v>#REF!</v>
      </c>
    </row>
    <row r="10" spans="1:15">
      <c r="A10" t="s">
        <v>55</v>
      </c>
      <c r="B10" s="138" t="s">
        <v>151</v>
      </c>
      <c r="C10" s="138" t="s">
        <v>155</v>
      </c>
      <c r="F10" s="12">
        <f>North!Q12</f>
        <v>0</v>
      </c>
      <c r="G10" s="12">
        <f>North!R12</f>
        <v>3</v>
      </c>
      <c r="H10" s="12">
        <f>North!S12</f>
        <v>0</v>
      </c>
      <c r="I10" s="12">
        <f>North!N12</f>
        <v>0</v>
      </c>
      <c r="J10" s="12">
        <f>North!O12</f>
        <v>6</v>
      </c>
      <c r="K10" s="12">
        <f>North!P12</f>
        <v>0</v>
      </c>
      <c r="N10" t="e">
        <f>LEN(#REF!)</f>
        <v>#REF!</v>
      </c>
      <c r="O10" t="e">
        <f>LEFT(#REF!,N10-1)</f>
        <v>#REF!</v>
      </c>
    </row>
    <row r="11" spans="1:15">
      <c r="A11" t="s">
        <v>84</v>
      </c>
      <c r="B11" s="138" t="s">
        <v>143</v>
      </c>
      <c r="C11" s="138" t="s">
        <v>150</v>
      </c>
      <c r="F11" s="12">
        <f>North!Q13</f>
        <v>3</v>
      </c>
      <c r="G11" s="12">
        <f>North!R13</f>
        <v>0</v>
      </c>
      <c r="H11" s="12">
        <f>North!S13</f>
        <v>0</v>
      </c>
      <c r="I11" s="12">
        <f>North!N13</f>
        <v>4</v>
      </c>
      <c r="J11" s="12">
        <f>North!O13</f>
        <v>2</v>
      </c>
      <c r="K11" s="12">
        <f>North!P13</f>
        <v>0</v>
      </c>
      <c r="N11" t="e">
        <f>LEN(#REF!)</f>
        <v>#REF!</v>
      </c>
      <c r="O11" t="e">
        <f>LEFT(#REF!,N11-1)</f>
        <v>#REF!</v>
      </c>
    </row>
    <row r="12" spans="1:15">
      <c r="A12" t="s">
        <v>48</v>
      </c>
      <c r="B12" s="138" t="s">
        <v>149</v>
      </c>
      <c r="C12" s="138" t="s">
        <v>150</v>
      </c>
      <c r="F12" s="12">
        <f>North!Q14</f>
        <v>2</v>
      </c>
      <c r="G12" s="12">
        <f>North!R14</f>
        <v>1</v>
      </c>
      <c r="H12" s="12">
        <f>North!S14</f>
        <v>0</v>
      </c>
      <c r="I12" s="12">
        <f>North!N14</f>
        <v>4</v>
      </c>
      <c r="J12" s="12">
        <f>North!O14</f>
        <v>2</v>
      </c>
      <c r="K12" s="12">
        <f>North!P14</f>
        <v>0</v>
      </c>
      <c r="M12" s="138" t="s">
        <v>187</v>
      </c>
      <c r="N12" t="e">
        <f>LEN(#REF!)</f>
        <v>#REF!</v>
      </c>
      <c r="O12" t="e">
        <f>LEFT(#REF!,N12-1)</f>
        <v>#REF!</v>
      </c>
    </row>
    <row r="13" spans="1:15">
      <c r="A13" s="150" t="s">
        <v>49</v>
      </c>
      <c r="B13" s="138" t="s">
        <v>145</v>
      </c>
      <c r="C13" s="138" t="s">
        <v>147</v>
      </c>
      <c r="F13" s="12">
        <f>North!Q15</f>
        <v>1</v>
      </c>
      <c r="G13" s="12">
        <f>North!R15</f>
        <v>2</v>
      </c>
      <c r="H13" s="12">
        <f>North!S15</f>
        <v>0</v>
      </c>
      <c r="I13" s="12">
        <f>North!N15</f>
        <v>2</v>
      </c>
      <c r="J13" s="12">
        <f>North!O15</f>
        <v>4</v>
      </c>
      <c r="K13" s="12">
        <f>North!P15</f>
        <v>0</v>
      </c>
      <c r="M13" s="138" t="s">
        <v>189</v>
      </c>
      <c r="N13" t="e">
        <f>LEN(#REF!)</f>
        <v>#REF!</v>
      </c>
      <c r="O13" t="e">
        <f>LEFT(#REF!,N13-1)</f>
        <v>#REF!</v>
      </c>
    </row>
    <row r="14" spans="1:15">
      <c r="A14" t="s">
        <v>5</v>
      </c>
      <c r="B14" s="138" t="s">
        <v>143</v>
      </c>
      <c r="C14" s="138" t="s">
        <v>150</v>
      </c>
      <c r="F14" s="12">
        <f>North!Q16</f>
        <v>3</v>
      </c>
      <c r="G14" s="12">
        <f>North!R16</f>
        <v>0</v>
      </c>
      <c r="H14" s="12">
        <f>North!S16</f>
        <v>0</v>
      </c>
      <c r="I14" s="12">
        <f>North!N16</f>
        <v>4</v>
      </c>
      <c r="J14" s="12">
        <f>North!O16</f>
        <v>2</v>
      </c>
      <c r="K14" s="12">
        <f>North!P16</f>
        <v>0</v>
      </c>
      <c r="M14" s="138" t="s">
        <v>191</v>
      </c>
      <c r="N14" t="e">
        <f>LEN(#REF!)</f>
        <v>#REF!</v>
      </c>
      <c r="O14" t="e">
        <f>LEFT(#REF!,N14-1)</f>
        <v>#REF!</v>
      </c>
    </row>
    <row r="15" spans="1:15">
      <c r="A15" t="s">
        <v>156</v>
      </c>
      <c r="B15" s="138" t="s">
        <v>145</v>
      </c>
      <c r="C15" s="138" t="s">
        <v>152</v>
      </c>
      <c r="F15" s="12">
        <f>North!Q17</f>
        <v>1</v>
      </c>
      <c r="G15" s="12">
        <f>North!R17</f>
        <v>2</v>
      </c>
      <c r="H15" s="12">
        <f>North!S17</f>
        <v>0</v>
      </c>
      <c r="I15" s="12">
        <f>North!N17</f>
        <v>1</v>
      </c>
      <c r="J15" s="12">
        <f>North!O17</f>
        <v>5</v>
      </c>
      <c r="K15" s="12">
        <f>North!P17</f>
        <v>0</v>
      </c>
      <c r="L15" s="138" t="s">
        <v>190</v>
      </c>
      <c r="N15" t="e">
        <f>LEN(#REF!)</f>
        <v>#REF!</v>
      </c>
      <c r="O15" t="e">
        <f>LEFT(#REF!,N15-1)</f>
        <v>#REF!</v>
      </c>
    </row>
    <row r="16" spans="1:15">
      <c r="A16" t="s">
        <v>50</v>
      </c>
      <c r="B16" s="138" t="s">
        <v>145</v>
      </c>
      <c r="C16" s="138" t="s">
        <v>150</v>
      </c>
      <c r="F16" s="12">
        <f>North!Q18</f>
        <v>1</v>
      </c>
      <c r="G16" s="12">
        <f>North!R18</f>
        <v>2</v>
      </c>
      <c r="H16" s="12">
        <f>North!S18</f>
        <v>0</v>
      </c>
      <c r="I16" s="12">
        <f>North!N18</f>
        <v>4</v>
      </c>
      <c r="J16" s="12">
        <f>North!O18</f>
        <v>2</v>
      </c>
      <c r="K16" s="12">
        <f>North!P18</f>
        <v>0</v>
      </c>
      <c r="M16" s="138" t="s">
        <v>186</v>
      </c>
      <c r="N16" t="e">
        <f>LEN(#REF!)</f>
        <v>#REF!</v>
      </c>
      <c r="O16" t="e">
        <f>LEFT(#REF!,N16-1)</f>
        <v>#REF!</v>
      </c>
    </row>
    <row r="17" spans="1:15">
      <c r="A17" s="150" t="s">
        <v>53</v>
      </c>
      <c r="B17" s="138" t="s">
        <v>145</v>
      </c>
      <c r="C17" s="138" t="s">
        <v>146</v>
      </c>
      <c r="F17" s="12">
        <f>North!Q19</f>
        <v>1</v>
      </c>
      <c r="G17" s="12">
        <f>North!R19</f>
        <v>2</v>
      </c>
      <c r="H17" s="12">
        <f>North!S19</f>
        <v>0</v>
      </c>
      <c r="I17" s="12">
        <f>North!N19</f>
        <v>3</v>
      </c>
      <c r="J17" s="12">
        <f>North!O19</f>
        <v>3</v>
      </c>
      <c r="K17" s="12">
        <f>North!P19</f>
        <v>0</v>
      </c>
      <c r="L17" s="138" t="s">
        <v>183</v>
      </c>
      <c r="M17" s="138" t="s">
        <v>188</v>
      </c>
      <c r="N17" t="e">
        <f>LEN(#REF!)</f>
        <v>#REF!</v>
      </c>
      <c r="O17" t="e">
        <f>LEFT(#REF!,N17-1)</f>
        <v>#REF!</v>
      </c>
    </row>
    <row r="18" spans="1:15">
      <c r="A18" t="s">
        <v>52</v>
      </c>
      <c r="B18" s="138" t="s">
        <v>149</v>
      </c>
      <c r="C18" s="138" t="s">
        <v>146</v>
      </c>
      <c r="F18" s="12">
        <f>North!Q20</f>
        <v>2</v>
      </c>
      <c r="G18" s="12">
        <f>North!R20</f>
        <v>1</v>
      </c>
      <c r="H18" s="12">
        <f>North!S20</f>
        <v>0</v>
      </c>
      <c r="I18" s="12">
        <f>North!N20</f>
        <v>3</v>
      </c>
      <c r="J18" s="12">
        <f>North!O20</f>
        <v>3</v>
      </c>
      <c r="K18" s="12">
        <f>North!P20</f>
        <v>0</v>
      </c>
      <c r="N18" t="e">
        <f>LEN(#REF!)</f>
        <v>#REF!</v>
      </c>
      <c r="O18" t="e">
        <f>LEFT(#REF!,N18-1)</f>
        <v>#REF!</v>
      </c>
    </row>
    <row r="19" spans="1:15">
      <c r="A19" t="s">
        <v>7</v>
      </c>
      <c r="B19" s="138" t="s">
        <v>143</v>
      </c>
      <c r="C19" s="138" t="s">
        <v>148</v>
      </c>
      <c r="F19" s="12">
        <f>North!Q21</f>
        <v>3</v>
      </c>
      <c r="G19" s="12">
        <f>North!R21</f>
        <v>0</v>
      </c>
      <c r="H19" s="12">
        <f>North!S21</f>
        <v>0</v>
      </c>
      <c r="I19" s="12">
        <f>North!N21</f>
        <v>5</v>
      </c>
      <c r="J19" s="12">
        <f>North!O21</f>
        <v>1</v>
      </c>
      <c r="K19" s="12">
        <f>North!P21</f>
        <v>0</v>
      </c>
      <c r="N19" t="e">
        <f>LEN(#REF!)</f>
        <v>#REF!</v>
      </c>
      <c r="O19" t="e">
        <f>LEFT(#REF!,N19-1)</f>
        <v>#REF!</v>
      </c>
    </row>
    <row r="20" spans="1:15">
      <c r="A20" t="s">
        <v>65</v>
      </c>
      <c r="B20" s="138" t="s">
        <v>151</v>
      </c>
      <c r="C20" s="138" t="s">
        <v>152</v>
      </c>
      <c r="F20" s="12">
        <f>North!Q22</f>
        <v>0</v>
      </c>
      <c r="G20" s="12">
        <f>North!R22</f>
        <v>3</v>
      </c>
      <c r="H20" s="12">
        <f>North!S22</f>
        <v>0</v>
      </c>
      <c r="I20" s="12">
        <f>North!N22</f>
        <v>1</v>
      </c>
      <c r="J20" s="12">
        <f>North!O22</f>
        <v>5</v>
      </c>
      <c r="K20" s="12">
        <f>North!P22</f>
        <v>0</v>
      </c>
      <c r="N20" t="e">
        <f>LEN(#REF!)</f>
        <v>#REF!</v>
      </c>
      <c r="O20" t="e">
        <f>LEFT(#REF!,N20-1)</f>
        <v>#REF!</v>
      </c>
    </row>
    <row r="21" spans="1:15">
      <c r="A21" s="150" t="s">
        <v>51</v>
      </c>
      <c r="B21" s="138" t="s">
        <v>145</v>
      </c>
      <c r="C21" s="138" t="s">
        <v>150</v>
      </c>
      <c r="F21" s="12">
        <f>North!Q23</f>
        <v>1</v>
      </c>
      <c r="G21" s="12">
        <f>North!R23</f>
        <v>2</v>
      </c>
      <c r="H21" s="12">
        <f>North!S23</f>
        <v>0</v>
      </c>
      <c r="I21" s="12">
        <f>North!N23</f>
        <v>4</v>
      </c>
      <c r="J21" s="12">
        <f>North!O23</f>
        <v>2</v>
      </c>
      <c r="K21" s="12">
        <f>North!P23</f>
        <v>0</v>
      </c>
      <c r="M21" s="138" t="s">
        <v>290</v>
      </c>
      <c r="N21" t="e">
        <f>LEN(#REF!)</f>
        <v>#REF!</v>
      </c>
      <c r="O21" t="e">
        <f>LEFT(#REF!,N21-1)</f>
        <v>#REF!</v>
      </c>
    </row>
    <row r="22" spans="1:15">
      <c r="A22" t="s">
        <v>58</v>
      </c>
      <c r="B22" s="138" t="s">
        <v>143</v>
      </c>
      <c r="C22" s="138" t="s">
        <v>150</v>
      </c>
      <c r="F22" s="12">
        <f>North!Q24</f>
        <v>3</v>
      </c>
      <c r="G22" s="12">
        <f>North!R24</f>
        <v>0</v>
      </c>
      <c r="H22" s="12">
        <f>North!S24</f>
        <v>0</v>
      </c>
      <c r="I22" s="12">
        <f>North!N24</f>
        <v>4</v>
      </c>
      <c r="J22" s="12">
        <f>North!O24</f>
        <v>2</v>
      </c>
      <c r="K22" s="12">
        <f>North!P24</f>
        <v>0</v>
      </c>
      <c r="M22" s="138" t="s">
        <v>293</v>
      </c>
      <c r="N22" t="e">
        <f>LEN(#REF!)</f>
        <v>#REF!</v>
      </c>
      <c r="O22" t="e">
        <f>LEFT(#REF!,N22-1)</f>
        <v>#REF!</v>
      </c>
    </row>
    <row r="23" spans="1:15">
      <c r="A23" t="s">
        <v>181</v>
      </c>
      <c r="B23" s="138" t="s">
        <v>151</v>
      </c>
      <c r="C23" s="138" t="s">
        <v>155</v>
      </c>
      <c r="F23" s="12">
        <f>North!Q25</f>
        <v>0</v>
      </c>
      <c r="G23" s="12">
        <f>North!R25</f>
        <v>3</v>
      </c>
      <c r="H23" s="12">
        <f>North!S25</f>
        <v>0</v>
      </c>
      <c r="I23" s="12">
        <f>North!N25</f>
        <v>0</v>
      </c>
      <c r="J23" s="12">
        <f>North!O25</f>
        <v>6</v>
      </c>
      <c r="K23" s="12">
        <f>North!P25</f>
        <v>0</v>
      </c>
      <c r="M23" s="138" t="s">
        <v>294</v>
      </c>
      <c r="N23" t="e">
        <f>LEN(#REF!)</f>
        <v>#REF!</v>
      </c>
      <c r="O23" t="e">
        <f>LEFT(#REF!,N23-1)</f>
        <v>#REF!</v>
      </c>
    </row>
    <row r="24" spans="1:15">
      <c r="A24" t="s">
        <v>1</v>
      </c>
      <c r="B24" s="138" t="s">
        <v>149</v>
      </c>
      <c r="C24" s="138" t="s">
        <v>289</v>
      </c>
      <c r="F24" s="12">
        <f>North!Q26</f>
        <v>2</v>
      </c>
      <c r="G24" s="12">
        <f>North!R26</f>
        <v>1</v>
      </c>
      <c r="H24" s="12">
        <f>North!S26</f>
        <v>0</v>
      </c>
      <c r="I24" s="12">
        <f>North!N26</f>
        <v>2</v>
      </c>
      <c r="J24" s="12">
        <f>North!O26</f>
        <v>3</v>
      </c>
      <c r="K24" s="12">
        <f>North!P26</f>
        <v>0</v>
      </c>
      <c r="M24" s="138" t="s">
        <v>289</v>
      </c>
      <c r="N24" t="e">
        <f>LEN(#REF!)</f>
        <v>#REF!</v>
      </c>
      <c r="O24" t="e">
        <f>LEFT(#REF!,N24-1)</f>
        <v>#REF!</v>
      </c>
    </row>
    <row r="25" spans="1:15">
      <c r="A25" s="150" t="s">
        <v>57</v>
      </c>
      <c r="B25" s="138" t="s">
        <v>145</v>
      </c>
      <c r="C25" s="138" t="s">
        <v>289</v>
      </c>
      <c r="F25" s="12">
        <f>North!Q27</f>
        <v>1</v>
      </c>
      <c r="G25" s="12">
        <f>North!R27</f>
        <v>2</v>
      </c>
      <c r="H25" s="12">
        <f>North!S27</f>
        <v>0</v>
      </c>
      <c r="I25" s="12">
        <f>North!N27</f>
        <v>2</v>
      </c>
      <c r="J25" s="12">
        <f>North!O27</f>
        <v>3</v>
      </c>
      <c r="K25" s="12">
        <f>North!P27</f>
        <v>0</v>
      </c>
      <c r="M25" s="138" t="s">
        <v>295</v>
      </c>
      <c r="N25" t="e">
        <f>LEN(#REF!)</f>
        <v>#REF!</v>
      </c>
      <c r="O25" t="e">
        <f>LEFT(#REF!,N25-1)</f>
        <v>#REF!</v>
      </c>
    </row>
    <row r="26" spans="1:15">
      <c r="A26" t="s">
        <v>59</v>
      </c>
      <c r="B26" s="138" t="s">
        <v>153</v>
      </c>
      <c r="C26" s="138" t="s">
        <v>290</v>
      </c>
      <c r="F26" s="12">
        <f>North!Q28</f>
        <v>2</v>
      </c>
      <c r="G26" s="12">
        <f>North!R28</f>
        <v>0</v>
      </c>
      <c r="H26" s="12">
        <f>North!S28</f>
        <v>0</v>
      </c>
      <c r="I26" s="12">
        <f>North!N28</f>
        <v>5</v>
      </c>
      <c r="J26" s="12">
        <f>North!O28</f>
        <v>0</v>
      </c>
      <c r="K26" s="12">
        <f>North!P28</f>
        <v>0</v>
      </c>
      <c r="M26" s="138" t="s">
        <v>292</v>
      </c>
      <c r="N26" t="e">
        <f>LEN(#REF!)</f>
        <v>#REF!</v>
      </c>
      <c r="O26" t="e">
        <f>LEFT(#REF!,N26-1)</f>
        <v>#REF!</v>
      </c>
    </row>
    <row r="27" spans="1:15">
      <c r="A27" t="s">
        <v>85</v>
      </c>
      <c r="B27" s="138" t="s">
        <v>288</v>
      </c>
      <c r="C27" s="138" t="s">
        <v>291</v>
      </c>
      <c r="F27" s="12">
        <f>North!Q29</f>
        <v>0</v>
      </c>
      <c r="G27" s="12">
        <f>North!R29</f>
        <v>0</v>
      </c>
      <c r="H27" s="12">
        <f>North!S29</f>
        <v>0</v>
      </c>
      <c r="I27" s="12">
        <f>North!N29</f>
        <v>0</v>
      </c>
      <c r="J27" s="12">
        <f>North!O29</f>
        <v>0</v>
      </c>
      <c r="K27" s="12">
        <f>North!P29</f>
        <v>0</v>
      </c>
      <c r="N27" t="e">
        <f>LEN(#REF!)</f>
        <v>#REF!</v>
      </c>
      <c r="O27" t="e">
        <f>LEFT(#REF!,N27-1)</f>
        <v>#REF!</v>
      </c>
    </row>
    <row r="28" spans="1:15">
      <c r="A28" t="s">
        <v>62</v>
      </c>
      <c r="B28" s="138" t="s">
        <v>192</v>
      </c>
      <c r="C28" s="138" t="s">
        <v>292</v>
      </c>
      <c r="F28" s="12">
        <f>North!Q30</f>
        <v>0</v>
      </c>
      <c r="G28" s="12">
        <f>North!R30</f>
        <v>2</v>
      </c>
      <c r="H28" s="12">
        <f>North!S30</f>
        <v>0</v>
      </c>
      <c r="I28" s="12">
        <f>North!N30</f>
        <v>0</v>
      </c>
      <c r="J28" s="12">
        <f>North!O30</f>
        <v>5</v>
      </c>
      <c r="K28" s="12">
        <f>North!P30</f>
        <v>0</v>
      </c>
      <c r="N28" t="e">
        <f>LEN(#REF!)</f>
        <v>#REF!</v>
      </c>
      <c r="O28" t="e">
        <f>LEFT(#REF!,N28-1)</f>
        <v>#REF!</v>
      </c>
    </row>
    <row r="29" spans="1:15" ht="16.149999999999999" customHeight="1">
      <c r="A29" s="150" t="s">
        <v>0</v>
      </c>
      <c r="B29" s="138" t="s">
        <v>154</v>
      </c>
      <c r="C29" s="138" t="s">
        <v>294</v>
      </c>
      <c r="F29" s="12">
        <f>North!Q31</f>
        <v>1</v>
      </c>
      <c r="G29" s="12">
        <f>North!R31</f>
        <v>1</v>
      </c>
      <c r="H29" s="12">
        <f>North!S31</f>
        <v>0</v>
      </c>
      <c r="I29" s="12">
        <f>North!N31</f>
        <v>3</v>
      </c>
      <c r="J29" s="12">
        <f>North!O31</f>
        <v>2</v>
      </c>
      <c r="K29" s="12">
        <f>North!P31</f>
        <v>0</v>
      </c>
      <c r="N29" t="e">
        <f>LEN(#REF!)</f>
        <v>#REF!</v>
      </c>
      <c r="O29" t="e">
        <f>LEFT(#REF!,N29-1)</f>
        <v>#REF!</v>
      </c>
    </row>
    <row r="30" spans="1:15">
      <c r="A30" t="s">
        <v>67</v>
      </c>
      <c r="B30" s="138" t="s">
        <v>149</v>
      </c>
      <c r="C30" s="138" t="s">
        <v>294</v>
      </c>
      <c r="F30" s="12">
        <f>North!Q32</f>
        <v>2</v>
      </c>
      <c r="G30" s="12">
        <f>North!R32</f>
        <v>1</v>
      </c>
      <c r="H30" s="12">
        <f>North!S32</f>
        <v>0</v>
      </c>
      <c r="I30" s="12">
        <f>North!N32</f>
        <v>3</v>
      </c>
      <c r="J30" s="12">
        <f>North!O32</f>
        <v>2</v>
      </c>
      <c r="K30" s="12">
        <f>North!P32</f>
        <v>0</v>
      </c>
      <c r="N30" t="e">
        <f>LEN(#REF!)</f>
        <v>#REF!</v>
      </c>
      <c r="O30" t="e">
        <f>LEFT(#REF!,N30-1)</f>
        <v>#REF!</v>
      </c>
    </row>
    <row r="31" spans="1:15">
      <c r="A31" t="s">
        <v>60</v>
      </c>
      <c r="B31" s="138" t="s">
        <v>143</v>
      </c>
      <c r="C31" s="138" t="s">
        <v>144</v>
      </c>
      <c r="F31" s="12">
        <f>North!Q33</f>
        <v>3</v>
      </c>
      <c r="G31" s="12">
        <f>North!R33</f>
        <v>0</v>
      </c>
      <c r="H31" s="12">
        <f>North!S33</f>
        <v>0</v>
      </c>
      <c r="I31" s="12">
        <f>North!N33</f>
        <v>6</v>
      </c>
      <c r="J31" s="12">
        <f>North!O33</f>
        <v>0</v>
      </c>
      <c r="K31" s="12">
        <f>North!P33</f>
        <v>0</v>
      </c>
      <c r="N31" t="e">
        <f>LEN(#REF!)</f>
        <v>#REF!</v>
      </c>
      <c r="O31" t="e">
        <f>LEFT(#REF!,N31-1)</f>
        <v>#REF!</v>
      </c>
    </row>
    <row r="32" spans="1:15">
      <c r="A32" t="s">
        <v>61</v>
      </c>
      <c r="B32" s="138" t="s">
        <v>145</v>
      </c>
      <c r="C32" s="138" t="s">
        <v>146</v>
      </c>
      <c r="F32" s="12">
        <f>North!Q34</f>
        <v>1</v>
      </c>
      <c r="G32" s="12">
        <f>North!R34</f>
        <v>2</v>
      </c>
      <c r="H32" s="12">
        <f>North!S34</f>
        <v>0</v>
      </c>
      <c r="I32" s="12">
        <f>North!N34</f>
        <v>3</v>
      </c>
      <c r="J32" s="12">
        <f>North!O34</f>
        <v>3</v>
      </c>
      <c r="K32" s="12">
        <f>North!P34</f>
        <v>0</v>
      </c>
      <c r="N32" t="e">
        <f>LEN(#REF!)</f>
        <v>#REF!</v>
      </c>
      <c r="O32" t="e">
        <f>LEFT(#REF!,N32-1)</f>
        <v>#REF!</v>
      </c>
    </row>
    <row r="33" spans="1:15">
      <c r="A33" s="150" t="s">
        <v>86</v>
      </c>
      <c r="B33" s="138" t="s">
        <v>151</v>
      </c>
      <c r="C33" s="138" t="s">
        <v>152</v>
      </c>
      <c r="F33" s="12">
        <f>North!Q35</f>
        <v>0</v>
      </c>
      <c r="G33" s="12">
        <f>North!R35</f>
        <v>3</v>
      </c>
      <c r="H33" s="12">
        <f>North!S35</f>
        <v>0</v>
      </c>
      <c r="I33" s="12">
        <f>North!N35</f>
        <v>1</v>
      </c>
      <c r="J33" s="12">
        <f>North!O35</f>
        <v>5</v>
      </c>
      <c r="K33" s="12">
        <f>North!P35</f>
        <v>0</v>
      </c>
      <c r="N33" t="e">
        <f>LEN(#REF!)</f>
        <v>#REF!</v>
      </c>
      <c r="O33" t="e">
        <f>LEFT(#REF!,N33-1)</f>
        <v>#REF!</v>
      </c>
    </row>
    <row r="34" spans="1:15">
      <c r="A34" t="s">
        <v>64</v>
      </c>
      <c r="B34" s="138" t="s">
        <v>192</v>
      </c>
      <c r="C34" s="138" t="s">
        <v>147</v>
      </c>
      <c r="F34" s="12">
        <f>North!Q36</f>
        <v>0</v>
      </c>
      <c r="G34" s="12">
        <f>North!R36</f>
        <v>2</v>
      </c>
      <c r="H34" s="12">
        <f>North!S36</f>
        <v>0</v>
      </c>
      <c r="I34" s="12">
        <f>North!N36</f>
        <v>2</v>
      </c>
      <c r="J34" s="12">
        <f>North!O36</f>
        <v>4</v>
      </c>
      <c r="K34" s="12">
        <f>North!P36</f>
        <v>0</v>
      </c>
      <c r="N34" t="e">
        <f>LEN(#REF!)</f>
        <v>#REF!</v>
      </c>
      <c r="O34" t="e">
        <f>LEFT(#REF!,N34-1)</f>
        <v>#REF!</v>
      </c>
    </row>
    <row r="35" spans="1:15">
      <c r="A35" t="s">
        <v>66</v>
      </c>
      <c r="B35" s="138" t="s">
        <v>153</v>
      </c>
      <c r="C35" s="138" t="s">
        <v>144</v>
      </c>
      <c r="F35" s="12">
        <f>North!Q37</f>
        <v>2</v>
      </c>
      <c r="G35" s="12">
        <f>North!R37</f>
        <v>0</v>
      </c>
      <c r="H35" s="12">
        <f>North!S37</f>
        <v>0</v>
      </c>
      <c r="I35" s="12">
        <f>North!N37</f>
        <v>6</v>
      </c>
      <c r="J35" s="12">
        <f>North!O37</f>
        <v>0</v>
      </c>
      <c r="K35" s="12">
        <f>North!P37</f>
        <v>0</v>
      </c>
      <c r="N35" t="e">
        <f>LEN(#REF!)</f>
        <v>#REF!</v>
      </c>
      <c r="O35" t="e">
        <f>LEFT(#REF!,N35-1)</f>
        <v>#REF!</v>
      </c>
    </row>
    <row r="36" spans="1:15">
      <c r="A36" s="150" t="s">
        <v>70</v>
      </c>
      <c r="B36" s="138" t="s">
        <v>154</v>
      </c>
      <c r="C36" s="138" t="s">
        <v>148</v>
      </c>
      <c r="F36" s="12">
        <f>North!Q38</f>
        <v>1</v>
      </c>
      <c r="G36" s="12">
        <f>North!R38</f>
        <v>1</v>
      </c>
      <c r="H36" s="12">
        <f>North!S38</f>
        <v>0</v>
      </c>
      <c r="I36" s="12">
        <f>North!N38</f>
        <v>5</v>
      </c>
      <c r="J36" s="12">
        <f>North!O38</f>
        <v>1</v>
      </c>
      <c r="K36" s="12">
        <f>North!P38</f>
        <v>0</v>
      </c>
      <c r="N36" t="e">
        <f>LEN(#REF!)</f>
        <v>#REF!</v>
      </c>
      <c r="O36" t="e">
        <f>LEFT(#REF!,N36-1)</f>
        <v>#REF!</v>
      </c>
    </row>
    <row r="37" spans="1:15">
      <c r="A37" t="s">
        <v>182</v>
      </c>
      <c r="B37" s="138" t="s">
        <v>153</v>
      </c>
      <c r="C37" s="138" t="s">
        <v>147</v>
      </c>
      <c r="F37" s="12">
        <f>North!Q39</f>
        <v>2</v>
      </c>
      <c r="G37" s="12">
        <f>North!R39</f>
        <v>0</v>
      </c>
      <c r="H37" s="12">
        <f>North!S39</f>
        <v>0</v>
      </c>
      <c r="I37" s="12">
        <f>North!N39</f>
        <v>2</v>
      </c>
      <c r="J37" s="12">
        <f>North!O39</f>
        <v>4</v>
      </c>
      <c r="K37" s="12">
        <f>North!P39</f>
        <v>0</v>
      </c>
      <c r="N37" t="e">
        <f>LEN(#REF!)</f>
        <v>#REF!</v>
      </c>
      <c r="O37" t="e">
        <f>LEFT(#REF!,N37-1)</f>
        <v>#REF!</v>
      </c>
    </row>
    <row r="38" spans="1:15">
      <c r="A38" t="s">
        <v>118</v>
      </c>
      <c r="B38" s="138" t="s">
        <v>154</v>
      </c>
      <c r="C38" s="138" t="s">
        <v>147</v>
      </c>
      <c r="F38" s="12">
        <f>North!Q40</f>
        <v>1</v>
      </c>
      <c r="G38" s="12">
        <f>North!R40</f>
        <v>1</v>
      </c>
      <c r="H38" s="12">
        <f>North!S40</f>
        <v>0</v>
      </c>
      <c r="I38" s="12">
        <f>North!N40</f>
        <v>2</v>
      </c>
      <c r="J38" s="12">
        <f>North!O40</f>
        <v>4</v>
      </c>
      <c r="K38" s="12">
        <f>North!P40</f>
        <v>0</v>
      </c>
      <c r="N38" t="e">
        <f>LEN(#REF!)</f>
        <v>#REF!</v>
      </c>
      <c r="O38" t="e">
        <f>LEFT(#REF!,N38-1)</f>
        <v>#REF!</v>
      </c>
    </row>
    <row r="39" spans="1:15">
      <c r="A39" t="s">
        <v>106</v>
      </c>
      <c r="B39" s="138" t="s">
        <v>192</v>
      </c>
      <c r="C39" s="138" t="s">
        <v>155</v>
      </c>
      <c r="F39" s="12">
        <f>North!Q41</f>
        <v>0</v>
      </c>
      <c r="G39" s="12">
        <f>North!R41</f>
        <v>2</v>
      </c>
      <c r="H39" s="12">
        <f>North!S41</f>
        <v>0</v>
      </c>
      <c r="I39" s="12">
        <f>North!N41</f>
        <v>0</v>
      </c>
      <c r="J39" s="12">
        <f>North!O41</f>
        <v>6</v>
      </c>
      <c r="K39" s="12">
        <f>North!P41</f>
        <v>0</v>
      </c>
      <c r="N39" t="e">
        <f>LEN(#REF!)</f>
        <v>#REF!</v>
      </c>
      <c r="O39" t="e">
        <f>LEFT(#REF!,N39-1)</f>
        <v>#REF!</v>
      </c>
    </row>
  </sheetData>
  <customSheetViews>
    <customSheetView guid="{DE7C2479-4243-442D-8A3C-4D0E1EDB2109}">
      <selection activeCell="A26" sqref="A26"/>
      <pageMargins left="0.7" right="0.7" top="0.75" bottom="0.75" header="0.3" footer="0.3"/>
    </customSheetView>
    <customSheetView guid="{DEF8AD2E-C46F-4190-A88E-C6B69C1F99BB}">
      <selection activeCell="A26" sqref="A26"/>
      <pageMargins left="0.7" right="0.7" top="0.75" bottom="0.75" header="0.3" footer="0.3"/>
    </customSheetView>
    <customSheetView guid="{BDC744E3-8A98-4FFB-AA7D-7119F2F68EB6}">
      <selection activeCell="A26" sqref="A26"/>
      <pageMargins left="0.7" right="0.7" top="0.75" bottom="0.75" header="0.3" footer="0.3"/>
    </customSheetView>
    <customSheetView guid="{E7597357-F01A-4EC3-9284-2CC61D1CC724}">
      <selection activeCell="A26" sqref="A26"/>
      <pageMargins left="0.7" right="0.7" top="0.75" bottom="0.75" header="0.3" footer="0.3"/>
    </customSheetView>
  </customSheetViews>
  <mergeCells count="2">
    <mergeCell ref="F1:H1"/>
    <mergeCell ref="I1:K1"/>
  </mergeCells>
  <conditionalFormatting sqref="F2:K39">
    <cfRule type="expression" dxfId="0" priority="1">
      <formula>SUM($T2:$V2)=3</formula>
    </cfRule>
  </conditionalFormatting>
  <pageMargins left="0.7" right="0.25" top="0.37" bottom="0.39" header="0.3" footer="0.3"/>
  <pageSetup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autoPageBreaks="0"/>
  </sheetPr>
  <dimension ref="A1:R27"/>
  <sheetViews>
    <sheetView workbookViewId="0"/>
  </sheetViews>
  <sheetFormatPr defaultRowHeight="15"/>
  <cols>
    <col min="2" max="2" width="2.85546875" customWidth="1"/>
    <col min="3" max="3" width="14.85546875" bestFit="1" customWidth="1"/>
  </cols>
  <sheetData>
    <row r="1" spans="2:18" ht="15.75">
      <c r="P1" s="75"/>
      <c r="Q1" s="75"/>
      <c r="R1" s="75"/>
    </row>
    <row r="2" spans="2:18" ht="15.75">
      <c r="P2" s="75"/>
      <c r="Q2" s="75"/>
      <c r="R2" s="75"/>
    </row>
    <row r="5" spans="2:18">
      <c r="B5" t="s">
        <v>89</v>
      </c>
    </row>
    <row r="6" spans="2:18">
      <c r="C6" t="s">
        <v>101</v>
      </c>
    </row>
    <row r="7" spans="2:18">
      <c r="C7" t="s">
        <v>90</v>
      </c>
    </row>
    <row r="8" spans="2:18">
      <c r="C8" t="s">
        <v>91</v>
      </c>
    </row>
    <row r="9" spans="2:18">
      <c r="C9" t="s">
        <v>92</v>
      </c>
    </row>
    <row r="10" spans="2:18" ht="21">
      <c r="C10" s="73" t="s">
        <v>93</v>
      </c>
      <c r="E10" s="74" t="s">
        <v>114</v>
      </c>
    </row>
    <row r="12" spans="2:18">
      <c r="C12" s="21" t="s">
        <v>116</v>
      </c>
    </row>
    <row r="16" spans="2:18">
      <c r="B16" s="21"/>
    </row>
    <row r="17" spans="1:3">
      <c r="C17" s="73"/>
    </row>
    <row r="27" spans="1:3">
      <c r="A27" s="40" t="s">
        <v>94</v>
      </c>
    </row>
  </sheetData>
  <customSheetViews>
    <customSheetView guid="{DE7C2479-4243-442D-8A3C-4D0E1EDB2109}">
      <selection activeCell="C16" sqref="C16"/>
      <pageMargins left="0.7" right="0.7" top="0.75" bottom="0.75" header="0.3" footer="0.3"/>
    </customSheetView>
    <customSheetView guid="{DEF8AD2E-C46F-4190-A88E-C6B69C1F99BB}">
      <selection activeCell="C16" sqref="C16"/>
      <pageMargins left="0.7" right="0.7" top="0.75" bottom="0.75" header="0.3" footer="0.3"/>
    </customSheetView>
    <customSheetView guid="{BDC744E3-8A98-4FFB-AA7D-7119F2F68EB6}">
      <selection activeCell="C16" sqref="C16"/>
      <pageMargins left="0.7" right="0.7" top="0.75" bottom="0.75" header="0.3" footer="0.3"/>
    </customSheetView>
    <customSheetView guid="{E7597357-F01A-4EC3-9284-2CC61D1CC724}">
      <selection activeCell="C16" sqref="C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G90"/>
  <sheetViews>
    <sheetView workbookViewId="0"/>
  </sheetViews>
  <sheetFormatPr defaultRowHeight="15"/>
  <cols>
    <col min="1" max="1" width="29.7109375" bestFit="1" customWidth="1"/>
    <col min="2" max="2" width="7.85546875" style="22" customWidth="1"/>
    <col min="3" max="3" width="5.85546875" style="22" customWidth="1"/>
    <col min="4" max="4" width="6.42578125" style="22" customWidth="1"/>
  </cols>
  <sheetData>
    <row r="1" spans="1:7" ht="21">
      <c r="A1" s="21" t="s">
        <v>87</v>
      </c>
      <c r="B1" s="24" t="s">
        <v>88</v>
      </c>
      <c r="C1" s="24" t="s">
        <v>69</v>
      </c>
      <c r="D1" s="24" t="s">
        <v>43</v>
      </c>
      <c r="E1" s="24" t="s">
        <v>115</v>
      </c>
      <c r="G1" s="128" t="s">
        <v>165</v>
      </c>
    </row>
    <row r="2" spans="1:7">
      <c r="A2" t="s">
        <v>78</v>
      </c>
      <c r="B2" s="22" t="s">
        <v>102</v>
      </c>
      <c r="C2" s="22">
        <v>2</v>
      </c>
      <c r="D2" s="22">
        <v>7</v>
      </c>
      <c r="E2">
        <v>0</v>
      </c>
    </row>
    <row r="3" spans="1:7">
      <c r="A3" t="s">
        <v>82</v>
      </c>
      <c r="B3" s="22" t="s">
        <v>102</v>
      </c>
      <c r="C3" s="22">
        <v>8</v>
      </c>
      <c r="D3" s="22">
        <v>29</v>
      </c>
      <c r="E3">
        <v>0</v>
      </c>
    </row>
    <row r="4" spans="1:7">
      <c r="A4" t="s">
        <v>21</v>
      </c>
      <c r="B4" s="22" t="s">
        <v>102</v>
      </c>
      <c r="C4" s="22">
        <v>1</v>
      </c>
      <c r="D4" s="22">
        <v>1</v>
      </c>
      <c r="E4">
        <v>0</v>
      </c>
    </row>
    <row r="5" spans="1:7">
      <c r="A5" t="s">
        <v>86</v>
      </c>
      <c r="B5" s="22" t="s">
        <v>103</v>
      </c>
      <c r="C5" s="22">
        <v>7</v>
      </c>
      <c r="D5" s="22">
        <v>28</v>
      </c>
      <c r="E5">
        <v>0</v>
      </c>
    </row>
    <row r="6" spans="1:7">
      <c r="A6" t="s">
        <v>55</v>
      </c>
      <c r="B6" s="22" t="s">
        <v>103</v>
      </c>
      <c r="C6" s="22">
        <v>3</v>
      </c>
      <c r="D6" s="22">
        <v>10</v>
      </c>
      <c r="E6">
        <v>0</v>
      </c>
    </row>
    <row r="7" spans="1:7">
      <c r="A7" t="s">
        <v>98</v>
      </c>
      <c r="B7" s="22" t="s">
        <v>102</v>
      </c>
      <c r="C7" s="22">
        <v>8</v>
      </c>
      <c r="D7" s="22">
        <v>31</v>
      </c>
      <c r="E7">
        <v>0</v>
      </c>
    </row>
    <row r="8" spans="1:7">
      <c r="A8" t="s">
        <v>38</v>
      </c>
      <c r="B8" s="22" t="s">
        <v>102</v>
      </c>
      <c r="C8" s="22">
        <v>11</v>
      </c>
      <c r="D8" s="22">
        <v>41</v>
      </c>
      <c r="E8">
        <v>0</v>
      </c>
    </row>
    <row r="9" spans="1:7">
      <c r="A9" t="s">
        <v>61</v>
      </c>
      <c r="B9" s="22" t="s">
        <v>103</v>
      </c>
      <c r="C9" s="22">
        <v>5</v>
      </c>
      <c r="D9" s="22">
        <v>20</v>
      </c>
      <c r="E9">
        <v>0</v>
      </c>
    </row>
    <row r="10" spans="1:7">
      <c r="A10" t="s">
        <v>128</v>
      </c>
      <c r="B10" s="22" t="s">
        <v>103</v>
      </c>
      <c r="C10" s="22">
        <v>3</v>
      </c>
      <c r="D10" s="22">
        <v>9</v>
      </c>
      <c r="E10">
        <v>0</v>
      </c>
    </row>
    <row r="11" spans="1:7">
      <c r="A11" t="s">
        <v>95</v>
      </c>
      <c r="B11" s="22" t="s">
        <v>102</v>
      </c>
      <c r="C11" s="22">
        <v>10</v>
      </c>
      <c r="D11" s="22">
        <v>40</v>
      </c>
      <c r="E11">
        <v>0</v>
      </c>
    </row>
    <row r="12" spans="1:7">
      <c r="A12" t="s">
        <v>30</v>
      </c>
      <c r="B12" s="22" t="s">
        <v>102</v>
      </c>
      <c r="C12" s="22">
        <v>6</v>
      </c>
      <c r="D12" s="22">
        <v>24</v>
      </c>
      <c r="E12">
        <v>0</v>
      </c>
    </row>
    <row r="13" spans="1:7">
      <c r="A13" t="s">
        <v>37</v>
      </c>
      <c r="B13" s="22" t="s">
        <v>102</v>
      </c>
      <c r="C13" s="22">
        <v>10</v>
      </c>
      <c r="D13" s="22">
        <v>38</v>
      </c>
      <c r="E13">
        <v>0</v>
      </c>
    </row>
    <row r="14" spans="1:7">
      <c r="A14" t="s">
        <v>17</v>
      </c>
      <c r="B14" s="22" t="s">
        <v>102</v>
      </c>
      <c r="C14" s="22">
        <v>3</v>
      </c>
      <c r="D14" s="22">
        <v>12</v>
      </c>
      <c r="E14">
        <v>0</v>
      </c>
    </row>
    <row r="15" spans="1:7">
      <c r="A15" t="s">
        <v>15</v>
      </c>
      <c r="B15" s="22" t="s">
        <v>102</v>
      </c>
      <c r="C15" s="22">
        <v>1</v>
      </c>
      <c r="D15" s="22">
        <v>3</v>
      </c>
      <c r="E15">
        <v>0</v>
      </c>
    </row>
    <row r="16" spans="1:7">
      <c r="A16" t="s">
        <v>34</v>
      </c>
      <c r="B16" s="22" t="s">
        <v>102</v>
      </c>
      <c r="C16" s="22">
        <v>11</v>
      </c>
      <c r="D16" s="22">
        <v>43</v>
      </c>
      <c r="E16">
        <v>0</v>
      </c>
    </row>
    <row r="17" spans="1:5">
      <c r="A17" t="s">
        <v>73</v>
      </c>
      <c r="B17" s="22" t="s">
        <v>102</v>
      </c>
      <c r="C17" s="22">
        <v>7</v>
      </c>
      <c r="D17" s="22">
        <v>25</v>
      </c>
      <c r="E17">
        <v>0</v>
      </c>
    </row>
    <row r="18" spans="1:5">
      <c r="A18" t="s">
        <v>70</v>
      </c>
      <c r="B18" s="22" t="s">
        <v>103</v>
      </c>
      <c r="C18" s="22">
        <v>7</v>
      </c>
      <c r="D18" s="22">
        <v>25</v>
      </c>
      <c r="E18">
        <v>0</v>
      </c>
    </row>
    <row r="19" spans="1:5">
      <c r="A19" t="s">
        <v>67</v>
      </c>
      <c r="B19" s="22" t="s">
        <v>103</v>
      </c>
      <c r="C19" s="22">
        <v>8</v>
      </c>
      <c r="D19" s="22">
        <v>30</v>
      </c>
      <c r="E19">
        <v>0</v>
      </c>
    </row>
    <row r="20" spans="1:5">
      <c r="A20" t="s">
        <v>32</v>
      </c>
      <c r="B20" s="22" t="s">
        <v>102</v>
      </c>
      <c r="C20" s="22">
        <v>12</v>
      </c>
      <c r="D20" s="22">
        <v>45</v>
      </c>
      <c r="E20">
        <v>0</v>
      </c>
    </row>
    <row r="21" spans="1:5">
      <c r="A21" t="s">
        <v>22</v>
      </c>
      <c r="B21" s="22" t="s">
        <v>102</v>
      </c>
      <c r="C21" s="22">
        <v>10</v>
      </c>
      <c r="D21" s="22">
        <v>39</v>
      </c>
      <c r="E21">
        <v>0</v>
      </c>
    </row>
    <row r="22" spans="1:5">
      <c r="A22" t="s">
        <v>58</v>
      </c>
      <c r="B22" s="22" t="s">
        <v>103</v>
      </c>
      <c r="C22" s="22">
        <v>6</v>
      </c>
      <c r="D22" s="22">
        <v>24</v>
      </c>
      <c r="E22">
        <v>0</v>
      </c>
    </row>
    <row r="23" spans="1:5">
      <c r="A23" t="s">
        <v>16</v>
      </c>
      <c r="B23" s="22" t="s">
        <v>102</v>
      </c>
      <c r="C23" s="22">
        <v>5</v>
      </c>
      <c r="D23" s="22">
        <v>17</v>
      </c>
      <c r="E23">
        <v>0</v>
      </c>
    </row>
    <row r="24" spans="1:5">
      <c r="A24" t="s">
        <v>31</v>
      </c>
      <c r="B24" s="22" t="s">
        <v>102</v>
      </c>
      <c r="C24" s="22">
        <v>11</v>
      </c>
      <c r="D24" s="22">
        <v>44</v>
      </c>
      <c r="E24">
        <v>0</v>
      </c>
    </row>
    <row r="25" spans="1:5">
      <c r="A25" t="s">
        <v>33</v>
      </c>
      <c r="B25" s="22" t="s">
        <v>102</v>
      </c>
      <c r="C25" s="22">
        <v>9</v>
      </c>
      <c r="D25" s="22">
        <v>34</v>
      </c>
      <c r="E25">
        <v>0</v>
      </c>
    </row>
    <row r="26" spans="1:5">
      <c r="A26" t="s">
        <v>28</v>
      </c>
      <c r="B26" s="22" t="s">
        <v>102</v>
      </c>
      <c r="C26" s="22">
        <v>9</v>
      </c>
      <c r="D26" s="22">
        <v>35</v>
      </c>
      <c r="E26">
        <v>0</v>
      </c>
    </row>
    <row r="27" spans="1:5">
      <c r="A27" t="s">
        <v>63</v>
      </c>
      <c r="B27" s="22" t="s">
        <v>103</v>
      </c>
      <c r="C27" s="22">
        <v>1</v>
      </c>
      <c r="D27" s="22">
        <v>4</v>
      </c>
      <c r="E27">
        <v>0</v>
      </c>
    </row>
    <row r="28" spans="1:5">
      <c r="A28" t="s">
        <v>84</v>
      </c>
      <c r="B28" s="22" t="s">
        <v>103</v>
      </c>
      <c r="C28" s="22">
        <v>2</v>
      </c>
      <c r="D28" s="22">
        <v>6</v>
      </c>
      <c r="E28">
        <v>0</v>
      </c>
    </row>
    <row r="29" spans="1:5">
      <c r="A29" t="s">
        <v>6</v>
      </c>
      <c r="B29" s="22" t="s">
        <v>103</v>
      </c>
      <c r="C29" s="22">
        <v>2</v>
      </c>
      <c r="D29" s="22">
        <v>5</v>
      </c>
      <c r="E29">
        <v>0</v>
      </c>
    </row>
    <row r="30" spans="1:5">
      <c r="A30" t="s">
        <v>36</v>
      </c>
      <c r="B30" s="22" t="s">
        <v>102</v>
      </c>
      <c r="C30" s="22">
        <v>4</v>
      </c>
      <c r="D30" s="22">
        <v>16</v>
      </c>
      <c r="E30">
        <v>0</v>
      </c>
    </row>
    <row r="31" spans="1:5">
      <c r="A31" t="s">
        <v>113</v>
      </c>
      <c r="B31" s="22" t="s">
        <v>102</v>
      </c>
      <c r="C31" s="22">
        <v>11</v>
      </c>
      <c r="D31" s="22">
        <v>42</v>
      </c>
      <c r="E31">
        <v>0</v>
      </c>
    </row>
    <row r="32" spans="1:5">
      <c r="A32" t="s">
        <v>49</v>
      </c>
      <c r="B32" s="22" t="s">
        <v>103</v>
      </c>
      <c r="C32" s="22">
        <v>3</v>
      </c>
      <c r="D32" s="22">
        <v>12</v>
      </c>
      <c r="E32">
        <v>0</v>
      </c>
    </row>
    <row r="33" spans="1:5">
      <c r="A33" t="s">
        <v>65</v>
      </c>
      <c r="B33" s="22" t="s">
        <v>103</v>
      </c>
      <c r="C33" s="22">
        <v>7</v>
      </c>
      <c r="D33" s="22">
        <v>26</v>
      </c>
      <c r="E33">
        <v>0</v>
      </c>
    </row>
    <row r="34" spans="1:5">
      <c r="A34" t="s">
        <v>64</v>
      </c>
      <c r="B34" s="22" t="s">
        <v>103</v>
      </c>
      <c r="C34" s="22">
        <v>8</v>
      </c>
      <c r="D34" s="22">
        <v>29</v>
      </c>
      <c r="E34">
        <v>0</v>
      </c>
    </row>
    <row r="35" spans="1:5">
      <c r="A35" t="s">
        <v>59</v>
      </c>
      <c r="B35" s="22" t="s">
        <v>103</v>
      </c>
      <c r="C35" s="22">
        <v>6</v>
      </c>
      <c r="D35" s="22">
        <v>22</v>
      </c>
      <c r="E35">
        <v>0</v>
      </c>
    </row>
    <row r="36" spans="1:5">
      <c r="A36" t="s">
        <v>52</v>
      </c>
      <c r="B36" s="22" t="s">
        <v>103</v>
      </c>
      <c r="C36" s="22">
        <v>6</v>
      </c>
      <c r="D36" s="22">
        <v>21</v>
      </c>
      <c r="E36">
        <v>0</v>
      </c>
    </row>
    <row r="37" spans="1:5">
      <c r="A37" t="s">
        <v>27</v>
      </c>
      <c r="B37" s="22" t="s">
        <v>102</v>
      </c>
      <c r="C37" s="22">
        <v>6</v>
      </c>
      <c r="D37" s="22">
        <v>23</v>
      </c>
      <c r="E37">
        <v>0</v>
      </c>
    </row>
    <row r="38" spans="1:5">
      <c r="A38" t="s">
        <v>166</v>
      </c>
      <c r="B38" s="22" t="s">
        <v>102</v>
      </c>
      <c r="C38" s="22">
        <v>13</v>
      </c>
      <c r="D38" s="22">
        <v>51</v>
      </c>
      <c r="E38">
        <v>0</v>
      </c>
    </row>
    <row r="39" spans="1:5">
      <c r="A39" t="s">
        <v>85</v>
      </c>
      <c r="B39" s="22" t="s">
        <v>103</v>
      </c>
      <c r="C39" s="22">
        <v>9</v>
      </c>
      <c r="D39" s="22">
        <v>33</v>
      </c>
      <c r="E39">
        <v>0</v>
      </c>
    </row>
    <row r="40" spans="1:5">
      <c r="A40" t="s">
        <v>71</v>
      </c>
      <c r="B40" s="22" t="s">
        <v>102</v>
      </c>
      <c r="C40" s="22">
        <v>9</v>
      </c>
      <c r="D40" s="22">
        <v>36</v>
      </c>
      <c r="E40">
        <v>0</v>
      </c>
    </row>
    <row r="41" spans="1:5">
      <c r="A41" t="s">
        <v>83</v>
      </c>
      <c r="B41" s="22" t="s">
        <v>102</v>
      </c>
      <c r="C41" s="22">
        <v>12</v>
      </c>
      <c r="D41" s="22">
        <v>46</v>
      </c>
      <c r="E41">
        <v>0</v>
      </c>
    </row>
    <row r="42" spans="1:5">
      <c r="A42" t="s">
        <v>5</v>
      </c>
      <c r="B42" s="22" t="s">
        <v>103</v>
      </c>
      <c r="C42" s="22">
        <v>5</v>
      </c>
      <c r="D42" s="22">
        <v>17</v>
      </c>
      <c r="E42">
        <v>0</v>
      </c>
    </row>
    <row r="43" spans="1:5">
      <c r="A43" t="s">
        <v>0</v>
      </c>
      <c r="B43" s="22" t="s">
        <v>103</v>
      </c>
      <c r="C43" s="22">
        <v>7</v>
      </c>
      <c r="D43" s="22">
        <v>27</v>
      </c>
      <c r="E43">
        <v>0</v>
      </c>
    </row>
    <row r="44" spans="1:5">
      <c r="A44" t="s">
        <v>127</v>
      </c>
      <c r="B44" s="22" t="s">
        <v>103</v>
      </c>
      <c r="C44" s="22">
        <v>10</v>
      </c>
      <c r="D44" s="22">
        <v>36</v>
      </c>
      <c r="E44">
        <v>0</v>
      </c>
    </row>
    <row r="45" spans="1:5">
      <c r="A45" t="s">
        <v>104</v>
      </c>
      <c r="B45" s="22" t="s">
        <v>102</v>
      </c>
      <c r="C45" s="22">
        <v>6</v>
      </c>
      <c r="D45" s="22">
        <v>22</v>
      </c>
      <c r="E45">
        <v>0</v>
      </c>
    </row>
    <row r="46" spans="1:5">
      <c r="A46" t="s">
        <v>11</v>
      </c>
      <c r="B46" s="22" t="s">
        <v>102</v>
      </c>
      <c r="C46" s="22">
        <v>2</v>
      </c>
      <c r="D46" s="22">
        <v>8</v>
      </c>
      <c r="E46">
        <v>0</v>
      </c>
    </row>
    <row r="47" spans="1:5">
      <c r="A47" t="s">
        <v>167</v>
      </c>
      <c r="B47" s="22" t="s">
        <v>102</v>
      </c>
      <c r="C47" s="22">
        <v>13</v>
      </c>
      <c r="D47" s="22">
        <v>50</v>
      </c>
      <c r="E47">
        <v>0</v>
      </c>
    </row>
    <row r="48" spans="1:5">
      <c r="A48" t="s">
        <v>57</v>
      </c>
      <c r="B48" s="22" t="s">
        <v>103</v>
      </c>
      <c r="C48" s="22">
        <v>4</v>
      </c>
      <c r="D48" s="22">
        <v>15</v>
      </c>
      <c r="E48">
        <v>0</v>
      </c>
    </row>
    <row r="49" spans="1:5">
      <c r="A49" t="s">
        <v>25</v>
      </c>
      <c r="B49" s="22" t="s">
        <v>102</v>
      </c>
      <c r="C49" s="22">
        <v>2</v>
      </c>
      <c r="D49" s="22">
        <v>5</v>
      </c>
      <c r="E49">
        <v>0</v>
      </c>
    </row>
    <row r="50" spans="1:5">
      <c r="A50" t="s">
        <v>62</v>
      </c>
      <c r="B50" s="22" t="s">
        <v>103</v>
      </c>
      <c r="C50" s="22">
        <v>1</v>
      </c>
      <c r="D50" s="22">
        <v>3</v>
      </c>
      <c r="E50">
        <v>0</v>
      </c>
    </row>
    <row r="51" spans="1:5">
      <c r="A51" t="s">
        <v>54</v>
      </c>
      <c r="B51" s="22" t="s">
        <v>103</v>
      </c>
      <c r="C51" s="22">
        <v>2</v>
      </c>
      <c r="D51" s="22">
        <v>8</v>
      </c>
      <c r="E51">
        <v>0</v>
      </c>
    </row>
    <row r="52" spans="1:5">
      <c r="A52" t="s">
        <v>56</v>
      </c>
      <c r="B52" s="22" t="s">
        <v>103</v>
      </c>
      <c r="C52" s="22">
        <v>5</v>
      </c>
      <c r="D52" s="22">
        <v>18</v>
      </c>
      <c r="E52">
        <v>0</v>
      </c>
    </row>
    <row r="53" spans="1:5">
      <c r="A53" t="s">
        <v>48</v>
      </c>
      <c r="B53" s="22" t="s">
        <v>103</v>
      </c>
      <c r="C53" s="22">
        <v>2</v>
      </c>
      <c r="D53" s="22">
        <v>7</v>
      </c>
      <c r="E53">
        <v>0</v>
      </c>
    </row>
    <row r="54" spans="1:5">
      <c r="A54" t="s">
        <v>1</v>
      </c>
      <c r="B54" s="22" t="s">
        <v>103</v>
      </c>
      <c r="C54" s="22">
        <v>8</v>
      </c>
      <c r="D54" s="22">
        <v>31</v>
      </c>
      <c r="E54">
        <v>0</v>
      </c>
    </row>
    <row r="55" spans="1:5">
      <c r="A55" t="s">
        <v>20</v>
      </c>
      <c r="B55" s="22" t="s">
        <v>102</v>
      </c>
      <c r="C55" s="22">
        <v>3</v>
      </c>
      <c r="D55" s="22">
        <v>9</v>
      </c>
      <c r="E55">
        <v>0</v>
      </c>
    </row>
    <row r="56" spans="1:5">
      <c r="A56" t="s">
        <v>29</v>
      </c>
      <c r="B56" s="22" t="s">
        <v>102</v>
      </c>
      <c r="C56" s="22">
        <v>5</v>
      </c>
      <c r="D56" s="22">
        <v>20</v>
      </c>
      <c r="E56">
        <v>0</v>
      </c>
    </row>
    <row r="57" spans="1:5">
      <c r="A57" t="s">
        <v>3</v>
      </c>
      <c r="B57" s="22" t="s">
        <v>102</v>
      </c>
      <c r="C57" s="22">
        <v>7</v>
      </c>
      <c r="D57" s="22">
        <v>27</v>
      </c>
      <c r="E57">
        <v>0</v>
      </c>
    </row>
    <row r="58" spans="1:5">
      <c r="A58" t="s">
        <v>23</v>
      </c>
      <c r="B58" s="22" t="s">
        <v>102</v>
      </c>
      <c r="C58" s="22">
        <v>7</v>
      </c>
      <c r="D58" s="22">
        <v>26</v>
      </c>
      <c r="E58">
        <v>0</v>
      </c>
    </row>
    <row r="59" spans="1:5">
      <c r="A59" t="s">
        <v>106</v>
      </c>
      <c r="B59" s="22" t="s">
        <v>103</v>
      </c>
      <c r="C59" s="22">
        <v>9</v>
      </c>
      <c r="D59" s="22">
        <v>35</v>
      </c>
      <c r="E59">
        <v>0</v>
      </c>
    </row>
    <row r="60" spans="1:5">
      <c r="A60" t="s">
        <v>81</v>
      </c>
      <c r="B60" s="22" t="s">
        <v>102</v>
      </c>
      <c r="C60" s="22">
        <v>8</v>
      </c>
      <c r="D60" s="22">
        <v>30</v>
      </c>
      <c r="E60">
        <v>0</v>
      </c>
    </row>
    <row r="61" spans="1:5">
      <c r="A61" t="s">
        <v>10</v>
      </c>
      <c r="B61" s="22" t="s">
        <v>102</v>
      </c>
      <c r="C61" s="22">
        <v>2</v>
      </c>
      <c r="D61" s="22">
        <v>6</v>
      </c>
      <c r="E61">
        <v>0</v>
      </c>
    </row>
    <row r="62" spans="1:5">
      <c r="A62" t="s">
        <v>50</v>
      </c>
      <c r="B62" s="22" t="s">
        <v>103</v>
      </c>
      <c r="C62" s="22">
        <v>4</v>
      </c>
      <c r="D62" s="22">
        <v>14</v>
      </c>
      <c r="E62">
        <v>0</v>
      </c>
    </row>
    <row r="63" spans="1:5">
      <c r="A63" t="s">
        <v>129</v>
      </c>
      <c r="B63" s="22" t="s">
        <v>103</v>
      </c>
      <c r="C63" s="22">
        <v>10</v>
      </c>
      <c r="D63" s="22">
        <v>38</v>
      </c>
      <c r="E63">
        <v>0</v>
      </c>
    </row>
    <row r="64" spans="1:5">
      <c r="A64" t="s">
        <v>97</v>
      </c>
      <c r="B64" s="22" t="s">
        <v>102</v>
      </c>
      <c r="C64" s="22">
        <v>6</v>
      </c>
      <c r="D64" s="22">
        <v>21</v>
      </c>
      <c r="E64">
        <v>0</v>
      </c>
    </row>
    <row r="65" spans="1:5">
      <c r="A65" t="s">
        <v>100</v>
      </c>
      <c r="B65" s="22" t="s">
        <v>102</v>
      </c>
      <c r="C65" s="22">
        <v>13</v>
      </c>
      <c r="D65" s="22">
        <v>49</v>
      </c>
      <c r="E65">
        <v>0</v>
      </c>
    </row>
    <row r="66" spans="1:5">
      <c r="A66" t="s">
        <v>156</v>
      </c>
      <c r="B66" s="22" t="s">
        <v>103</v>
      </c>
      <c r="C66" s="22">
        <v>5</v>
      </c>
      <c r="D66" s="22">
        <v>19</v>
      </c>
      <c r="E66">
        <v>0</v>
      </c>
    </row>
    <row r="67" spans="1:5">
      <c r="A67" t="s">
        <v>12</v>
      </c>
      <c r="B67" s="22" t="s">
        <v>102</v>
      </c>
      <c r="C67" s="22">
        <v>3</v>
      </c>
      <c r="D67" s="22">
        <v>10</v>
      </c>
      <c r="E67">
        <v>0</v>
      </c>
    </row>
    <row r="68" spans="1:5">
      <c r="A68" t="s">
        <v>13</v>
      </c>
      <c r="B68" s="22" t="s">
        <v>102</v>
      </c>
      <c r="C68" s="22">
        <v>4</v>
      </c>
      <c r="D68" s="22">
        <v>13</v>
      </c>
      <c r="E68">
        <v>0</v>
      </c>
    </row>
    <row r="69" spans="1:5">
      <c r="A69" t="s">
        <v>4</v>
      </c>
      <c r="B69" s="22" t="s">
        <v>103</v>
      </c>
      <c r="C69" s="22">
        <v>1</v>
      </c>
      <c r="D69" s="22">
        <v>2</v>
      </c>
      <c r="E69">
        <v>0</v>
      </c>
    </row>
    <row r="70" spans="1:5">
      <c r="A70" t="s">
        <v>96</v>
      </c>
      <c r="B70" s="22" t="s">
        <v>102</v>
      </c>
      <c r="C70" s="22">
        <v>1</v>
      </c>
      <c r="D70" s="22">
        <v>2</v>
      </c>
      <c r="E70">
        <v>0</v>
      </c>
    </row>
    <row r="71" spans="1:5">
      <c r="A71" t="s">
        <v>14</v>
      </c>
      <c r="B71" s="22" t="s">
        <v>102</v>
      </c>
      <c r="C71" s="22">
        <v>5</v>
      </c>
      <c r="D71" s="22">
        <v>19</v>
      </c>
      <c r="E71">
        <v>0</v>
      </c>
    </row>
    <row r="72" spans="1:5">
      <c r="A72" t="s">
        <v>60</v>
      </c>
      <c r="B72" s="22" t="s">
        <v>103</v>
      </c>
      <c r="C72" s="22">
        <v>9</v>
      </c>
      <c r="D72" s="22">
        <v>34</v>
      </c>
      <c r="E72">
        <v>0</v>
      </c>
    </row>
    <row r="73" spans="1:5">
      <c r="A73" t="s">
        <v>7</v>
      </c>
      <c r="B73" s="22" t="s">
        <v>103</v>
      </c>
      <c r="C73" s="22">
        <v>3</v>
      </c>
      <c r="D73" s="22">
        <v>11</v>
      </c>
      <c r="E73">
        <v>0</v>
      </c>
    </row>
    <row r="74" spans="1:5">
      <c r="A74" t="s">
        <v>53</v>
      </c>
      <c r="B74" s="22" t="s">
        <v>103</v>
      </c>
      <c r="C74" s="22">
        <v>4</v>
      </c>
      <c r="D74" s="22">
        <v>16</v>
      </c>
      <c r="E74">
        <v>0</v>
      </c>
    </row>
    <row r="75" spans="1:5">
      <c r="A75" t="s">
        <v>51</v>
      </c>
      <c r="B75" s="22" t="s">
        <v>103</v>
      </c>
      <c r="C75" s="22">
        <v>6</v>
      </c>
      <c r="D75" s="22">
        <v>23</v>
      </c>
      <c r="E75">
        <v>0</v>
      </c>
    </row>
    <row r="76" spans="1:5">
      <c r="A76" t="s">
        <v>18</v>
      </c>
      <c r="B76" s="22" t="s">
        <v>102</v>
      </c>
      <c r="C76" s="22">
        <v>1</v>
      </c>
      <c r="D76" s="22">
        <v>4</v>
      </c>
      <c r="E76">
        <v>0</v>
      </c>
    </row>
    <row r="77" spans="1:5">
      <c r="A77" t="s">
        <v>39</v>
      </c>
      <c r="B77" s="22" t="s">
        <v>102</v>
      </c>
      <c r="C77" s="22">
        <v>12</v>
      </c>
      <c r="D77" s="22">
        <v>47</v>
      </c>
      <c r="E77">
        <v>0</v>
      </c>
    </row>
    <row r="78" spans="1:5">
      <c r="A78" t="s">
        <v>72</v>
      </c>
      <c r="B78" s="22" t="s">
        <v>102</v>
      </c>
      <c r="C78" s="22">
        <v>7</v>
      </c>
      <c r="D78" s="22">
        <v>28</v>
      </c>
      <c r="E78">
        <v>0</v>
      </c>
    </row>
    <row r="79" spans="1:5">
      <c r="A79" t="s">
        <v>24</v>
      </c>
      <c r="B79" s="22" t="s">
        <v>102</v>
      </c>
      <c r="C79" s="22">
        <v>5</v>
      </c>
      <c r="D79" s="22">
        <v>18</v>
      </c>
      <c r="E79">
        <v>0</v>
      </c>
    </row>
    <row r="80" spans="1:5">
      <c r="A80" t="s">
        <v>99</v>
      </c>
      <c r="B80" s="22" t="s">
        <v>102</v>
      </c>
      <c r="C80" s="22">
        <v>10</v>
      </c>
      <c r="D80" s="22">
        <v>37</v>
      </c>
      <c r="E80">
        <v>0</v>
      </c>
    </row>
    <row r="81" spans="1:5">
      <c r="A81" t="s">
        <v>8</v>
      </c>
      <c r="B81" s="22" t="s">
        <v>103</v>
      </c>
      <c r="C81" s="22">
        <v>1</v>
      </c>
      <c r="D81" s="22">
        <v>1</v>
      </c>
      <c r="E81">
        <v>0</v>
      </c>
    </row>
    <row r="82" spans="1:5">
      <c r="A82" t="s">
        <v>19</v>
      </c>
      <c r="B82" s="22" t="s">
        <v>102</v>
      </c>
      <c r="C82" s="22">
        <v>3</v>
      </c>
      <c r="D82" s="22">
        <v>11</v>
      </c>
      <c r="E82">
        <v>0</v>
      </c>
    </row>
    <row r="83" spans="1:5">
      <c r="A83" t="s">
        <v>26</v>
      </c>
      <c r="B83" s="22" t="s">
        <v>102</v>
      </c>
      <c r="C83" s="22">
        <v>4</v>
      </c>
      <c r="D83" s="22">
        <v>14</v>
      </c>
      <c r="E83">
        <v>0</v>
      </c>
    </row>
    <row r="84" spans="1:5">
      <c r="A84" t="s">
        <v>35</v>
      </c>
      <c r="B84" s="22" t="s">
        <v>102</v>
      </c>
      <c r="C84" s="22">
        <v>9</v>
      </c>
      <c r="D84" s="22">
        <v>33</v>
      </c>
      <c r="E84">
        <v>0</v>
      </c>
    </row>
    <row r="85" spans="1:5">
      <c r="A85" t="s">
        <v>40</v>
      </c>
      <c r="B85" s="22" t="s">
        <v>102</v>
      </c>
      <c r="C85" s="22">
        <v>12</v>
      </c>
      <c r="D85" s="22">
        <v>48</v>
      </c>
      <c r="E85">
        <v>0</v>
      </c>
    </row>
    <row r="86" spans="1:5">
      <c r="A86" t="s">
        <v>2</v>
      </c>
      <c r="B86" s="22" t="s">
        <v>102</v>
      </c>
      <c r="C86" s="22">
        <v>4</v>
      </c>
      <c r="D86" s="22">
        <v>15</v>
      </c>
      <c r="E86">
        <v>0</v>
      </c>
    </row>
    <row r="87" spans="1:5">
      <c r="A87" t="s">
        <v>66</v>
      </c>
      <c r="B87" s="22" t="s">
        <v>103</v>
      </c>
      <c r="C87" s="22">
        <v>8</v>
      </c>
      <c r="D87" s="22">
        <v>32</v>
      </c>
      <c r="E87">
        <v>0</v>
      </c>
    </row>
    <row r="88" spans="1:5">
      <c r="A88" t="s">
        <v>9</v>
      </c>
      <c r="B88" s="22" t="s">
        <v>103</v>
      </c>
      <c r="C88" s="22">
        <v>4</v>
      </c>
      <c r="D88" s="22">
        <v>13</v>
      </c>
      <c r="E88">
        <v>0</v>
      </c>
    </row>
    <row r="89" spans="1:5">
      <c r="A89" t="s">
        <v>105</v>
      </c>
      <c r="B89" s="22" t="s">
        <v>102</v>
      </c>
      <c r="C89" s="22">
        <v>8</v>
      </c>
      <c r="D89" s="22">
        <v>32</v>
      </c>
      <c r="E89">
        <v>0</v>
      </c>
    </row>
    <row r="90" spans="1:5">
      <c r="A90" t="s">
        <v>118</v>
      </c>
      <c r="B90" s="22" t="s">
        <v>103</v>
      </c>
      <c r="C90" s="22">
        <v>10</v>
      </c>
      <c r="D90" s="22">
        <v>37</v>
      </c>
      <c r="E90">
        <v>0</v>
      </c>
    </row>
  </sheetData>
  <sortState xmlns:xlrd2="http://schemas.microsoft.com/office/spreadsheetml/2017/richdata2" ref="A2:E90">
    <sortCondition ref="A4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8C82-6C84-4C98-AFEB-CEE04DC2008F}">
  <dimension ref="A1:K91"/>
  <sheetViews>
    <sheetView topLeftCell="A70" workbookViewId="0">
      <selection activeCell="G95" sqref="G95"/>
    </sheetView>
  </sheetViews>
  <sheetFormatPr defaultRowHeight="15"/>
  <sheetData>
    <row r="1" spans="1:8">
      <c r="A1" t="s">
        <v>193</v>
      </c>
    </row>
    <row r="2" spans="1:8">
      <c r="A2" s="153"/>
      <c r="B2" t="s">
        <v>296</v>
      </c>
    </row>
    <row r="3" spans="1:8">
      <c r="A3" s="153"/>
      <c r="B3" t="s">
        <v>304</v>
      </c>
    </row>
    <row r="4" spans="1:8">
      <c r="A4" s="153"/>
      <c r="B4" t="s">
        <v>297</v>
      </c>
    </row>
    <row r="5" spans="1:8">
      <c r="A5" s="153"/>
      <c r="B5" t="s">
        <v>194</v>
      </c>
    </row>
    <row r="6" spans="1:8">
      <c r="A6" s="153"/>
      <c r="B6" t="s">
        <v>311</v>
      </c>
    </row>
    <row r="7" spans="1:8">
      <c r="A7" s="153"/>
      <c r="B7" t="s">
        <v>310</v>
      </c>
    </row>
    <row r="8" spans="1:8">
      <c r="A8" s="153"/>
      <c r="B8" t="s">
        <v>217</v>
      </c>
    </row>
    <row r="10" spans="1:8">
      <c r="C10" s="146" t="s">
        <v>219</v>
      </c>
    </row>
    <row r="11" spans="1:8">
      <c r="C11" t="s">
        <v>213</v>
      </c>
      <c r="F11" s="22"/>
      <c r="G11" s="22" t="s">
        <v>218</v>
      </c>
      <c r="H11" t="s">
        <v>27</v>
      </c>
    </row>
    <row r="12" spans="1:8">
      <c r="C12" t="s">
        <v>233</v>
      </c>
      <c r="G12" s="22" t="s">
        <v>218</v>
      </c>
      <c r="H12" t="s">
        <v>15</v>
      </c>
    </row>
    <row r="13" spans="1:8">
      <c r="C13" t="s">
        <v>206</v>
      </c>
      <c r="G13" s="22" t="s">
        <v>218</v>
      </c>
      <c r="H13" t="s">
        <v>12</v>
      </c>
    </row>
    <row r="14" spans="1:8">
      <c r="C14" t="s">
        <v>196</v>
      </c>
      <c r="G14" s="22" t="s">
        <v>218</v>
      </c>
      <c r="H14" t="s">
        <v>17</v>
      </c>
    </row>
    <row r="15" spans="1:8">
      <c r="C15" t="s">
        <v>234</v>
      </c>
      <c r="G15" s="22" t="s">
        <v>218</v>
      </c>
      <c r="H15" t="s">
        <v>78</v>
      </c>
    </row>
    <row r="16" spans="1:8">
      <c r="C16" t="s">
        <v>235</v>
      </c>
      <c r="G16" s="22" t="s">
        <v>218</v>
      </c>
      <c r="H16" t="s">
        <v>21</v>
      </c>
    </row>
    <row r="17" spans="3:8">
      <c r="C17" t="s">
        <v>236</v>
      </c>
      <c r="G17" s="22" t="s">
        <v>218</v>
      </c>
      <c r="H17" t="s">
        <v>20</v>
      </c>
    </row>
    <row r="18" spans="3:8">
      <c r="C18" t="s">
        <v>306</v>
      </c>
      <c r="G18" s="22" t="s">
        <v>218</v>
      </c>
      <c r="H18" t="s">
        <v>25</v>
      </c>
    </row>
    <row r="19" spans="3:8">
      <c r="C19" t="s">
        <v>237</v>
      </c>
      <c r="G19" s="22" t="s">
        <v>218</v>
      </c>
      <c r="H19" t="s">
        <v>96</v>
      </c>
    </row>
    <row r="20" spans="3:8">
      <c r="C20" t="s">
        <v>238</v>
      </c>
      <c r="G20" s="22" t="s">
        <v>218</v>
      </c>
      <c r="H20" t="s">
        <v>16</v>
      </c>
    </row>
    <row r="21" spans="3:8">
      <c r="C21" t="s">
        <v>208</v>
      </c>
      <c r="G21" s="22" t="s">
        <v>218</v>
      </c>
      <c r="H21" t="s">
        <v>11</v>
      </c>
    </row>
    <row r="22" spans="3:8">
      <c r="C22" t="s">
        <v>214</v>
      </c>
      <c r="G22" s="22" t="s">
        <v>218</v>
      </c>
      <c r="H22" t="s">
        <v>30</v>
      </c>
    </row>
    <row r="23" spans="3:8">
      <c r="C23" t="s">
        <v>209</v>
      </c>
      <c r="G23" s="22" t="s">
        <v>218</v>
      </c>
      <c r="H23" t="s">
        <v>105</v>
      </c>
    </row>
    <row r="24" spans="3:8">
      <c r="C24" t="s">
        <v>212</v>
      </c>
      <c r="G24" s="22" t="s">
        <v>218</v>
      </c>
      <c r="H24" t="s">
        <v>14</v>
      </c>
    </row>
    <row r="25" spans="3:8">
      <c r="C25" t="s">
        <v>239</v>
      </c>
      <c r="G25" s="22" t="s">
        <v>218</v>
      </c>
      <c r="H25" t="s">
        <v>26</v>
      </c>
    </row>
    <row r="26" spans="3:8">
      <c r="C26" t="s">
        <v>240</v>
      </c>
      <c r="G26" s="22" t="s">
        <v>218</v>
      </c>
      <c r="H26" t="s">
        <v>81</v>
      </c>
    </row>
    <row r="27" spans="3:8">
      <c r="C27" t="s">
        <v>241</v>
      </c>
      <c r="G27" s="22" t="s">
        <v>218</v>
      </c>
      <c r="H27" t="s">
        <v>97</v>
      </c>
    </row>
    <row r="28" spans="3:8">
      <c r="C28" t="s">
        <v>242</v>
      </c>
      <c r="G28" s="22" t="s">
        <v>218</v>
      </c>
      <c r="H28" t="s">
        <v>73</v>
      </c>
    </row>
    <row r="29" spans="3:8">
      <c r="C29" t="s">
        <v>243</v>
      </c>
      <c r="G29" s="22" t="s">
        <v>218</v>
      </c>
      <c r="H29" t="s">
        <v>13</v>
      </c>
    </row>
    <row r="30" spans="3:8">
      <c r="C30" t="s">
        <v>244</v>
      </c>
      <c r="G30" s="22" t="s">
        <v>218</v>
      </c>
      <c r="H30" t="s">
        <v>36</v>
      </c>
    </row>
    <row r="31" spans="3:8">
      <c r="C31" t="s">
        <v>245</v>
      </c>
      <c r="G31" s="22" t="s">
        <v>218</v>
      </c>
      <c r="H31" t="s">
        <v>98</v>
      </c>
    </row>
    <row r="32" spans="3:8">
      <c r="C32" t="s">
        <v>246</v>
      </c>
      <c r="G32" s="22" t="s">
        <v>218</v>
      </c>
      <c r="H32" t="s">
        <v>24</v>
      </c>
    </row>
    <row r="33" spans="3:8">
      <c r="C33" t="s">
        <v>247</v>
      </c>
      <c r="G33" s="22" t="s">
        <v>218</v>
      </c>
      <c r="H33" t="s">
        <v>104</v>
      </c>
    </row>
    <row r="34" spans="3:8">
      <c r="C34" t="s">
        <v>248</v>
      </c>
      <c r="G34" s="22" t="s">
        <v>218</v>
      </c>
      <c r="H34" t="s">
        <v>37</v>
      </c>
    </row>
    <row r="35" spans="3:8">
      <c r="C35" t="s">
        <v>249</v>
      </c>
      <c r="G35" s="22" t="s">
        <v>218</v>
      </c>
      <c r="H35" t="s">
        <v>166</v>
      </c>
    </row>
    <row r="36" spans="3:8">
      <c r="C36" t="s">
        <v>250</v>
      </c>
      <c r="G36" s="22" t="s">
        <v>218</v>
      </c>
      <c r="H36" t="s">
        <v>3</v>
      </c>
    </row>
    <row r="37" spans="3:8">
      <c r="C37" t="s">
        <v>251</v>
      </c>
      <c r="G37" s="22" t="s">
        <v>218</v>
      </c>
      <c r="H37" t="s">
        <v>71</v>
      </c>
    </row>
    <row r="38" spans="3:8">
      <c r="C38" t="s">
        <v>198</v>
      </c>
      <c r="G38" s="22" t="s">
        <v>218</v>
      </c>
      <c r="H38" t="s">
        <v>95</v>
      </c>
    </row>
    <row r="39" spans="3:8">
      <c r="C39" t="s">
        <v>252</v>
      </c>
      <c r="G39" s="22" t="s">
        <v>218</v>
      </c>
      <c r="H39" t="s">
        <v>72</v>
      </c>
    </row>
    <row r="40" spans="3:8">
      <c r="C40" t="s">
        <v>253</v>
      </c>
      <c r="G40" s="22" t="s">
        <v>218</v>
      </c>
      <c r="H40" t="s">
        <v>83</v>
      </c>
    </row>
    <row r="41" spans="3:8">
      <c r="C41" t="s">
        <v>254</v>
      </c>
      <c r="G41" s="22" t="s">
        <v>218</v>
      </c>
      <c r="H41" t="s">
        <v>28</v>
      </c>
    </row>
    <row r="42" spans="3:8">
      <c r="C42" t="s">
        <v>255</v>
      </c>
      <c r="G42" s="22" t="s">
        <v>218</v>
      </c>
      <c r="H42" t="s">
        <v>34</v>
      </c>
    </row>
    <row r="43" spans="3:8">
      <c r="C43" t="s">
        <v>256</v>
      </c>
      <c r="G43" s="22" t="s">
        <v>218</v>
      </c>
      <c r="H43" t="s">
        <v>38</v>
      </c>
    </row>
    <row r="44" spans="3:8">
      <c r="C44" t="s">
        <v>257</v>
      </c>
      <c r="G44" s="22" t="s">
        <v>218</v>
      </c>
      <c r="H44" t="s">
        <v>31</v>
      </c>
    </row>
    <row r="45" spans="3:8">
      <c r="C45" t="s">
        <v>258</v>
      </c>
      <c r="G45" s="22" t="s">
        <v>218</v>
      </c>
      <c r="H45" t="s">
        <v>22</v>
      </c>
    </row>
    <row r="46" spans="3:8">
      <c r="C46" t="s">
        <v>259</v>
      </c>
      <c r="G46" s="22" t="s">
        <v>218</v>
      </c>
      <c r="H46" t="s">
        <v>33</v>
      </c>
    </row>
    <row r="47" spans="3:8">
      <c r="C47" t="s">
        <v>260</v>
      </c>
      <c r="G47" s="22" t="s">
        <v>218</v>
      </c>
      <c r="H47" t="s">
        <v>179</v>
      </c>
    </row>
    <row r="48" spans="3:8">
      <c r="C48" t="s">
        <v>261</v>
      </c>
      <c r="G48" s="22" t="s">
        <v>218</v>
      </c>
      <c r="H48" t="s">
        <v>100</v>
      </c>
    </row>
    <row r="49" spans="3:11">
      <c r="C49" t="s">
        <v>307</v>
      </c>
      <c r="G49" s="22" t="s">
        <v>218</v>
      </c>
      <c r="H49" t="s">
        <v>277</v>
      </c>
      <c r="K49" t="s">
        <v>308</v>
      </c>
    </row>
    <row r="50" spans="3:11">
      <c r="C50" t="s">
        <v>276</v>
      </c>
      <c r="G50" s="22" t="s">
        <v>218</v>
      </c>
      <c r="H50" t="s">
        <v>276</v>
      </c>
      <c r="K50" t="s">
        <v>308</v>
      </c>
    </row>
    <row r="51" spans="3:11">
      <c r="C51" t="s">
        <v>195</v>
      </c>
      <c r="F51" s="22"/>
      <c r="G51" s="22" t="s">
        <v>218</v>
      </c>
      <c r="H51" t="s">
        <v>99</v>
      </c>
      <c r="K51" t="s">
        <v>305</v>
      </c>
    </row>
    <row r="53" spans="3:11">
      <c r="C53" s="146" t="s">
        <v>220</v>
      </c>
    </row>
    <row r="54" spans="3:11">
      <c r="C54" t="s">
        <v>262</v>
      </c>
      <c r="G54" s="22" t="s">
        <v>218</v>
      </c>
      <c r="H54" t="s">
        <v>54</v>
      </c>
    </row>
    <row r="55" spans="3:11">
      <c r="C55" t="s">
        <v>128</v>
      </c>
      <c r="G55" s="22" t="s">
        <v>218</v>
      </c>
      <c r="H55" t="s">
        <v>180</v>
      </c>
    </row>
    <row r="56" spans="3:11">
      <c r="C56" t="s">
        <v>263</v>
      </c>
      <c r="G56" s="22" t="s">
        <v>218</v>
      </c>
      <c r="H56" t="s">
        <v>6</v>
      </c>
    </row>
    <row r="57" spans="3:11">
      <c r="C57" t="s">
        <v>264</v>
      </c>
      <c r="G57" s="22" t="s">
        <v>218</v>
      </c>
      <c r="H57" t="s">
        <v>63</v>
      </c>
    </row>
    <row r="58" spans="3:11">
      <c r="C58" t="s">
        <v>265</v>
      </c>
      <c r="G58" s="22" t="s">
        <v>218</v>
      </c>
      <c r="H58" t="s">
        <v>55</v>
      </c>
    </row>
    <row r="59" spans="3:11">
      <c r="C59" t="s">
        <v>266</v>
      </c>
      <c r="G59" s="22" t="s">
        <v>218</v>
      </c>
      <c r="H59" t="s">
        <v>48</v>
      </c>
    </row>
    <row r="60" spans="3:11">
      <c r="C60" t="s">
        <v>267</v>
      </c>
      <c r="G60" s="22" t="s">
        <v>218</v>
      </c>
      <c r="H60" t="s">
        <v>50</v>
      </c>
    </row>
    <row r="61" spans="3:11">
      <c r="C61" t="s">
        <v>268</v>
      </c>
      <c r="G61" s="22" t="s">
        <v>218</v>
      </c>
      <c r="H61" t="s">
        <v>156</v>
      </c>
    </row>
    <row r="62" spans="3:11">
      <c r="C62" t="s">
        <v>269</v>
      </c>
      <c r="G62" s="22" t="s">
        <v>218</v>
      </c>
      <c r="H62" t="s">
        <v>84</v>
      </c>
    </row>
    <row r="63" spans="3:11">
      <c r="C63" t="s">
        <v>270</v>
      </c>
      <c r="G63" s="22" t="s">
        <v>218</v>
      </c>
      <c r="H63" t="s">
        <v>53</v>
      </c>
    </row>
    <row r="64" spans="3:11">
      <c r="C64" t="s">
        <v>271</v>
      </c>
      <c r="G64" s="22" t="s">
        <v>218</v>
      </c>
      <c r="H64" t="s">
        <v>65</v>
      </c>
    </row>
    <row r="65" spans="1:11">
      <c r="C65" t="s">
        <v>272</v>
      </c>
      <c r="G65" s="22" t="s">
        <v>218</v>
      </c>
      <c r="H65" t="s">
        <v>5</v>
      </c>
    </row>
    <row r="66" spans="1:11">
      <c r="C66" t="s">
        <v>202</v>
      </c>
      <c r="G66" s="22" t="s">
        <v>218</v>
      </c>
      <c r="H66" t="s">
        <v>52</v>
      </c>
    </row>
    <row r="67" spans="1:11">
      <c r="C67" t="s">
        <v>205</v>
      </c>
      <c r="G67" s="22" t="s">
        <v>218</v>
      </c>
      <c r="H67" t="s">
        <v>51</v>
      </c>
    </row>
    <row r="68" spans="1:11">
      <c r="C68" t="s">
        <v>197</v>
      </c>
      <c r="G68" s="22" t="s">
        <v>218</v>
      </c>
      <c r="H68" t="s">
        <v>58</v>
      </c>
    </row>
    <row r="69" spans="1:11">
      <c r="C69" t="s">
        <v>204</v>
      </c>
      <c r="G69" s="22" t="s">
        <v>218</v>
      </c>
      <c r="H69" t="s">
        <v>181</v>
      </c>
    </row>
    <row r="70" spans="1:11">
      <c r="C70" t="s">
        <v>200</v>
      </c>
      <c r="G70" s="22" t="s">
        <v>218</v>
      </c>
      <c r="H70" t="s">
        <v>59</v>
      </c>
    </row>
    <row r="71" spans="1:11">
      <c r="C71" t="s">
        <v>211</v>
      </c>
      <c r="G71" s="22" t="s">
        <v>218</v>
      </c>
      <c r="H71" t="s">
        <v>70</v>
      </c>
    </row>
    <row r="72" spans="1:11">
      <c r="C72" t="s">
        <v>210</v>
      </c>
      <c r="G72" s="22" t="s">
        <v>218</v>
      </c>
      <c r="H72" t="s">
        <v>66</v>
      </c>
    </row>
    <row r="73" spans="1:11">
      <c r="C73" t="s">
        <v>199</v>
      </c>
      <c r="G73" s="22" t="s">
        <v>218</v>
      </c>
      <c r="H73" t="s">
        <v>86</v>
      </c>
    </row>
    <row r="74" spans="1:11">
      <c r="C74" t="s">
        <v>207</v>
      </c>
      <c r="G74" s="22" t="s">
        <v>218</v>
      </c>
      <c r="H74" t="s">
        <v>60</v>
      </c>
    </row>
    <row r="75" spans="1:11">
      <c r="C75" t="s">
        <v>216</v>
      </c>
      <c r="G75" s="22" t="s">
        <v>218</v>
      </c>
      <c r="H75" t="s">
        <v>118</v>
      </c>
    </row>
    <row r="76" spans="1:11">
      <c r="C76" t="s">
        <v>201</v>
      </c>
      <c r="G76" s="22" t="s">
        <v>218</v>
      </c>
      <c r="H76" t="s">
        <v>64</v>
      </c>
    </row>
    <row r="77" spans="1:11">
      <c r="C77" t="s">
        <v>215</v>
      </c>
      <c r="G77" s="22" t="s">
        <v>218</v>
      </c>
      <c r="H77" t="s">
        <v>106</v>
      </c>
    </row>
    <row r="78" spans="1:11">
      <c r="C78" t="s">
        <v>203</v>
      </c>
      <c r="G78" s="22" t="s">
        <v>218</v>
      </c>
      <c r="H78" t="s">
        <v>85</v>
      </c>
      <c r="K78" t="s">
        <v>305</v>
      </c>
    </row>
    <row r="80" spans="1:11">
      <c r="A80" s="153"/>
      <c r="B80" t="s">
        <v>221</v>
      </c>
    </row>
    <row r="81" spans="1:2">
      <c r="A81" s="153"/>
      <c r="B81" t="s">
        <v>222</v>
      </c>
    </row>
    <row r="82" spans="1:2">
      <c r="A82" s="153"/>
      <c r="B82" t="s">
        <v>223</v>
      </c>
    </row>
    <row r="83" spans="1:2">
      <c r="A83" s="153"/>
      <c r="B83" t="s">
        <v>273</v>
      </c>
    </row>
    <row r="84" spans="1:2">
      <c r="A84" s="153"/>
      <c r="B84" t="s">
        <v>312</v>
      </c>
    </row>
    <row r="85" spans="1:2">
      <c r="A85" s="153"/>
      <c r="B85" t="s">
        <v>314</v>
      </c>
    </row>
    <row r="87" spans="1:2">
      <c r="A87" t="s">
        <v>313</v>
      </c>
    </row>
    <row r="88" spans="1:2">
      <c r="A88" s="153"/>
      <c r="B88" t="s">
        <v>315</v>
      </c>
    </row>
    <row r="89" spans="1:2">
      <c r="A89" s="153"/>
      <c r="B89" t="s">
        <v>316</v>
      </c>
    </row>
    <row r="90" spans="1:2">
      <c r="A90" s="153"/>
      <c r="B90" t="s">
        <v>317</v>
      </c>
    </row>
    <row r="91" spans="1:2">
      <c r="A91" s="1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South</vt:lpstr>
      <vt:lpstr>North</vt:lpstr>
      <vt:lpstr>Results</vt:lpstr>
      <vt:lpstr>Visuals</vt:lpstr>
      <vt:lpstr>Visual-South</vt:lpstr>
      <vt:lpstr>South Report</vt:lpstr>
      <vt:lpstr>South Report (2)</vt:lpstr>
      <vt:lpstr>North Report</vt:lpstr>
      <vt:lpstr>North Report (2)</vt:lpstr>
      <vt:lpstr>South Standings</vt:lpstr>
      <vt:lpstr>North Standings</vt:lpstr>
      <vt:lpstr>Notes</vt:lpstr>
      <vt:lpstr>Entry</vt:lpstr>
      <vt:lpstr>Version Control</vt:lpstr>
      <vt:lpstr>Entry!Print_Area</vt:lpstr>
      <vt:lpstr>North!Print_Area</vt:lpstr>
      <vt:lpstr>'North Report'!Print_Area</vt:lpstr>
      <vt:lpstr>'North Report (2)'!Print_Area</vt:lpstr>
      <vt:lpstr>South!Print_Area</vt:lpstr>
      <vt:lpstr>'South Report'!Print_Area</vt:lpstr>
      <vt:lpstr>'South Report (2)'!Print_Area</vt:lpstr>
      <vt:lpstr>Entry!Print_Titles</vt:lpstr>
      <vt:lpstr>North!Print_Titles</vt:lpstr>
    </vt:vector>
  </TitlesOfParts>
  <Company>Berktek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Stringfellow</dc:creator>
  <cp:lastModifiedBy>Stefan van Staveren</cp:lastModifiedBy>
  <cp:lastPrinted>2025-10-08T15:00:50Z</cp:lastPrinted>
  <dcterms:created xsi:type="dcterms:W3CDTF">2012-07-06T13:46:22Z</dcterms:created>
  <dcterms:modified xsi:type="dcterms:W3CDTF">2025-10-08T15:00:52Z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